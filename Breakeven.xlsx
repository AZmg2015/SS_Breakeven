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tables/table6.xml" ContentType="application/vnd.openxmlformats-officedocument.spreadsheetml.table+xml"/>
  <Override PartName="/xl/queryTables/queryTable1.xml" ContentType="application/vnd.openxmlformats-officedocument.spreadsheetml.queryTable+xml"/>
  <Override PartName="/xl/tables/table7.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Me\Documents\SS_Breakeven\"/>
    </mc:Choice>
  </mc:AlternateContent>
  <xr:revisionPtr revIDLastSave="0" documentId="13_ncr:1_{4E79CC5C-4CAC-43B8-BE1E-C333727CF9CD}" xr6:coauthVersionLast="47" xr6:coauthVersionMax="47" xr10:uidLastSave="{00000000-0000-0000-0000-000000000000}"/>
  <bookViews>
    <workbookView xWindow="624" yWindow="-192" windowWidth="20184" windowHeight="11928" activeTab="1" xr2:uid="{968878B6-1759-417F-9DAA-0D36F08B5DD0}"/>
  </bookViews>
  <sheets>
    <sheet name="Portfolio Drawdown" sheetId="14" r:id="rId1"/>
    <sheet name="Main" sheetId="8" r:id="rId2"/>
    <sheet name="Frank and Bill" sheetId="10" r:id="rId3"/>
    <sheet name="SS Benefit Cal" sheetId="2" r:id="rId4"/>
    <sheet name="RMD Tables 2025" sheetId="9" r:id="rId5"/>
    <sheet name="Cpi_index_inflation_montly_1925" sheetId="4" r:id="rId6"/>
    <sheet name="Inflation" sheetId="11" r:id="rId7"/>
    <sheet name="Sheet1" sheetId="12" r:id="rId8"/>
    <sheet name="Sheet2" sheetId="13" r:id="rId9"/>
    <sheet name="index test" sheetId="3" r:id="rId10"/>
    <sheet name="Salarys 2024" sheetId="5" r:id="rId11"/>
    <sheet name="s&amp;p_returns" sheetId="7" r:id="rId12"/>
    <sheet name="SSI cola for the year" sheetId="6" r:id="rId13"/>
  </sheets>
  <definedNames>
    <definedName name="ExternalData_1" localSheetId="5" hidden="1">Cpi_index_inflation_montly_1925!$A$1:$F$1210</definedName>
    <definedName name="ExternalData_1" localSheetId="11" hidden="1">'s&amp;p_returns'!$B$2:$C$101</definedName>
    <definedName name="TimeSeries" localSheetId="12">'SSI cola for the year'!$B$3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3" i="14" l="1"/>
  <c r="L14" i="14" s="1"/>
  <c r="L15" i="14" s="1"/>
  <c r="L16" i="14" s="1"/>
  <c r="L17" i="14" s="1"/>
  <c r="L18" i="14" s="1"/>
  <c r="L19" i="14" s="1"/>
  <c r="L20" i="14" s="1"/>
  <c r="L21" i="14" s="1"/>
  <c r="L22" i="14" s="1"/>
  <c r="L23" i="14" s="1"/>
  <c r="L24" i="14" s="1"/>
  <c r="L25" i="14" s="1"/>
  <c r="L26" i="14" s="1"/>
  <c r="L27" i="14" s="1"/>
  <c r="L28" i="14" s="1"/>
  <c r="L29" i="14" s="1"/>
  <c r="L30" i="14" s="1"/>
  <c r="L31" i="14" s="1"/>
  <c r="L32" i="14" s="1"/>
  <c r="L33" i="14" s="1"/>
  <c r="L34" i="14" s="1"/>
  <c r="L35" i="14" s="1"/>
  <c r="L36" i="14" s="1"/>
  <c r="L37" i="14" s="1"/>
  <c r="L38" i="14" s="1"/>
  <c r="L39" i="14" s="1"/>
  <c r="L40" i="14" s="1"/>
  <c r="L41" i="14" s="1"/>
  <c r="L42" i="14" s="1"/>
  <c r="L43" i="14" s="1"/>
  <c r="L44" i="14" s="1"/>
  <c r="L45" i="14" s="1"/>
  <c r="L46" i="14" s="1"/>
  <c r="L47" i="14" s="1"/>
  <c r="L48" i="14" s="1"/>
  <c r="L49" i="14" s="1"/>
  <c r="L12" i="14"/>
  <c r="L11" i="14"/>
  <c r="K12" i="14"/>
  <c r="K13" i="14"/>
  <c r="K14" i="14"/>
  <c r="K15" i="14"/>
  <c r="K16" i="14"/>
  <c r="K17" i="14"/>
  <c r="K18" i="14"/>
  <c r="K19" i="14"/>
  <c r="K20" i="14"/>
  <c r="K21" i="14"/>
  <c r="K22" i="14"/>
  <c r="K23" i="14"/>
  <c r="K24" i="14"/>
  <c r="K25" i="14"/>
  <c r="K26" i="14"/>
  <c r="K27" i="14"/>
  <c r="K28" i="14"/>
  <c r="K29" i="14"/>
  <c r="K30" i="14"/>
  <c r="K31" i="14"/>
  <c r="K32" i="14"/>
  <c r="K33" i="14"/>
  <c r="K34" i="14"/>
  <c r="K35" i="14"/>
  <c r="K36" i="14"/>
  <c r="K37" i="14"/>
  <c r="K38" i="14"/>
  <c r="K39" i="14"/>
  <c r="K40" i="14"/>
  <c r="K41" i="14"/>
  <c r="K42" i="14"/>
  <c r="K43" i="14"/>
  <c r="K44" i="14"/>
  <c r="K45" i="14"/>
  <c r="K46" i="14"/>
  <c r="K47" i="14"/>
  <c r="K48" i="14"/>
  <c r="K49" i="14"/>
  <c r="K11" i="14"/>
  <c r="J20" i="14"/>
  <c r="J21" i="14"/>
  <c r="J22" i="14"/>
  <c r="J23" i="14"/>
  <c r="J24" i="14"/>
  <c r="J25" i="14"/>
  <c r="J26" i="14"/>
  <c r="J27" i="14"/>
  <c r="J28" i="14"/>
  <c r="J29" i="14"/>
  <c r="J30" i="14"/>
  <c r="J31" i="14"/>
  <c r="J32" i="14"/>
  <c r="J33" i="14"/>
  <c r="J34" i="14"/>
  <c r="J35" i="14"/>
  <c r="J36" i="14"/>
  <c r="J37" i="14"/>
  <c r="J38" i="14"/>
  <c r="J39" i="14"/>
  <c r="J40" i="14"/>
  <c r="J41" i="14"/>
  <c r="J42" i="14"/>
  <c r="J43" i="14"/>
  <c r="J44" i="14"/>
  <c r="J45" i="14"/>
  <c r="J46" i="14"/>
  <c r="J47" i="14"/>
  <c r="J48" i="14"/>
  <c r="J49" i="14"/>
  <c r="I19" i="14"/>
  <c r="I20" i="14" s="1"/>
  <c r="I21" i="14" s="1"/>
  <c r="I22" i="14" s="1"/>
  <c r="I23" i="14" s="1"/>
  <c r="I24" i="14" s="1"/>
  <c r="I25" i="14" s="1"/>
  <c r="I26" i="14" s="1"/>
  <c r="I27" i="14" s="1"/>
  <c r="I28" i="14" s="1"/>
  <c r="I29" i="14" s="1"/>
  <c r="I30" i="14" s="1"/>
  <c r="I31" i="14" s="1"/>
  <c r="I32" i="14" s="1"/>
  <c r="I33" i="14" s="1"/>
  <c r="I34" i="14" s="1"/>
  <c r="I35" i="14" s="1"/>
  <c r="I36" i="14" s="1"/>
  <c r="I37" i="14" s="1"/>
  <c r="I38" i="14" s="1"/>
  <c r="I39" i="14" s="1"/>
  <c r="I40" i="14" s="1"/>
  <c r="I41" i="14" s="1"/>
  <c r="I42" i="14" s="1"/>
  <c r="I43" i="14" s="1"/>
  <c r="I44" i="14" s="1"/>
  <c r="I45" i="14" s="1"/>
  <c r="I46" i="14" s="1"/>
  <c r="I47" i="14" s="1"/>
  <c r="I48" i="14" s="1"/>
  <c r="I49" i="14" s="1"/>
  <c r="I13" i="14"/>
  <c r="I14" i="14" s="1"/>
  <c r="I15" i="14" s="1"/>
  <c r="I16" i="14" s="1"/>
  <c r="I17" i="14" s="1"/>
  <c r="I18" i="14" s="1"/>
  <c r="I12" i="14"/>
  <c r="I11" i="14"/>
  <c r="H19" i="14"/>
  <c r="H20" i="14"/>
  <c r="H21" i="14"/>
  <c r="H22" i="14"/>
  <c r="H23" i="14"/>
  <c r="H24" i="14"/>
  <c r="H25" i="14"/>
  <c r="H26" i="14"/>
  <c r="H27" i="14"/>
  <c r="H28" i="14"/>
  <c r="H29" i="14"/>
  <c r="H30" i="14"/>
  <c r="H31" i="14"/>
  <c r="H32" i="14"/>
  <c r="H33" i="14"/>
  <c r="H34" i="14"/>
  <c r="H35" i="14"/>
  <c r="H36" i="14"/>
  <c r="H37" i="14"/>
  <c r="H38" i="14"/>
  <c r="H39" i="14"/>
  <c r="H40" i="14"/>
  <c r="H41" i="14"/>
  <c r="H42" i="14"/>
  <c r="H43" i="14"/>
  <c r="H44" i="14"/>
  <c r="H45" i="14"/>
  <c r="H46" i="14"/>
  <c r="H47" i="14"/>
  <c r="H48" i="14"/>
  <c r="H49" i="14"/>
  <c r="H12" i="14"/>
  <c r="H13" i="14"/>
  <c r="H14" i="14"/>
  <c r="H15" i="14"/>
  <c r="H16" i="14"/>
  <c r="H17" i="14"/>
  <c r="H18" i="14"/>
  <c r="H11" i="14"/>
  <c r="G17" i="14"/>
  <c r="G18" i="14"/>
  <c r="G19" i="14"/>
  <c r="G20" i="14"/>
  <c r="G21" i="14"/>
  <c r="G22" i="14"/>
  <c r="G23" i="14"/>
  <c r="G24" i="14"/>
  <c r="G25" i="14"/>
  <c r="G26" i="14"/>
  <c r="G27" i="14"/>
  <c r="G28" i="14"/>
  <c r="G29" i="14"/>
  <c r="G30" i="14"/>
  <c r="G31" i="14"/>
  <c r="G32" i="14"/>
  <c r="G33" i="14"/>
  <c r="G34" i="14"/>
  <c r="G35" i="14"/>
  <c r="G36" i="14"/>
  <c r="G37" i="14"/>
  <c r="G38" i="14"/>
  <c r="G39" i="14"/>
  <c r="G40" i="14"/>
  <c r="G41" i="14"/>
  <c r="G42" i="14"/>
  <c r="G43" i="14"/>
  <c r="G44" i="14"/>
  <c r="G45" i="14"/>
  <c r="G46" i="14"/>
  <c r="G47" i="14"/>
  <c r="G48" i="14"/>
  <c r="G49" i="14"/>
  <c r="D13"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12" i="14"/>
  <c r="J19" i="14"/>
  <c r="G16" i="14"/>
  <c r="D11" i="14"/>
  <c r="B5" i="14"/>
  <c r="B3" i="14"/>
  <c r="C11" i="14"/>
  <c r="M88" i="8"/>
  <c r="M89" i="8" s="1"/>
  <c r="M90" i="8" s="1"/>
  <c r="M91" i="8" s="1"/>
  <c r="M92" i="8" s="1"/>
  <c r="M93" i="8" s="1"/>
  <c r="M94" i="8" s="1"/>
  <c r="M95" i="8" s="1"/>
  <c r="M96" i="8" s="1"/>
  <c r="M97" i="8" s="1"/>
  <c r="M98" i="8" s="1"/>
  <c r="M99" i="8" s="1"/>
  <c r="M100" i="8" s="1"/>
  <c r="M101" i="8" s="1"/>
  <c r="M102" i="8" s="1"/>
  <c r="M103" i="8" s="1"/>
  <c r="M104" i="8" s="1"/>
  <c r="M105" i="8" s="1"/>
  <c r="M106" i="8" s="1"/>
  <c r="M107" i="8" s="1"/>
  <c r="M108" i="8" s="1"/>
  <c r="M109" i="8" s="1"/>
  <c r="M110" i="8" s="1"/>
  <c r="M111" i="8" s="1"/>
  <c r="M112" i="8" s="1"/>
  <c r="M113" i="8" s="1"/>
  <c r="M114" i="8" s="1"/>
  <c r="M115" i="8" s="1"/>
  <c r="M116" i="8" s="1"/>
  <c r="M87" i="8"/>
  <c r="M86" i="8"/>
  <c r="L85" i="8"/>
  <c r="L86" i="8" s="1"/>
  <c r="L87" i="8" s="1"/>
  <c r="L88" i="8" s="1"/>
  <c r="L89" i="8" s="1"/>
  <c r="L90" i="8" s="1"/>
  <c r="L91" i="8" s="1"/>
  <c r="L92" i="8" s="1"/>
  <c r="L93" i="8" s="1"/>
  <c r="L94" i="8" s="1"/>
  <c r="L95" i="8" s="1"/>
  <c r="L96" i="8" s="1"/>
  <c r="L97" i="8" s="1"/>
  <c r="L98" i="8" s="1"/>
  <c r="L99" i="8" s="1"/>
  <c r="L100" i="8" s="1"/>
  <c r="L101" i="8" s="1"/>
  <c r="L102" i="8" s="1"/>
  <c r="L103" i="8" s="1"/>
  <c r="L104" i="8" s="1"/>
  <c r="L105" i="8" s="1"/>
  <c r="L106" i="8" s="1"/>
  <c r="L107" i="8" s="1"/>
  <c r="L108" i="8" s="1"/>
  <c r="L109" i="8" s="1"/>
  <c r="L110" i="8" s="1"/>
  <c r="L111" i="8" s="1"/>
  <c r="L112" i="8" s="1"/>
  <c r="L113" i="8" s="1"/>
  <c r="L114" i="8" s="1"/>
  <c r="L115" i="8" s="1"/>
  <c r="L116" i="8" s="1"/>
  <c r="L84" i="8"/>
  <c r="L83" i="8"/>
  <c r="C167" i="8"/>
  <c r="C168" i="8" s="1"/>
  <c r="C169" i="8" s="1"/>
  <c r="C170" i="8" s="1"/>
  <c r="C171" i="8" s="1"/>
  <c r="C172" i="8" s="1"/>
  <c r="C173" i="8" s="1"/>
  <c r="C174" i="8" s="1"/>
  <c r="C175" i="8" s="1"/>
  <c r="C176" i="8" s="1"/>
  <c r="C177" i="8" s="1"/>
  <c r="C178" i="8" s="1"/>
  <c r="C179" i="8" s="1"/>
  <c r="C180" i="8" s="1"/>
  <c r="C181" i="8" s="1"/>
  <c r="C182" i="8" s="1"/>
  <c r="C183" i="8" s="1"/>
  <c r="C184" i="8" s="1"/>
  <c r="C185" i="8" s="1"/>
  <c r="C186" i="8" s="1"/>
  <c r="C187" i="8" s="1"/>
  <c r="C188" i="8" s="1"/>
  <c r="C189" i="8" s="1"/>
  <c r="C190" i="8" s="1"/>
  <c r="C191" i="8" s="1"/>
  <c r="C192" i="8" s="1"/>
  <c r="C193" i="8" s="1"/>
  <c r="C194" i="8" s="1"/>
  <c r="C195" i="8" s="1"/>
  <c r="C196" i="8" s="1"/>
  <c r="C197" i="8" s="1"/>
  <c r="C198" i="8" s="1"/>
  <c r="C199" i="8" s="1"/>
  <c r="C200" i="8" s="1"/>
  <c r="C201" i="8" s="1"/>
  <c r="C202" i="8" s="1"/>
  <c r="C203" i="8" s="1"/>
  <c r="C204" i="8" s="1"/>
  <c r="C205" i="8" s="1"/>
  <c r="L7" i="10"/>
  <c r="G7" i="10" s="1"/>
  <c r="E11" i="14" l="1"/>
  <c r="F11" i="14" s="1"/>
  <c r="C12" i="14"/>
  <c r="O78" i="8"/>
  <c r="O84" i="8" s="1"/>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N113" i="8"/>
  <c r="N114" i="8"/>
  <c r="N115" i="8"/>
  <c r="N116" i="8"/>
  <c r="N80" i="8"/>
  <c r="N79" i="8"/>
  <c r="C9" i="12"/>
  <c r="E6" i="12"/>
  <c r="G18" i="10"/>
  <c r="B6" i="10"/>
  <c r="B2" i="10"/>
  <c r="B19" i="10" s="1"/>
  <c r="B3" i="10"/>
  <c r="B4" i="10"/>
  <c r="F33" i="8"/>
  <c r="C6" i="2"/>
  <c r="E12" i="8"/>
  <c r="E5" i="10" s="1"/>
  <c r="P123" i="11"/>
  <c r="F1213" i="4"/>
  <c r="Q126" i="10"/>
  <c r="M133" i="10"/>
  <c r="M132" i="10"/>
  <c r="M131" i="10"/>
  <c r="M130" i="10"/>
  <c r="M129" i="10"/>
  <c r="M128" i="10"/>
  <c r="M127" i="10"/>
  <c r="M126" i="10"/>
  <c r="G126" i="10"/>
  <c r="O77" i="10"/>
  <c r="F77" i="10"/>
  <c r="J26" i="10"/>
  <c r="D26" i="10"/>
  <c r="G20" i="10"/>
  <c r="G21" i="10"/>
  <c r="G19" i="10"/>
  <c r="G14" i="10"/>
  <c r="G15" i="10"/>
  <c r="G16" i="10"/>
  <c r="E126" i="10" s="1"/>
  <c r="F126" i="10" s="1"/>
  <c r="G17" i="10"/>
  <c r="G13" i="10"/>
  <c r="L84" i="10"/>
  <c r="L83" i="10"/>
  <c r="L82" i="10"/>
  <c r="L81" i="10"/>
  <c r="L80" i="10"/>
  <c r="L79" i="10"/>
  <c r="L78" i="10"/>
  <c r="L77" i="10"/>
  <c r="I46" i="9"/>
  <c r="I47" i="9"/>
  <c r="I48" i="9"/>
  <c r="I49" i="9"/>
  <c r="I50" i="9"/>
  <c r="I51" i="9"/>
  <c r="I52" i="9"/>
  <c r="I53" i="9"/>
  <c r="I54" i="9"/>
  <c r="I55" i="9"/>
  <c r="I56" i="9"/>
  <c r="I57" i="9"/>
  <c r="I58" i="9"/>
  <c r="I59" i="9"/>
  <c r="I60" i="9"/>
  <c r="I38" i="9"/>
  <c r="I39" i="9"/>
  <c r="I40" i="9"/>
  <c r="I41" i="9"/>
  <c r="I42" i="9"/>
  <c r="I43" i="9"/>
  <c r="I44" i="9"/>
  <c r="I45" i="9"/>
  <c r="I37" i="9"/>
  <c r="H6" i="9"/>
  <c r="K13" i="9" s="1"/>
  <c r="K14" i="9" s="1"/>
  <c r="K15" i="9" s="1"/>
  <c r="K16" i="9" s="1"/>
  <c r="K17" i="9" s="1"/>
  <c r="K18" i="9" s="1"/>
  <c r="K19" i="9" s="1"/>
  <c r="K20" i="9" s="1"/>
  <c r="K21" i="9" s="1"/>
  <c r="K22" i="9" s="1"/>
  <c r="K23" i="9" s="1"/>
  <c r="K24" i="9" s="1"/>
  <c r="K25" i="9" s="1"/>
  <c r="K26" i="9" s="1"/>
  <c r="K27" i="9" s="1"/>
  <c r="K28" i="9" s="1"/>
  <c r="K29" i="9" s="1"/>
  <c r="K30" i="9" s="1"/>
  <c r="K31" i="9" s="1"/>
  <c r="K32" i="9" s="1"/>
  <c r="K33" i="9" s="1"/>
  <c r="K34" i="9" s="1"/>
  <c r="K35" i="9" s="1"/>
  <c r="K36" i="9" s="1"/>
  <c r="K37" i="9" s="1"/>
  <c r="K38" i="9" s="1"/>
  <c r="K39" i="9" s="1"/>
  <c r="K40" i="9" s="1"/>
  <c r="K41" i="9" s="1"/>
  <c r="K42" i="9" s="1"/>
  <c r="K43" i="9" s="1"/>
  <c r="K44" i="9" s="1"/>
  <c r="K45" i="9" s="1"/>
  <c r="K46" i="9" s="1"/>
  <c r="K47" i="9" s="1"/>
  <c r="K48" i="9" s="1"/>
  <c r="K49" i="9" s="1"/>
  <c r="K50" i="9" s="1"/>
  <c r="K51" i="9" s="1"/>
  <c r="K52" i="9" s="1"/>
  <c r="K53" i="9" s="1"/>
  <c r="K54" i="9" s="1"/>
  <c r="K55" i="9" s="1"/>
  <c r="K56" i="9" s="1"/>
  <c r="K57" i="9" s="1"/>
  <c r="K58" i="9" s="1"/>
  <c r="K59" i="9" s="1"/>
  <c r="K60" i="9" s="1"/>
  <c r="H12" i="9"/>
  <c r="I12" i="9"/>
  <c r="J12" i="9" s="1"/>
  <c r="M12" i="9" s="1"/>
  <c r="I13" i="9"/>
  <c r="I14" i="9"/>
  <c r="I15" i="9"/>
  <c r="I16" i="9"/>
  <c r="I17" i="9"/>
  <c r="I18" i="9"/>
  <c r="I19" i="9"/>
  <c r="I20" i="9"/>
  <c r="I21" i="9"/>
  <c r="I22" i="9"/>
  <c r="I23" i="9"/>
  <c r="I24" i="9"/>
  <c r="I25" i="9"/>
  <c r="I26" i="9"/>
  <c r="I27" i="9"/>
  <c r="I28" i="9"/>
  <c r="I29" i="9"/>
  <c r="I30" i="9"/>
  <c r="I31" i="9"/>
  <c r="I32" i="9"/>
  <c r="I33" i="9"/>
  <c r="I34" i="9"/>
  <c r="I35" i="9"/>
  <c r="I36" i="9"/>
  <c r="H4" i="9"/>
  <c r="B26" i="8"/>
  <c r="B27" i="8"/>
  <c r="B28" i="8"/>
  <c r="D41" i="8" s="1"/>
  <c r="F86" i="8" s="1"/>
  <c r="B20" i="8"/>
  <c r="B33" i="8" s="1"/>
  <c r="B78" i="8" s="1"/>
  <c r="B167" i="8" s="1"/>
  <c r="B21" i="8"/>
  <c r="B22" i="8"/>
  <c r="B23" i="8"/>
  <c r="B24" i="8"/>
  <c r="B25" i="8"/>
  <c r="C38" i="8" s="1"/>
  <c r="D83" i="8" s="1"/>
  <c r="I83" i="8" s="1"/>
  <c r="C3" i="2"/>
  <c r="C5" i="2"/>
  <c r="C4" i="2"/>
  <c r="C2" i="2"/>
  <c r="C17" i="2" s="1"/>
  <c r="T16" i="2"/>
  <c r="T9" i="2"/>
  <c r="T10" i="2"/>
  <c r="T11" i="2"/>
  <c r="T12" i="2"/>
  <c r="T13" i="2"/>
  <c r="T14" i="2"/>
  <c r="T15" i="2"/>
  <c r="S9" i="2"/>
  <c r="S10" i="2"/>
  <c r="S11" i="2"/>
  <c r="S12" i="2"/>
  <c r="S13" i="2"/>
  <c r="F3" i="2"/>
  <c r="E11" i="8" s="1"/>
  <c r="F5" i="6"/>
  <c r="H4" i="3"/>
  <c r="I4" i="3" s="1"/>
  <c r="D4" i="3"/>
  <c r="F4" i="3" s="1"/>
  <c r="C4" i="3"/>
  <c r="B4" i="3"/>
  <c r="E12" i="14" l="1"/>
  <c r="F12" i="14" s="1"/>
  <c r="C13" i="14"/>
  <c r="C14" i="14" s="1"/>
  <c r="E13" i="14"/>
  <c r="F13" i="14" s="1"/>
  <c r="G86" i="8"/>
  <c r="J86" i="8"/>
  <c r="D167" i="8"/>
  <c r="E167" i="8"/>
  <c r="O99" i="8"/>
  <c r="O115" i="8"/>
  <c r="O113" i="8"/>
  <c r="O91" i="8"/>
  <c r="O95" i="8"/>
  <c r="O89" i="8"/>
  <c r="D21" i="8"/>
  <c r="N128" i="10"/>
  <c r="L12" i="10"/>
  <c r="O97" i="8"/>
  <c r="O111" i="8"/>
  <c r="O82" i="8"/>
  <c r="O107" i="8"/>
  <c r="O105" i="8"/>
  <c r="I17" i="2"/>
  <c r="P17" i="2" s="1"/>
  <c r="Q17" i="2" s="1"/>
  <c r="O106" i="8"/>
  <c r="O90" i="8"/>
  <c r="O103" i="8"/>
  <c r="O83" i="8"/>
  <c r="O114" i="8"/>
  <c r="O98" i="8"/>
  <c r="O81" i="8"/>
  <c r="O112" i="8"/>
  <c r="O104" i="8"/>
  <c r="O96" i="8"/>
  <c r="O88" i="8"/>
  <c r="O87" i="8"/>
  <c r="O102" i="8"/>
  <c r="O86" i="8"/>
  <c r="O80" i="8"/>
  <c r="O109" i="8"/>
  <c r="O101" i="8"/>
  <c r="O93" i="8"/>
  <c r="O85" i="8"/>
  <c r="O79" i="8"/>
  <c r="O110" i="8"/>
  <c r="O94" i="8"/>
  <c r="O116" i="8"/>
  <c r="O108" i="8"/>
  <c r="O100" i="8"/>
  <c r="O92" i="8"/>
  <c r="N130" i="10"/>
  <c r="N127" i="10"/>
  <c r="E4" i="10"/>
  <c r="N126" i="10"/>
  <c r="N133" i="10"/>
  <c r="N132" i="10"/>
  <c r="N131" i="10"/>
  <c r="N129" i="10"/>
  <c r="Y138" i="10"/>
  <c r="B17" i="10"/>
  <c r="B16" i="10"/>
  <c r="X77" i="10"/>
  <c r="D77" i="10"/>
  <c r="M77" i="10" s="1"/>
  <c r="D27" i="10"/>
  <c r="D28" i="10" s="1"/>
  <c r="D29" i="10" s="1"/>
  <c r="D30" i="10" s="1"/>
  <c r="D31" i="10" s="1"/>
  <c r="D32" i="10" s="1"/>
  <c r="D33" i="10" s="1"/>
  <c r="D34" i="10" s="1"/>
  <c r="D35" i="10" s="1"/>
  <c r="D36" i="10" s="1"/>
  <c r="D37" i="10" s="1"/>
  <c r="D38" i="10" s="1"/>
  <c r="D39" i="10" s="1"/>
  <c r="D40" i="10" s="1"/>
  <c r="D41" i="10" s="1"/>
  <c r="D42" i="10" s="1"/>
  <c r="D43" i="10" s="1"/>
  <c r="D44" i="10" s="1"/>
  <c r="D45" i="10" s="1"/>
  <c r="D46" i="10" s="1"/>
  <c r="D47" i="10" s="1"/>
  <c r="D48" i="10" s="1"/>
  <c r="D49" i="10" s="1"/>
  <c r="D50" i="10" s="1"/>
  <c r="D51" i="10" s="1"/>
  <c r="D52" i="10" s="1"/>
  <c r="D53" i="10" s="1"/>
  <c r="D54" i="10" s="1"/>
  <c r="D55" i="10" s="1"/>
  <c r="D56" i="10" s="1"/>
  <c r="D57" i="10" s="1"/>
  <c r="D58" i="10" s="1"/>
  <c r="D59" i="10" s="1"/>
  <c r="D60" i="10" s="1"/>
  <c r="D61" i="10" s="1"/>
  <c r="D62" i="10" s="1"/>
  <c r="D63" i="10" s="1"/>
  <c r="D64" i="10" s="1"/>
  <c r="Q127" i="10"/>
  <c r="Q128" i="10" s="1"/>
  <c r="Q129" i="10" s="1"/>
  <c r="Q130" i="10" s="1"/>
  <c r="Q131" i="10" s="1"/>
  <c r="Q132" i="10" s="1"/>
  <c r="Q133" i="10" s="1"/>
  <c r="Q134" i="10" s="1"/>
  <c r="Q135" i="10" s="1"/>
  <c r="Q136" i="10" s="1"/>
  <c r="Q137" i="10" s="1"/>
  <c r="Q138" i="10" s="1"/>
  <c r="Q139" i="10" s="1"/>
  <c r="Q140" i="10" s="1"/>
  <c r="Q141" i="10" s="1"/>
  <c r="Q142" i="10" s="1"/>
  <c r="Q143" i="10" s="1"/>
  <c r="Q144" i="10" s="1"/>
  <c r="Q145" i="10" s="1"/>
  <c r="Q146" i="10" s="1"/>
  <c r="Q147" i="10" s="1"/>
  <c r="Q148" i="10" s="1"/>
  <c r="Q149" i="10" s="1"/>
  <c r="Q150" i="10" s="1"/>
  <c r="Q151" i="10" s="1"/>
  <c r="Q152" i="10" s="1"/>
  <c r="Q153" i="10" s="1"/>
  <c r="Q154" i="10" s="1"/>
  <c r="Q155" i="10" s="1"/>
  <c r="Q156" i="10" s="1"/>
  <c r="Q157" i="10" s="1"/>
  <c r="Q158" i="10" s="1"/>
  <c r="Q159" i="10" s="1"/>
  <c r="Q160" i="10" s="1"/>
  <c r="Q161" i="10" s="1"/>
  <c r="Q162" i="10" s="1"/>
  <c r="Q163" i="10" s="1"/>
  <c r="Q164" i="10" s="1"/>
  <c r="F78" i="10"/>
  <c r="F79" i="10" s="1"/>
  <c r="F80" i="10" s="1"/>
  <c r="F81" i="10" s="1"/>
  <c r="F82" i="10" s="1"/>
  <c r="F83" i="10" s="1"/>
  <c r="F84" i="10" s="1"/>
  <c r="F85" i="10" s="1"/>
  <c r="F86" i="10" s="1"/>
  <c r="F87" i="10" s="1"/>
  <c r="F88" i="10" s="1"/>
  <c r="F89" i="10" s="1"/>
  <c r="F90" i="10" s="1"/>
  <c r="F91" i="10" s="1"/>
  <c r="F92" i="10" s="1"/>
  <c r="F93" i="10" s="1"/>
  <c r="F94" i="10" s="1"/>
  <c r="F95" i="10" s="1"/>
  <c r="F96" i="10" s="1"/>
  <c r="F97" i="10" s="1"/>
  <c r="F98" i="10" s="1"/>
  <c r="F99" i="10" s="1"/>
  <c r="F100" i="10" s="1"/>
  <c r="F101" i="10" s="1"/>
  <c r="F102" i="10" s="1"/>
  <c r="F103" i="10" s="1"/>
  <c r="F104" i="10" s="1"/>
  <c r="F105" i="10" s="1"/>
  <c r="F106" i="10" s="1"/>
  <c r="F107" i="10" s="1"/>
  <c r="F108" i="10" s="1"/>
  <c r="F109" i="10" s="1"/>
  <c r="F110" i="10" s="1"/>
  <c r="F111" i="10" s="1"/>
  <c r="F112" i="10" s="1"/>
  <c r="F113" i="10" s="1"/>
  <c r="F114" i="10" s="1"/>
  <c r="F115" i="10" s="1"/>
  <c r="O78" i="10"/>
  <c r="O79" i="10" s="1"/>
  <c r="O80" i="10" s="1"/>
  <c r="O81" i="10" s="1"/>
  <c r="O82" i="10" s="1"/>
  <c r="O83" i="10" s="1"/>
  <c r="O84" i="10" s="1"/>
  <c r="O85" i="10" s="1"/>
  <c r="O86" i="10" s="1"/>
  <c r="O87" i="10" s="1"/>
  <c r="O88" i="10" s="1"/>
  <c r="O89" i="10" s="1"/>
  <c r="O90" i="10" s="1"/>
  <c r="O91" i="10" s="1"/>
  <c r="O92" i="10" s="1"/>
  <c r="O93" i="10" s="1"/>
  <c r="O94" i="10" s="1"/>
  <c r="O95" i="10" s="1"/>
  <c r="O96" i="10" s="1"/>
  <c r="O97" i="10" s="1"/>
  <c r="O98" i="10" s="1"/>
  <c r="O99" i="10" s="1"/>
  <c r="O100" i="10" s="1"/>
  <c r="O101" i="10" s="1"/>
  <c r="O102" i="10" s="1"/>
  <c r="O103" i="10" s="1"/>
  <c r="O104" i="10" s="1"/>
  <c r="O105" i="10" s="1"/>
  <c r="O106" i="10" s="1"/>
  <c r="O107" i="10" s="1"/>
  <c r="O108" i="10" s="1"/>
  <c r="O109" i="10" s="1"/>
  <c r="O110" i="10" s="1"/>
  <c r="O111" i="10" s="1"/>
  <c r="O112" i="10" s="1"/>
  <c r="O113" i="10" s="1"/>
  <c r="O114" i="10" s="1"/>
  <c r="O115" i="10" s="1"/>
  <c r="G127" i="10"/>
  <c r="G128" i="10" s="1"/>
  <c r="G129" i="10" s="1"/>
  <c r="G130" i="10" s="1"/>
  <c r="G131" i="10" s="1"/>
  <c r="G132" i="10" s="1"/>
  <c r="G133" i="10" s="1"/>
  <c r="G134" i="10" s="1"/>
  <c r="G135" i="10" s="1"/>
  <c r="G136" i="10" s="1"/>
  <c r="G137" i="10" s="1"/>
  <c r="G138" i="10" s="1"/>
  <c r="G139" i="10" s="1"/>
  <c r="G140" i="10" s="1"/>
  <c r="G141" i="10" s="1"/>
  <c r="G142" i="10" s="1"/>
  <c r="G143" i="10" s="1"/>
  <c r="G144" i="10" s="1"/>
  <c r="G145" i="10" s="1"/>
  <c r="G146" i="10" s="1"/>
  <c r="G147" i="10" s="1"/>
  <c r="G148" i="10" s="1"/>
  <c r="G149" i="10" s="1"/>
  <c r="G150" i="10" s="1"/>
  <c r="G151" i="10" s="1"/>
  <c r="G152" i="10" s="1"/>
  <c r="G153" i="10" s="1"/>
  <c r="G154" i="10" s="1"/>
  <c r="G155" i="10" s="1"/>
  <c r="G156" i="10" s="1"/>
  <c r="G157" i="10" s="1"/>
  <c r="G158" i="10" s="1"/>
  <c r="G159" i="10" s="1"/>
  <c r="G160" i="10" s="1"/>
  <c r="G161" i="10" s="1"/>
  <c r="G162" i="10" s="1"/>
  <c r="G163" i="10" s="1"/>
  <c r="G164" i="10" s="1"/>
  <c r="F5" i="2"/>
  <c r="B15" i="10"/>
  <c r="B14" i="10"/>
  <c r="B13" i="10"/>
  <c r="B26" i="10" s="1"/>
  <c r="B27" i="10" s="1"/>
  <c r="C78" i="10" s="1"/>
  <c r="B21" i="10"/>
  <c r="H34" i="10" s="1"/>
  <c r="B20" i="10"/>
  <c r="B18" i="10"/>
  <c r="F26" i="10"/>
  <c r="N26" i="10" s="1"/>
  <c r="I21" i="10"/>
  <c r="E127" i="10"/>
  <c r="F127" i="10" s="1"/>
  <c r="O126" i="10"/>
  <c r="J27" i="10"/>
  <c r="J28" i="10" s="1"/>
  <c r="J29" i="10" s="1"/>
  <c r="J30" i="10" s="1"/>
  <c r="J31" i="10" s="1"/>
  <c r="J32" i="10" s="1"/>
  <c r="J33" i="10" s="1"/>
  <c r="J34" i="10" s="1"/>
  <c r="J35" i="10" s="1"/>
  <c r="J36" i="10" s="1"/>
  <c r="J37" i="10" s="1"/>
  <c r="J38" i="10" s="1"/>
  <c r="J39" i="10" s="1"/>
  <c r="J40" i="10" s="1"/>
  <c r="J41" i="10" s="1"/>
  <c r="J42" i="10" s="1"/>
  <c r="J43" i="10" s="1"/>
  <c r="J44" i="10" s="1"/>
  <c r="J45" i="10" s="1"/>
  <c r="J46" i="10" s="1"/>
  <c r="J47" i="10" s="1"/>
  <c r="J48" i="10" s="1"/>
  <c r="J49" i="10" s="1"/>
  <c r="J50" i="10" s="1"/>
  <c r="J51" i="10" s="1"/>
  <c r="J52" i="10" s="1"/>
  <c r="J53" i="10" s="1"/>
  <c r="J54" i="10" s="1"/>
  <c r="J55" i="10" s="1"/>
  <c r="J56" i="10" s="1"/>
  <c r="J57" i="10" s="1"/>
  <c r="J58" i="10" s="1"/>
  <c r="J59" i="10" s="1"/>
  <c r="J60" i="10" s="1"/>
  <c r="J61" i="10" s="1"/>
  <c r="J62" i="10" s="1"/>
  <c r="J63" i="10" s="1"/>
  <c r="J64" i="10" s="1"/>
  <c r="I16" i="10"/>
  <c r="I17" i="10"/>
  <c r="I15" i="10"/>
  <c r="I20" i="10"/>
  <c r="I19" i="10"/>
  <c r="I14" i="10"/>
  <c r="I18" i="10"/>
  <c r="I27" i="10"/>
  <c r="I26" i="10"/>
  <c r="K26" i="10" s="1"/>
  <c r="L26" i="10" s="1"/>
  <c r="O26" i="10" s="1"/>
  <c r="D28" i="8"/>
  <c r="H13" i="9"/>
  <c r="J13" i="9" s="1"/>
  <c r="D24" i="8"/>
  <c r="D27" i="8"/>
  <c r="C39" i="8"/>
  <c r="B34" i="8"/>
  <c r="D42" i="8"/>
  <c r="D23" i="8"/>
  <c r="D26" i="8"/>
  <c r="D25" i="8"/>
  <c r="D22" i="8"/>
  <c r="C12" i="2"/>
  <c r="C14" i="2"/>
  <c r="H14" i="2" s="1"/>
  <c r="N14" i="2" s="1"/>
  <c r="O14" i="2" s="1"/>
  <c r="C15" i="2"/>
  <c r="C16" i="2"/>
  <c r="E17" i="2" s="1"/>
  <c r="C10" i="2"/>
  <c r="C11" i="2"/>
  <c r="C13" i="2"/>
  <c r="C9" i="2"/>
  <c r="G9" i="2" s="1"/>
  <c r="G10" i="2" s="1"/>
  <c r="G11" i="2" s="1"/>
  <c r="G12" i="2" s="1"/>
  <c r="G13" i="2" s="1"/>
  <c r="G14" i="2" s="1"/>
  <c r="G15" i="2" s="1"/>
  <c r="G16" i="2" s="1"/>
  <c r="G17" i="2" s="1"/>
  <c r="G18" i="2" s="1"/>
  <c r="G19" i="2" s="1"/>
  <c r="G20" i="2" s="1"/>
  <c r="G21" i="2" s="1"/>
  <c r="G22" i="2" s="1"/>
  <c r="G23" i="2" s="1"/>
  <c r="G24" i="2" s="1"/>
  <c r="G25" i="2" s="1"/>
  <c r="G26" i="2" s="1"/>
  <c r="G27" i="2" s="1"/>
  <c r="G28" i="2" s="1"/>
  <c r="G29" i="2" s="1"/>
  <c r="G30" i="2" s="1"/>
  <c r="G31" i="2" s="1"/>
  <c r="G32" i="2" s="1"/>
  <c r="G33" i="2" s="1"/>
  <c r="G34" i="2" s="1"/>
  <c r="G35" i="2" s="1"/>
  <c r="G36" i="2" s="1"/>
  <c r="G37" i="2" s="1"/>
  <c r="G38" i="2" s="1"/>
  <c r="G39" i="2" s="1"/>
  <c r="G40" i="2" s="1"/>
  <c r="G41" i="2" s="1"/>
  <c r="G42" i="2" s="1"/>
  <c r="G43" i="2" s="1"/>
  <c r="G44" i="2" s="1"/>
  <c r="G45" i="2" s="1"/>
  <c r="G46" i="2" s="1"/>
  <c r="G47" i="2" s="1"/>
  <c r="Z9" i="2"/>
  <c r="C15" i="14" l="1"/>
  <c r="E14" i="14"/>
  <c r="F14" i="14" s="1"/>
  <c r="I18" i="2"/>
  <c r="I19" i="2" s="1"/>
  <c r="R126" i="10"/>
  <c r="D43" i="8"/>
  <c r="F87" i="8"/>
  <c r="J87" i="8" s="1"/>
  <c r="B35" i="8"/>
  <c r="B79" i="8"/>
  <c r="V17" i="2"/>
  <c r="C40" i="8"/>
  <c r="D84" i="8"/>
  <c r="I84" i="8" s="1"/>
  <c r="D18" i="10"/>
  <c r="D17" i="10"/>
  <c r="D21" i="10"/>
  <c r="L134" i="10"/>
  <c r="L135" i="10" s="1"/>
  <c r="L136" i="10" s="1"/>
  <c r="M136" i="10" s="1"/>
  <c r="C27" i="10"/>
  <c r="E27" i="10" s="1"/>
  <c r="F27" i="10" s="1"/>
  <c r="N27" i="10" s="1"/>
  <c r="B126" i="10"/>
  <c r="B127" i="10" s="1"/>
  <c r="K85" i="10"/>
  <c r="L85" i="10" s="1"/>
  <c r="C77" i="10"/>
  <c r="E128" i="10"/>
  <c r="E129" i="10" s="1"/>
  <c r="B28" i="10"/>
  <c r="C79" i="10" s="1"/>
  <c r="B77" i="10"/>
  <c r="B78" i="10" s="1"/>
  <c r="B79" i="10" s="1"/>
  <c r="B80" i="10" s="1"/>
  <c r="B81" i="10" s="1"/>
  <c r="D19" i="10"/>
  <c r="D20" i="10"/>
  <c r="D14" i="10"/>
  <c r="C26" i="10"/>
  <c r="E26" i="10" s="1"/>
  <c r="D15" i="10"/>
  <c r="D16" i="10"/>
  <c r="P126" i="10"/>
  <c r="O127" i="10"/>
  <c r="K27" i="10"/>
  <c r="L27" i="10" s="1"/>
  <c r="O27" i="10" s="1"/>
  <c r="N77" i="10"/>
  <c r="M78" i="10"/>
  <c r="D78" i="10"/>
  <c r="E77" i="10"/>
  <c r="I28" i="10"/>
  <c r="K28" i="10" s="1"/>
  <c r="M13" i="9"/>
  <c r="H14" i="9"/>
  <c r="J14" i="9" s="1"/>
  <c r="E11" i="2"/>
  <c r="E10" i="2"/>
  <c r="E16" i="2"/>
  <c r="E12" i="2"/>
  <c r="E15" i="2"/>
  <c r="H15" i="2"/>
  <c r="E13" i="2"/>
  <c r="K9" i="2"/>
  <c r="X9" i="2" s="1"/>
  <c r="E14" i="2"/>
  <c r="C16" i="14" l="1"/>
  <c r="E15" i="14"/>
  <c r="F15" i="14" s="1"/>
  <c r="B168" i="8"/>
  <c r="E168" i="8" s="1"/>
  <c r="H79" i="8"/>
  <c r="P18" i="2"/>
  <c r="H16" i="2"/>
  <c r="N15" i="2"/>
  <c r="I20" i="2"/>
  <c r="P19" i="2"/>
  <c r="D44" i="8"/>
  <c r="F88" i="8"/>
  <c r="J88" i="8" s="1"/>
  <c r="B36" i="8"/>
  <c r="B80" i="8"/>
  <c r="C41" i="8"/>
  <c r="D85" i="8"/>
  <c r="I85" i="8" s="1"/>
  <c r="M135" i="10"/>
  <c r="N135" i="10" s="1"/>
  <c r="N136" i="10"/>
  <c r="G77" i="10"/>
  <c r="H77" i="10" s="1"/>
  <c r="C28" i="10"/>
  <c r="E28" i="10" s="1"/>
  <c r="F28" i="10" s="1"/>
  <c r="N28" i="10" s="1"/>
  <c r="C126" i="10"/>
  <c r="D126" i="10" s="1"/>
  <c r="M134" i="10"/>
  <c r="F128" i="10"/>
  <c r="L137" i="10"/>
  <c r="K86" i="10"/>
  <c r="K87" i="10" s="1"/>
  <c r="L87" i="10" s="1"/>
  <c r="B29" i="10"/>
  <c r="C80" i="10" s="1"/>
  <c r="O128" i="10"/>
  <c r="P127" i="10"/>
  <c r="R127" i="10" s="1"/>
  <c r="L28" i="10"/>
  <c r="O28" i="10" s="1"/>
  <c r="B128" i="10"/>
  <c r="C127" i="10"/>
  <c r="H127" i="10" s="1"/>
  <c r="P77" i="10"/>
  <c r="Q77" i="10" s="1"/>
  <c r="F129" i="10"/>
  <c r="E130" i="10"/>
  <c r="N78" i="10"/>
  <c r="M79" i="10"/>
  <c r="E78" i="10"/>
  <c r="G78" i="10" s="1"/>
  <c r="D79" i="10"/>
  <c r="B82" i="10"/>
  <c r="I29" i="10"/>
  <c r="K29" i="10" s="1"/>
  <c r="B123" i="8"/>
  <c r="C123" i="8" s="1"/>
  <c r="M14" i="9"/>
  <c r="H15" i="9"/>
  <c r="J15" i="9" s="1"/>
  <c r="L9" i="2"/>
  <c r="L10" i="2" s="1"/>
  <c r="E83" i="8"/>
  <c r="C78" i="8"/>
  <c r="H78" i="8" s="1"/>
  <c r="K78" i="8" s="1"/>
  <c r="B124" i="8"/>
  <c r="Y9" i="2"/>
  <c r="M9" i="2"/>
  <c r="R9" i="2" s="1"/>
  <c r="U9" i="2" s="1"/>
  <c r="K10" i="2"/>
  <c r="K11" i="2" s="1"/>
  <c r="K12" i="2" s="1"/>
  <c r="K13" i="2" s="1"/>
  <c r="K14" i="2" s="1"/>
  <c r="K15" i="2" s="1"/>
  <c r="K16" i="2" s="1"/>
  <c r="K17" i="2" s="1"/>
  <c r="K18" i="2" s="1"/>
  <c r="K19" i="2" s="1"/>
  <c r="K20" i="2" s="1"/>
  <c r="K21" i="2" s="1"/>
  <c r="K22" i="2" s="1"/>
  <c r="K23" i="2" s="1"/>
  <c r="K24" i="2" s="1"/>
  <c r="K25" i="2" s="1"/>
  <c r="K26" i="2" s="1"/>
  <c r="K27" i="2" s="1"/>
  <c r="K28" i="2" s="1"/>
  <c r="K29" i="2" s="1"/>
  <c r="K30" i="2" s="1"/>
  <c r="K31" i="2" s="1"/>
  <c r="K32" i="2" s="1"/>
  <c r="K33" i="2" s="1"/>
  <c r="K34" i="2" s="1"/>
  <c r="K35" i="2" s="1"/>
  <c r="K36" i="2" s="1"/>
  <c r="K37" i="2" s="1"/>
  <c r="K38" i="2" s="1"/>
  <c r="K39" i="2" s="1"/>
  <c r="C17" i="14" l="1"/>
  <c r="E16" i="14"/>
  <c r="F16" i="14" s="1"/>
  <c r="K79" i="8"/>
  <c r="K80" i="8" s="1"/>
  <c r="B169" i="8"/>
  <c r="E169" i="8" s="1"/>
  <c r="H80" i="8"/>
  <c r="D168" i="8"/>
  <c r="C124" i="8"/>
  <c r="E123" i="8"/>
  <c r="E124" i="8" s="1"/>
  <c r="D123" i="8"/>
  <c r="D124" i="8" s="1"/>
  <c r="H17" i="2"/>
  <c r="N16" i="2"/>
  <c r="D45" i="8"/>
  <c r="F89" i="8"/>
  <c r="J89" i="8" s="1"/>
  <c r="B37" i="8"/>
  <c r="B81" i="8"/>
  <c r="I21" i="2"/>
  <c r="P20" i="2"/>
  <c r="C42" i="8"/>
  <c r="D86" i="8"/>
  <c r="I86" i="8" s="1"/>
  <c r="N134" i="10"/>
  <c r="H78" i="10"/>
  <c r="H126" i="10"/>
  <c r="I126" i="10" s="1"/>
  <c r="I127" i="10" s="1"/>
  <c r="S126" i="10"/>
  <c r="S127" i="10" s="1"/>
  <c r="C29" i="10"/>
  <c r="E29" i="10" s="1"/>
  <c r="F29" i="10" s="1"/>
  <c r="N29" i="10" s="1"/>
  <c r="D127" i="10"/>
  <c r="M137" i="10"/>
  <c r="L138" i="10"/>
  <c r="K88" i="10"/>
  <c r="K89" i="10" s="1"/>
  <c r="B30" i="10"/>
  <c r="C81" i="10" s="1"/>
  <c r="L86" i="10"/>
  <c r="G87" i="8"/>
  <c r="L29" i="10"/>
  <c r="O29" i="10" s="1"/>
  <c r="P128" i="10"/>
  <c r="R128" i="10" s="1"/>
  <c r="O129" i="10"/>
  <c r="B129" i="10"/>
  <c r="C128" i="10"/>
  <c r="H128" i="10" s="1"/>
  <c r="P78" i="10"/>
  <c r="Q78" i="10" s="1"/>
  <c r="E131" i="10"/>
  <c r="F130" i="10"/>
  <c r="M80" i="10"/>
  <c r="N79" i="10"/>
  <c r="E79" i="10"/>
  <c r="G79" i="10" s="1"/>
  <c r="D80" i="10"/>
  <c r="B83" i="10"/>
  <c r="I30" i="10"/>
  <c r="K30" i="10" s="1"/>
  <c r="H16" i="9"/>
  <c r="J16" i="9" s="1"/>
  <c r="M15" i="9"/>
  <c r="M10" i="2"/>
  <c r="S14" i="2"/>
  <c r="S15" i="2" s="1"/>
  <c r="O15" i="2"/>
  <c r="B125" i="8"/>
  <c r="C79" i="8"/>
  <c r="E84" i="8"/>
  <c r="V18" i="2"/>
  <c r="Q18" i="2"/>
  <c r="K40" i="2"/>
  <c r="L11" i="2"/>
  <c r="R10" i="2"/>
  <c r="U10" i="2" s="1"/>
  <c r="C18" i="14" l="1"/>
  <c r="E17" i="14"/>
  <c r="F17" i="14" s="1"/>
  <c r="D169" i="8"/>
  <c r="K81" i="8"/>
  <c r="B170" i="8"/>
  <c r="E170" i="8" s="1"/>
  <c r="H81" i="8"/>
  <c r="C125" i="8"/>
  <c r="H79" i="10"/>
  <c r="D46" i="8"/>
  <c r="F90" i="8"/>
  <c r="J90" i="8" s="1"/>
  <c r="H18" i="2"/>
  <c r="N17" i="2"/>
  <c r="B38" i="8"/>
  <c r="B82" i="8"/>
  <c r="I22" i="2"/>
  <c r="P21" i="2"/>
  <c r="D125" i="8"/>
  <c r="E125" i="8"/>
  <c r="C43" i="8"/>
  <c r="D87" i="8"/>
  <c r="I87" i="8" s="1"/>
  <c r="G88" i="8"/>
  <c r="E85" i="8"/>
  <c r="N137" i="10"/>
  <c r="B31" i="10"/>
  <c r="C82" i="10" s="1"/>
  <c r="C30" i="10"/>
  <c r="E30" i="10" s="1"/>
  <c r="F30" i="10" s="1"/>
  <c r="N30" i="10" s="1"/>
  <c r="L88" i="10"/>
  <c r="I128" i="10"/>
  <c r="D128" i="10"/>
  <c r="M138" i="10"/>
  <c r="L139" i="10"/>
  <c r="S128" i="10"/>
  <c r="L30" i="10"/>
  <c r="O30" i="10" s="1"/>
  <c r="O130" i="10"/>
  <c r="P129" i="10"/>
  <c r="R129" i="10" s="1"/>
  <c r="B130" i="10"/>
  <c r="C129" i="10"/>
  <c r="H129" i="10" s="1"/>
  <c r="P79" i="10"/>
  <c r="Q79" i="10" s="1"/>
  <c r="E132" i="10"/>
  <c r="F131" i="10"/>
  <c r="M81" i="10"/>
  <c r="N80" i="10"/>
  <c r="D81" i="10"/>
  <c r="E80" i="10"/>
  <c r="G80" i="10" s="1"/>
  <c r="B84" i="10"/>
  <c r="K90" i="10"/>
  <c r="L89" i="10"/>
  <c r="I31" i="10"/>
  <c r="K31" i="10" s="1"/>
  <c r="M16" i="9"/>
  <c r="H17" i="9"/>
  <c r="J17" i="9" s="1"/>
  <c r="C80" i="8"/>
  <c r="M11" i="2"/>
  <c r="R11" i="2"/>
  <c r="U11" i="2" s="1"/>
  <c r="B126" i="8"/>
  <c r="V19" i="2"/>
  <c r="V20" i="2" s="1"/>
  <c r="K41" i="2"/>
  <c r="Q19" i="2"/>
  <c r="Q20" i="2" s="1"/>
  <c r="L12" i="2"/>
  <c r="L13" i="2" s="1"/>
  <c r="L14" i="2" s="1"/>
  <c r="L15" i="2" s="1"/>
  <c r="L16" i="2" s="1"/>
  <c r="L17" i="2" s="1"/>
  <c r="L18" i="2" s="1"/>
  <c r="L19" i="2" s="1"/>
  <c r="L20" i="2" s="1"/>
  <c r="L21" i="2" s="1"/>
  <c r="L22" i="2" s="1"/>
  <c r="L23" i="2" s="1"/>
  <c r="L24" i="2" s="1"/>
  <c r="L25" i="2" s="1"/>
  <c r="L26" i="2" s="1"/>
  <c r="L27" i="2" s="1"/>
  <c r="L28" i="2" s="1"/>
  <c r="L29" i="2" s="1"/>
  <c r="L30" i="2" s="1"/>
  <c r="L31" i="2" s="1"/>
  <c r="L32" i="2" s="1"/>
  <c r="L33" i="2" s="1"/>
  <c r="L34" i="2" s="1"/>
  <c r="L35" i="2" s="1"/>
  <c r="L36" i="2" s="1"/>
  <c r="L37" i="2" s="1"/>
  <c r="L38" i="2" s="1"/>
  <c r="L39" i="2" s="1"/>
  <c r="L40" i="2" s="1"/>
  <c r="L41" i="2" s="1"/>
  <c r="L42" i="2" s="1"/>
  <c r="L43" i="2" s="1"/>
  <c r="L44" i="2" s="1"/>
  <c r="L45" i="2" s="1"/>
  <c r="L46" i="2" s="1"/>
  <c r="L47" i="2" s="1"/>
  <c r="C19" i="14" l="1"/>
  <c r="E18" i="14"/>
  <c r="F18" i="14" s="1"/>
  <c r="K82" i="8"/>
  <c r="B171" i="8"/>
  <c r="E171" i="8" s="1"/>
  <c r="H82" i="8"/>
  <c r="D170" i="8"/>
  <c r="D171" i="8" s="1"/>
  <c r="D126" i="8"/>
  <c r="H80" i="10"/>
  <c r="V21" i="2"/>
  <c r="C126" i="8"/>
  <c r="B39" i="8"/>
  <c r="B83" i="8"/>
  <c r="H83" i="8" s="1"/>
  <c r="D47" i="8"/>
  <c r="F91" i="8"/>
  <c r="J91" i="8" s="1"/>
  <c r="I23" i="2"/>
  <c r="P22" i="2"/>
  <c r="H19" i="2"/>
  <c r="N18" i="2"/>
  <c r="Q21" i="2"/>
  <c r="E126" i="8"/>
  <c r="C44" i="8"/>
  <c r="D88" i="8"/>
  <c r="I88" i="8" s="1"/>
  <c r="G89" i="8"/>
  <c r="C31" i="10"/>
  <c r="E31" i="10" s="1"/>
  <c r="F31" i="10" s="1"/>
  <c r="N31" i="10" s="1"/>
  <c r="E86" i="8"/>
  <c r="N138" i="10"/>
  <c r="B32" i="10"/>
  <c r="C83" i="10" s="1"/>
  <c r="D129" i="10"/>
  <c r="M139" i="10"/>
  <c r="L140" i="10"/>
  <c r="S129" i="10"/>
  <c r="I129" i="10"/>
  <c r="L31" i="10"/>
  <c r="O31" i="10" s="1"/>
  <c r="O131" i="10"/>
  <c r="P130" i="10"/>
  <c r="R130" i="10" s="1"/>
  <c r="B131" i="10"/>
  <c r="C130" i="10"/>
  <c r="H130" i="10" s="1"/>
  <c r="P80" i="10"/>
  <c r="Q80" i="10" s="1"/>
  <c r="F132" i="10"/>
  <c r="E133" i="10"/>
  <c r="M82" i="10"/>
  <c r="N81" i="10"/>
  <c r="D82" i="10"/>
  <c r="E81" i="10"/>
  <c r="G81" i="10" s="1"/>
  <c r="K91" i="10"/>
  <c r="L90" i="10"/>
  <c r="B85" i="10"/>
  <c r="I32" i="10"/>
  <c r="K32" i="10" s="1"/>
  <c r="H18" i="9"/>
  <c r="J18" i="9" s="1"/>
  <c r="M17" i="9"/>
  <c r="C81" i="8"/>
  <c r="K42" i="2"/>
  <c r="M12" i="2"/>
  <c r="M13" i="2" s="1"/>
  <c r="M14" i="2" s="1"/>
  <c r="M15" i="2" s="1"/>
  <c r="M16" i="2" s="1"/>
  <c r="M17" i="2" s="1"/>
  <c r="M18" i="2" s="1"/>
  <c r="M19" i="2" s="1"/>
  <c r="M20" i="2" s="1"/>
  <c r="M21" i="2" s="1"/>
  <c r="M22" i="2" s="1"/>
  <c r="M23" i="2" s="1"/>
  <c r="M24" i="2" s="1"/>
  <c r="M25" i="2" s="1"/>
  <c r="M26" i="2" s="1"/>
  <c r="M27" i="2" s="1"/>
  <c r="M28" i="2" s="1"/>
  <c r="M29" i="2" s="1"/>
  <c r="M30" i="2" s="1"/>
  <c r="M31" i="2" s="1"/>
  <c r="M32" i="2" s="1"/>
  <c r="M33" i="2" s="1"/>
  <c r="M34" i="2" s="1"/>
  <c r="M35" i="2" s="1"/>
  <c r="M36" i="2" s="1"/>
  <c r="M37" i="2" s="1"/>
  <c r="M38" i="2" s="1"/>
  <c r="M39" i="2" s="1"/>
  <c r="M40" i="2" s="1"/>
  <c r="M41" i="2" s="1"/>
  <c r="M42" i="2" s="1"/>
  <c r="M43" i="2" s="1"/>
  <c r="M44" i="2" s="1"/>
  <c r="M45" i="2" s="1"/>
  <c r="M46" i="2" s="1"/>
  <c r="M47" i="2" s="1"/>
  <c r="AA9" i="2"/>
  <c r="R12" i="2"/>
  <c r="C20" i="14" l="1"/>
  <c r="E19" i="14"/>
  <c r="F19" i="14" s="1"/>
  <c r="K83" i="8"/>
  <c r="B172" i="8"/>
  <c r="E172" i="8" s="1"/>
  <c r="V22" i="2"/>
  <c r="H81" i="10"/>
  <c r="I24" i="2"/>
  <c r="P23" i="2"/>
  <c r="H20" i="2"/>
  <c r="N19" i="2"/>
  <c r="D48" i="8"/>
  <c r="F92" i="8"/>
  <c r="J92" i="8" s="1"/>
  <c r="Q22" i="2"/>
  <c r="B40" i="8"/>
  <c r="B84" i="8"/>
  <c r="C45" i="8"/>
  <c r="D89" i="8"/>
  <c r="I89" i="8" s="1"/>
  <c r="G90" i="8"/>
  <c r="B127" i="8"/>
  <c r="E87" i="8"/>
  <c r="N139" i="10"/>
  <c r="C32" i="10"/>
  <c r="E32" i="10" s="1"/>
  <c r="F32" i="10" s="1"/>
  <c r="N32" i="10" s="1"/>
  <c r="B33" i="10"/>
  <c r="C84" i="10" s="1"/>
  <c r="D130" i="10"/>
  <c r="M140" i="10"/>
  <c r="L141" i="10"/>
  <c r="S130" i="10"/>
  <c r="I130" i="10"/>
  <c r="L32" i="10"/>
  <c r="O32" i="10" s="1"/>
  <c r="O132" i="10"/>
  <c r="P131" i="10"/>
  <c r="R131" i="10" s="1"/>
  <c r="B132" i="10"/>
  <c r="C131" i="10"/>
  <c r="H131" i="10" s="1"/>
  <c r="P81" i="10"/>
  <c r="Q81" i="10" s="1"/>
  <c r="F133" i="10"/>
  <c r="E134" i="10"/>
  <c r="M83" i="10"/>
  <c r="N82" i="10"/>
  <c r="D83" i="10"/>
  <c r="E82" i="10"/>
  <c r="G82" i="10" s="1"/>
  <c r="L91" i="10"/>
  <c r="K92" i="10"/>
  <c r="B86" i="10"/>
  <c r="I33" i="10"/>
  <c r="K33" i="10" s="1"/>
  <c r="H19" i="9"/>
  <c r="J19" i="9" s="1"/>
  <c r="M19" i="9" s="1"/>
  <c r="M18" i="9"/>
  <c r="C82" i="8"/>
  <c r="R13" i="2"/>
  <c r="U12" i="2"/>
  <c r="K43" i="2"/>
  <c r="S16" i="2"/>
  <c r="S17" i="2" s="1"/>
  <c r="S18" i="2" s="1"/>
  <c r="S19" i="2" s="1"/>
  <c r="S20" i="2" s="1"/>
  <c r="S21" i="2" s="1"/>
  <c r="S22" i="2" s="1"/>
  <c r="S23" i="2" s="1"/>
  <c r="S24" i="2" s="1"/>
  <c r="S25" i="2" s="1"/>
  <c r="S26" i="2" s="1"/>
  <c r="S27" i="2" s="1"/>
  <c r="S28" i="2" s="1"/>
  <c r="S29" i="2" s="1"/>
  <c r="S30" i="2" s="1"/>
  <c r="S31" i="2" s="1"/>
  <c r="S32" i="2" s="1"/>
  <c r="S33" i="2" s="1"/>
  <c r="S34" i="2" s="1"/>
  <c r="S35" i="2" s="1"/>
  <c r="S36" i="2" s="1"/>
  <c r="S37" i="2" s="1"/>
  <c r="S38" i="2" s="1"/>
  <c r="S39" i="2" s="1"/>
  <c r="S40" i="2" s="1"/>
  <c r="S41" i="2" s="1"/>
  <c r="S42" i="2" s="1"/>
  <c r="S43" i="2" s="1"/>
  <c r="S44" i="2" s="1"/>
  <c r="S45" i="2" s="1"/>
  <c r="S46" i="2" s="1"/>
  <c r="S47" i="2" s="1"/>
  <c r="O16" i="2"/>
  <c r="C21" i="14" l="1"/>
  <c r="E20" i="14"/>
  <c r="F20" i="14" s="1"/>
  <c r="K84" i="8"/>
  <c r="D172" i="8"/>
  <c r="D173" i="8" s="1"/>
  <c r="B173" i="8"/>
  <c r="E173" i="8" s="1"/>
  <c r="H84" i="8"/>
  <c r="H82" i="10"/>
  <c r="D127" i="8"/>
  <c r="D128" i="8" s="1"/>
  <c r="D129" i="8" s="1"/>
  <c r="D130" i="8" s="1"/>
  <c r="D131" i="8" s="1"/>
  <c r="D132" i="8" s="1"/>
  <c r="D133" i="8" s="1"/>
  <c r="D134" i="8" s="1"/>
  <c r="C127" i="8"/>
  <c r="D49" i="8"/>
  <c r="F93" i="8"/>
  <c r="J93" i="8" s="1"/>
  <c r="H21" i="2"/>
  <c r="N20" i="2"/>
  <c r="B41" i="8"/>
  <c r="B85" i="8"/>
  <c r="Q23" i="2"/>
  <c r="I25" i="2"/>
  <c r="P24" i="2"/>
  <c r="E127" i="8"/>
  <c r="V23" i="2"/>
  <c r="C46" i="8"/>
  <c r="D90" i="8"/>
  <c r="I90" i="8" s="1"/>
  <c r="G91" i="8"/>
  <c r="E88" i="8"/>
  <c r="C33" i="10"/>
  <c r="E33" i="10" s="1"/>
  <c r="F33" i="10" s="1"/>
  <c r="N33" i="10" s="1"/>
  <c r="N140" i="10"/>
  <c r="B34" i="10"/>
  <c r="C85" i="10" s="1"/>
  <c r="D131" i="10"/>
  <c r="M141" i="10"/>
  <c r="L142" i="10"/>
  <c r="S131" i="10"/>
  <c r="I131" i="10"/>
  <c r="L33" i="10"/>
  <c r="O33" i="10" s="1"/>
  <c r="O133" i="10"/>
  <c r="P132" i="10"/>
  <c r="R132" i="10" s="1"/>
  <c r="B133" i="10"/>
  <c r="C132" i="10"/>
  <c r="H132" i="10" s="1"/>
  <c r="P82" i="10"/>
  <c r="Q82" i="10" s="1"/>
  <c r="F134" i="10"/>
  <c r="E135" i="10"/>
  <c r="M84" i="10"/>
  <c r="N83" i="10"/>
  <c r="D84" i="10"/>
  <c r="E83" i="10"/>
  <c r="G83" i="10" s="1"/>
  <c r="B87" i="10"/>
  <c r="L92" i="10"/>
  <c r="K93" i="10"/>
  <c r="H35" i="10"/>
  <c r="I34" i="10"/>
  <c r="K34" i="10" s="1"/>
  <c r="H20" i="9"/>
  <c r="J20" i="9" s="1"/>
  <c r="M20" i="9" s="1"/>
  <c r="B128" i="8"/>
  <c r="C83" i="8"/>
  <c r="R14" i="2"/>
  <c r="U13" i="2"/>
  <c r="K44" i="2"/>
  <c r="O17" i="2"/>
  <c r="O18" i="2" s="1"/>
  <c r="O19" i="2" s="1"/>
  <c r="C22" i="14" l="1"/>
  <c r="E21" i="14"/>
  <c r="F21" i="14" s="1"/>
  <c r="K85" i="8"/>
  <c r="B174" i="8"/>
  <c r="E174" i="8" s="1"/>
  <c r="H85" i="8"/>
  <c r="V24" i="2"/>
  <c r="H83" i="10"/>
  <c r="D135" i="8"/>
  <c r="Q24" i="2"/>
  <c r="C128" i="8"/>
  <c r="E128" i="8"/>
  <c r="H22" i="2"/>
  <c r="N21" i="2"/>
  <c r="I26" i="2"/>
  <c r="P25" i="2"/>
  <c r="O20" i="2"/>
  <c r="B42" i="8"/>
  <c r="B86" i="8"/>
  <c r="D50" i="8"/>
  <c r="F94" i="8"/>
  <c r="J94" i="8" s="1"/>
  <c r="C47" i="8"/>
  <c r="D91" i="8"/>
  <c r="I91" i="8" s="1"/>
  <c r="G92" i="8"/>
  <c r="E89" i="8"/>
  <c r="C34" i="10"/>
  <c r="E34" i="10" s="1"/>
  <c r="F34" i="10" s="1"/>
  <c r="N34" i="10" s="1"/>
  <c r="B35" i="10"/>
  <c r="C86" i="10" s="1"/>
  <c r="N141" i="10"/>
  <c r="D132" i="10"/>
  <c r="L143" i="10"/>
  <c r="M142" i="10"/>
  <c r="S132" i="10"/>
  <c r="I132" i="10"/>
  <c r="L34" i="10"/>
  <c r="O34" i="10" s="1"/>
  <c r="P133" i="10"/>
  <c r="R133" i="10" s="1"/>
  <c r="O134" i="10"/>
  <c r="B134" i="10"/>
  <c r="C133" i="10"/>
  <c r="H133" i="10" s="1"/>
  <c r="P83" i="10"/>
  <c r="Q83" i="10" s="1"/>
  <c r="E136" i="10"/>
  <c r="F135" i="10"/>
  <c r="N84" i="10"/>
  <c r="P84" i="10" s="1"/>
  <c r="M85" i="10"/>
  <c r="D85" i="10"/>
  <c r="E84" i="10"/>
  <c r="G84" i="10" s="1"/>
  <c r="L93" i="10"/>
  <c r="K94" i="10"/>
  <c r="B88" i="10"/>
  <c r="I35" i="10"/>
  <c r="K35" i="10" s="1"/>
  <c r="H36" i="10"/>
  <c r="H21" i="9"/>
  <c r="J21" i="9" s="1"/>
  <c r="M21" i="9" s="1"/>
  <c r="B129" i="8"/>
  <c r="C84" i="8"/>
  <c r="AE9" i="2"/>
  <c r="AG9" i="2" s="1"/>
  <c r="AG12" i="2" s="1"/>
  <c r="U14" i="2"/>
  <c r="R15" i="2"/>
  <c r="K45" i="2"/>
  <c r="C23" i="14" l="1"/>
  <c r="E22" i="14"/>
  <c r="F22" i="14" s="1"/>
  <c r="K86" i="8"/>
  <c r="B175" i="8"/>
  <c r="E175" i="8" s="1"/>
  <c r="H86" i="8"/>
  <c r="D174" i="8"/>
  <c r="D136" i="8"/>
  <c r="Q25" i="2"/>
  <c r="H84" i="10"/>
  <c r="O21" i="2"/>
  <c r="C129" i="8"/>
  <c r="I27" i="2"/>
  <c r="P26" i="2"/>
  <c r="D51" i="8"/>
  <c r="F95" i="8"/>
  <c r="J95" i="8" s="1"/>
  <c r="V25" i="2"/>
  <c r="B43" i="8"/>
  <c r="B87" i="8"/>
  <c r="H23" i="2"/>
  <c r="N22" i="2"/>
  <c r="E129" i="8"/>
  <c r="C48" i="8"/>
  <c r="D92" i="8"/>
  <c r="G93" i="8"/>
  <c r="E90" i="8"/>
  <c r="C35" i="10"/>
  <c r="E35" i="10" s="1"/>
  <c r="F35" i="10" s="1"/>
  <c r="N35" i="10" s="1"/>
  <c r="B36" i="10"/>
  <c r="C87" i="10" s="1"/>
  <c r="N142" i="10"/>
  <c r="D133" i="10"/>
  <c r="L144" i="10"/>
  <c r="M143" i="10"/>
  <c r="S133" i="10"/>
  <c r="I133" i="10"/>
  <c r="L35" i="10"/>
  <c r="O35" i="10" s="1"/>
  <c r="P134" i="10"/>
  <c r="R134" i="10" s="1"/>
  <c r="O135" i="10"/>
  <c r="Q84" i="10"/>
  <c r="B135" i="10"/>
  <c r="C134" i="10"/>
  <c r="H134" i="10" s="1"/>
  <c r="E137" i="10"/>
  <c r="F136" i="10"/>
  <c r="M86" i="10"/>
  <c r="N85" i="10"/>
  <c r="P85" i="10" s="1"/>
  <c r="D86" i="10"/>
  <c r="E85" i="10"/>
  <c r="G85" i="10" s="1"/>
  <c r="B89" i="10"/>
  <c r="L94" i="10"/>
  <c r="K95" i="10"/>
  <c r="H37" i="10"/>
  <c r="I36" i="10"/>
  <c r="K36" i="10" s="1"/>
  <c r="H22" i="9"/>
  <c r="J22" i="9" s="1"/>
  <c r="M22" i="9" s="1"/>
  <c r="C85" i="8"/>
  <c r="B130" i="8"/>
  <c r="R16" i="2"/>
  <c r="U15" i="2"/>
  <c r="K46" i="2"/>
  <c r="C24" i="14" l="1"/>
  <c r="E23" i="14"/>
  <c r="F23" i="14" s="1"/>
  <c r="K87" i="8"/>
  <c r="D137" i="8"/>
  <c r="I92" i="8"/>
  <c r="D175" i="8"/>
  <c r="B176" i="8"/>
  <c r="E176" i="8" s="1"/>
  <c r="H87" i="8"/>
  <c r="D176" i="8"/>
  <c r="H85" i="10"/>
  <c r="V26" i="2"/>
  <c r="Q26" i="2"/>
  <c r="O22" i="2"/>
  <c r="E130" i="8"/>
  <c r="E131" i="8" s="1"/>
  <c r="E132" i="8" s="1"/>
  <c r="E133" i="8" s="1"/>
  <c r="E134" i="8" s="1"/>
  <c r="E135" i="8" s="1"/>
  <c r="E136" i="8" s="1"/>
  <c r="E137" i="8" s="1"/>
  <c r="E138" i="8" s="1"/>
  <c r="E139" i="8" s="1"/>
  <c r="E140" i="8" s="1"/>
  <c r="C130" i="8"/>
  <c r="D52" i="8"/>
  <c r="F96" i="8"/>
  <c r="J96" i="8" s="1"/>
  <c r="H24" i="2"/>
  <c r="N23" i="2"/>
  <c r="I28" i="2"/>
  <c r="P27" i="2"/>
  <c r="B44" i="8"/>
  <c r="B88" i="8"/>
  <c r="C49" i="8"/>
  <c r="D93" i="8"/>
  <c r="G94" i="8"/>
  <c r="E91" i="8"/>
  <c r="C36" i="10"/>
  <c r="E36" i="10" s="1"/>
  <c r="F36" i="10" s="1"/>
  <c r="N36" i="10" s="1"/>
  <c r="B37" i="10"/>
  <c r="C88" i="10" s="1"/>
  <c r="N143" i="10"/>
  <c r="D134" i="10"/>
  <c r="M144" i="10"/>
  <c r="L145" i="10"/>
  <c r="S134" i="10"/>
  <c r="I134" i="10"/>
  <c r="L36" i="10"/>
  <c r="O36" i="10" s="1"/>
  <c r="Q85" i="10"/>
  <c r="O136" i="10"/>
  <c r="P135" i="10"/>
  <c r="R135" i="10" s="1"/>
  <c r="B136" i="10"/>
  <c r="C135" i="10"/>
  <c r="H135" i="10" s="1"/>
  <c r="F137" i="10"/>
  <c r="E138" i="10"/>
  <c r="M87" i="10"/>
  <c r="N86" i="10"/>
  <c r="D87" i="10"/>
  <c r="E86" i="10"/>
  <c r="G86" i="10" s="1"/>
  <c r="K96" i="10"/>
  <c r="L95" i="10"/>
  <c r="B90" i="10"/>
  <c r="I37" i="10"/>
  <c r="K37" i="10" s="1"/>
  <c r="H38" i="10"/>
  <c r="H23" i="9"/>
  <c r="J23" i="9" s="1"/>
  <c r="M23" i="9" s="1"/>
  <c r="B131" i="8"/>
  <c r="C86" i="8"/>
  <c r="R17" i="2"/>
  <c r="U16" i="2"/>
  <c r="K47" i="2"/>
  <c r="C25" i="14" l="1"/>
  <c r="E24" i="14"/>
  <c r="F24" i="14" s="1"/>
  <c r="K88" i="8"/>
  <c r="D138" i="8"/>
  <c r="I93" i="8"/>
  <c r="B177" i="8"/>
  <c r="E177" i="8" s="1"/>
  <c r="H88" i="8"/>
  <c r="D177" i="8"/>
  <c r="H86" i="10"/>
  <c r="Q27" i="2"/>
  <c r="E141" i="8"/>
  <c r="O23" i="2"/>
  <c r="V27" i="2"/>
  <c r="C131" i="8"/>
  <c r="B45" i="8"/>
  <c r="B89" i="8"/>
  <c r="D53" i="8"/>
  <c r="F97" i="8"/>
  <c r="J97" i="8" s="1"/>
  <c r="I29" i="2"/>
  <c r="P28" i="2"/>
  <c r="H25" i="2"/>
  <c r="N24" i="2"/>
  <c r="C50" i="8"/>
  <c r="D94" i="8"/>
  <c r="G95" i="8"/>
  <c r="E92" i="8"/>
  <c r="C37" i="10"/>
  <c r="E37" i="10" s="1"/>
  <c r="F37" i="10" s="1"/>
  <c r="N37" i="10" s="1"/>
  <c r="B38" i="10"/>
  <c r="C89" i="10" s="1"/>
  <c r="N144" i="10"/>
  <c r="D135" i="10"/>
  <c r="M145" i="10"/>
  <c r="N145" i="10" s="1"/>
  <c r="L146" i="10"/>
  <c r="S135" i="10"/>
  <c r="I135" i="10"/>
  <c r="C87" i="8"/>
  <c r="L37" i="10"/>
  <c r="O37" i="10" s="1"/>
  <c r="O137" i="10"/>
  <c r="P136" i="10"/>
  <c r="R136" i="10" s="1"/>
  <c r="B137" i="10"/>
  <c r="C136" i="10"/>
  <c r="H136" i="10" s="1"/>
  <c r="P86" i="10"/>
  <c r="Q86" i="10" s="1"/>
  <c r="E139" i="10"/>
  <c r="F138" i="10"/>
  <c r="M88" i="10"/>
  <c r="N87" i="10"/>
  <c r="D88" i="10"/>
  <c r="E87" i="10"/>
  <c r="G87" i="10" s="1"/>
  <c r="L96" i="10"/>
  <c r="K97" i="10"/>
  <c r="B91" i="10"/>
  <c r="I38" i="10"/>
  <c r="K38" i="10" s="1"/>
  <c r="H39" i="10"/>
  <c r="H24" i="9"/>
  <c r="J24" i="9" s="1"/>
  <c r="M24" i="9" s="1"/>
  <c r="B132" i="8"/>
  <c r="AD9" i="2"/>
  <c r="AF9" i="2" s="1"/>
  <c r="AF12" i="2" s="1"/>
  <c r="U17" i="2"/>
  <c r="R18" i="2"/>
  <c r="C26" i="14" l="1"/>
  <c r="E25" i="14"/>
  <c r="F25" i="14" s="1"/>
  <c r="K89" i="8"/>
  <c r="D139" i="8"/>
  <c r="I94" i="8"/>
  <c r="H87" i="10"/>
  <c r="B178" i="8"/>
  <c r="E178" i="8" s="1"/>
  <c r="H89" i="8"/>
  <c r="Q28" i="2"/>
  <c r="E142" i="8"/>
  <c r="G96" i="8"/>
  <c r="B39" i="10"/>
  <c r="C90" i="10" s="1"/>
  <c r="V28" i="2"/>
  <c r="C132" i="8"/>
  <c r="D54" i="8"/>
  <c r="F98" i="8"/>
  <c r="J98" i="8" s="1"/>
  <c r="H26" i="2"/>
  <c r="N25" i="2"/>
  <c r="B46" i="8"/>
  <c r="B90" i="8"/>
  <c r="I30" i="2"/>
  <c r="P29" i="2"/>
  <c r="O24" i="2"/>
  <c r="C51" i="8"/>
  <c r="D95" i="8"/>
  <c r="E93" i="8"/>
  <c r="C38" i="10"/>
  <c r="E38" i="10" s="1"/>
  <c r="F38" i="10" s="1"/>
  <c r="N38" i="10" s="1"/>
  <c r="D136" i="10"/>
  <c r="M146" i="10"/>
  <c r="N146" i="10" s="1"/>
  <c r="L147" i="10"/>
  <c r="I136" i="10"/>
  <c r="S136" i="10"/>
  <c r="L38" i="10"/>
  <c r="O38" i="10" s="1"/>
  <c r="P137" i="10"/>
  <c r="R137" i="10" s="1"/>
  <c r="O138" i="10"/>
  <c r="B138" i="10"/>
  <c r="C137" i="10"/>
  <c r="H137" i="10" s="1"/>
  <c r="P87" i="10"/>
  <c r="Q87" i="10" s="1"/>
  <c r="E140" i="10"/>
  <c r="F139" i="10"/>
  <c r="M89" i="10"/>
  <c r="N88" i="10"/>
  <c r="D89" i="10"/>
  <c r="E88" i="10"/>
  <c r="G88" i="10" s="1"/>
  <c r="B92" i="10"/>
  <c r="L97" i="10"/>
  <c r="K98" i="10"/>
  <c r="H40" i="10"/>
  <c r="I39" i="10"/>
  <c r="K39" i="10" s="1"/>
  <c r="H25" i="9"/>
  <c r="J25" i="9" s="1"/>
  <c r="M25" i="9" s="1"/>
  <c r="B133" i="8"/>
  <c r="C88" i="8"/>
  <c r="R19" i="2"/>
  <c r="U18" i="2"/>
  <c r="C27" i="14" l="1"/>
  <c r="E26" i="14"/>
  <c r="F26" i="14" s="1"/>
  <c r="K90" i="8"/>
  <c r="D178" i="8"/>
  <c r="D140" i="8"/>
  <c r="I95" i="8"/>
  <c r="G97" i="8"/>
  <c r="H88" i="10"/>
  <c r="B179" i="8"/>
  <c r="E179" i="8" s="1"/>
  <c r="H90" i="8"/>
  <c r="E143" i="8"/>
  <c r="C39" i="10"/>
  <c r="E39" i="10" s="1"/>
  <c r="F39" i="10" s="1"/>
  <c r="N39" i="10" s="1"/>
  <c r="B40" i="10"/>
  <c r="C91" i="10" s="1"/>
  <c r="Q29" i="2"/>
  <c r="O25" i="2"/>
  <c r="C133" i="8"/>
  <c r="V29" i="2"/>
  <c r="D55" i="8"/>
  <c r="F99" i="8"/>
  <c r="J99" i="8" s="1"/>
  <c r="I31" i="2"/>
  <c r="P30" i="2"/>
  <c r="H27" i="2"/>
  <c r="N26" i="2"/>
  <c r="B47" i="8"/>
  <c r="B91" i="8"/>
  <c r="C52" i="8"/>
  <c r="D96" i="8"/>
  <c r="E94" i="8"/>
  <c r="D137" i="10"/>
  <c r="M147" i="10"/>
  <c r="N147" i="10" s="1"/>
  <c r="L148" i="10"/>
  <c r="I137" i="10"/>
  <c r="S137" i="10"/>
  <c r="L39" i="10"/>
  <c r="O39" i="10" s="1"/>
  <c r="O139" i="10"/>
  <c r="P138" i="10"/>
  <c r="R138" i="10" s="1"/>
  <c r="B139" i="10"/>
  <c r="C138" i="10"/>
  <c r="H138" i="10" s="1"/>
  <c r="P88" i="10"/>
  <c r="Q88" i="10" s="1"/>
  <c r="F140" i="10"/>
  <c r="E141" i="10"/>
  <c r="M90" i="10"/>
  <c r="N89" i="10"/>
  <c r="D90" i="10"/>
  <c r="E89" i="10"/>
  <c r="G89" i="10" s="1"/>
  <c r="K99" i="10"/>
  <c r="L98" i="10"/>
  <c r="B93" i="10"/>
  <c r="I40" i="10"/>
  <c r="K40" i="10" s="1"/>
  <c r="H41" i="10"/>
  <c r="H26" i="9"/>
  <c r="J26" i="9" s="1"/>
  <c r="M26" i="9" s="1"/>
  <c r="B134" i="8"/>
  <c r="C89" i="8"/>
  <c r="R20" i="2"/>
  <c r="U19" i="2"/>
  <c r="C28" i="14" l="1"/>
  <c r="E27" i="14"/>
  <c r="F27" i="14" s="1"/>
  <c r="H89" i="10"/>
  <c r="G98" i="8"/>
  <c r="D141" i="8"/>
  <c r="I96" i="8"/>
  <c r="C40" i="10"/>
  <c r="E40" i="10" s="1"/>
  <c r="B180" i="8"/>
  <c r="E180" i="8" s="1"/>
  <c r="H91" i="8"/>
  <c r="K91" i="8" s="1"/>
  <c r="E144" i="8"/>
  <c r="D179" i="8"/>
  <c r="Q30" i="2"/>
  <c r="B41" i="10"/>
  <c r="C92" i="10" s="1"/>
  <c r="O26" i="2"/>
  <c r="C134" i="8"/>
  <c r="D56" i="8"/>
  <c r="F100" i="8"/>
  <c r="J100" i="8" s="1"/>
  <c r="I32" i="2"/>
  <c r="P31" i="2"/>
  <c r="B48" i="8"/>
  <c r="B92" i="8"/>
  <c r="V30" i="2"/>
  <c r="H28" i="2"/>
  <c r="N27" i="2"/>
  <c r="C53" i="8"/>
  <c r="D97" i="8"/>
  <c r="E95" i="8"/>
  <c r="D138" i="10"/>
  <c r="O148" i="10"/>
  <c r="M148" i="10"/>
  <c r="N148" i="10" s="1"/>
  <c r="L149" i="10"/>
  <c r="I138" i="10"/>
  <c r="F40" i="10"/>
  <c r="N40" i="10" s="1"/>
  <c r="S138" i="10"/>
  <c r="L40" i="10"/>
  <c r="O40" i="10" s="1"/>
  <c r="P139" i="10"/>
  <c r="R139" i="10" s="1"/>
  <c r="O140" i="10"/>
  <c r="B140" i="10"/>
  <c r="C139" i="10"/>
  <c r="H139" i="10" s="1"/>
  <c r="H27" i="9"/>
  <c r="J27" i="9" s="1"/>
  <c r="M27" i="9" s="1"/>
  <c r="P89" i="10"/>
  <c r="Q89" i="10" s="1"/>
  <c r="F141" i="10"/>
  <c r="E142" i="10"/>
  <c r="M91" i="10"/>
  <c r="N90" i="10"/>
  <c r="D91" i="10"/>
  <c r="E90" i="10"/>
  <c r="G90" i="10" s="1"/>
  <c r="H90" i="10" s="1"/>
  <c r="L99" i="10"/>
  <c r="K100" i="10"/>
  <c r="B94" i="10"/>
  <c r="C41" i="10"/>
  <c r="E41" i="10" s="1"/>
  <c r="H42" i="10"/>
  <c r="I41" i="10"/>
  <c r="K41" i="10" s="1"/>
  <c r="B135" i="8"/>
  <c r="C90" i="8"/>
  <c r="G99" i="8"/>
  <c r="R21" i="2"/>
  <c r="U20" i="2"/>
  <c r="C29" i="14" l="1"/>
  <c r="E28" i="14"/>
  <c r="F28" i="14" s="1"/>
  <c r="D180" i="8"/>
  <c r="D142" i="8"/>
  <c r="I97" i="8"/>
  <c r="B181" i="8"/>
  <c r="E181" i="8" s="1"/>
  <c r="H92" i="8"/>
  <c r="K92" i="8" s="1"/>
  <c r="B42" i="10"/>
  <c r="C93" i="10" s="1"/>
  <c r="D181" i="8"/>
  <c r="Q31" i="2"/>
  <c r="O27" i="2"/>
  <c r="C135" i="8"/>
  <c r="H29" i="2"/>
  <c r="N28" i="2"/>
  <c r="I33" i="2"/>
  <c r="P32" i="2"/>
  <c r="D57" i="8"/>
  <c r="F101" i="8"/>
  <c r="J101" i="8" s="1"/>
  <c r="V31" i="2"/>
  <c r="E145" i="8"/>
  <c r="B49" i="8"/>
  <c r="B93" i="8"/>
  <c r="C54" i="8"/>
  <c r="D98" i="8"/>
  <c r="E96" i="8"/>
  <c r="D139" i="10"/>
  <c r="O149" i="10"/>
  <c r="L150" i="10"/>
  <c r="M149" i="10"/>
  <c r="N149" i="10" s="1"/>
  <c r="I139" i="10"/>
  <c r="F41" i="10"/>
  <c r="N41" i="10" s="1"/>
  <c r="S139" i="10"/>
  <c r="L41" i="10"/>
  <c r="O41" i="10" s="1"/>
  <c r="H28" i="9"/>
  <c r="J28" i="9" s="1"/>
  <c r="M28" i="9" s="1"/>
  <c r="O141" i="10"/>
  <c r="P140" i="10"/>
  <c r="R140" i="10" s="1"/>
  <c r="B141" i="10"/>
  <c r="C140" i="10"/>
  <c r="H140" i="10" s="1"/>
  <c r="P90" i="10"/>
  <c r="Q90" i="10" s="1"/>
  <c r="F142" i="10"/>
  <c r="E143" i="10"/>
  <c r="M92" i="10"/>
  <c r="N91" i="10"/>
  <c r="P91" i="10" s="1"/>
  <c r="D92" i="10"/>
  <c r="E91" i="10"/>
  <c r="G91" i="10" s="1"/>
  <c r="H91" i="10" s="1"/>
  <c r="B95" i="10"/>
  <c r="L100" i="10"/>
  <c r="K101" i="10"/>
  <c r="H43" i="10"/>
  <c r="I42" i="10"/>
  <c r="K42" i="10" s="1"/>
  <c r="B136" i="8"/>
  <c r="C91" i="8"/>
  <c r="G100" i="8"/>
  <c r="R22" i="2"/>
  <c r="U21" i="2"/>
  <c r="C30" i="14" l="1"/>
  <c r="E29" i="14"/>
  <c r="F29" i="14" s="1"/>
  <c r="B43" i="10"/>
  <c r="C94" i="10" s="1"/>
  <c r="C42" i="10"/>
  <c r="E42" i="10" s="1"/>
  <c r="D143" i="8"/>
  <c r="I98" i="8"/>
  <c r="B182" i="8"/>
  <c r="E182" i="8" s="1"/>
  <c r="H93" i="8"/>
  <c r="K93" i="8" s="1"/>
  <c r="Q32" i="2"/>
  <c r="O28" i="2"/>
  <c r="C136" i="8"/>
  <c r="E146" i="8"/>
  <c r="I34" i="2"/>
  <c r="P33" i="2"/>
  <c r="D58" i="8"/>
  <c r="F102" i="8"/>
  <c r="J102" i="8" s="1"/>
  <c r="B50" i="8"/>
  <c r="B94" i="8"/>
  <c r="H30" i="2"/>
  <c r="N29" i="2"/>
  <c r="V32" i="2"/>
  <c r="C55" i="8"/>
  <c r="D99" i="8"/>
  <c r="E97" i="8"/>
  <c r="D140" i="10"/>
  <c r="O150" i="10"/>
  <c r="M150" i="10"/>
  <c r="N150" i="10" s="1"/>
  <c r="L151" i="10"/>
  <c r="I140" i="10"/>
  <c r="H29" i="9"/>
  <c r="J29" i="9" s="1"/>
  <c r="M29" i="9" s="1"/>
  <c r="F42" i="10"/>
  <c r="N42" i="10" s="1"/>
  <c r="S140" i="10"/>
  <c r="L42" i="10"/>
  <c r="O42" i="10" s="1"/>
  <c r="P141" i="10"/>
  <c r="R141" i="10" s="1"/>
  <c r="O142" i="10"/>
  <c r="B142" i="10"/>
  <c r="C141" i="10"/>
  <c r="H141" i="10" s="1"/>
  <c r="Q91" i="10"/>
  <c r="E144" i="10"/>
  <c r="F143" i="10"/>
  <c r="M93" i="10"/>
  <c r="N92" i="10"/>
  <c r="D93" i="10"/>
  <c r="E92" i="10"/>
  <c r="G92" i="10" s="1"/>
  <c r="H92" i="10" s="1"/>
  <c r="L101" i="10"/>
  <c r="K102" i="10"/>
  <c r="B96" i="10"/>
  <c r="B44" i="10"/>
  <c r="C95" i="10" s="1"/>
  <c r="C43" i="10"/>
  <c r="E43" i="10" s="1"/>
  <c r="I43" i="10"/>
  <c r="K43" i="10" s="1"/>
  <c r="H44" i="10"/>
  <c r="C92" i="8"/>
  <c r="B137" i="8"/>
  <c r="G101" i="8"/>
  <c r="R23" i="2"/>
  <c r="U22" i="2"/>
  <c r="C31" i="14" l="1"/>
  <c r="E30" i="14"/>
  <c r="F30" i="14" s="1"/>
  <c r="K94" i="8"/>
  <c r="D182" i="8"/>
  <c r="D144" i="8"/>
  <c r="I99" i="8"/>
  <c r="B183" i="8"/>
  <c r="E183" i="8" s="1"/>
  <c r="H94" i="8"/>
  <c r="Q33" i="2"/>
  <c r="D183" i="8"/>
  <c r="E147" i="8"/>
  <c r="C137" i="8"/>
  <c r="O29" i="2"/>
  <c r="I35" i="2"/>
  <c r="P34" i="2"/>
  <c r="AC9" i="2" s="1"/>
  <c r="H31" i="2"/>
  <c r="N30" i="2"/>
  <c r="D59" i="8"/>
  <c r="F103" i="8"/>
  <c r="B51" i="8"/>
  <c r="B95" i="8"/>
  <c r="V33" i="2"/>
  <c r="C56" i="8"/>
  <c r="D100" i="8"/>
  <c r="I100" i="8" s="1"/>
  <c r="E98" i="8"/>
  <c r="H30" i="9"/>
  <c r="J30" i="9" s="1"/>
  <c r="M30" i="9" s="1"/>
  <c r="D141" i="10"/>
  <c r="O151" i="10"/>
  <c r="L152" i="10"/>
  <c r="M151" i="10"/>
  <c r="N151" i="10" s="1"/>
  <c r="I141" i="10"/>
  <c r="F43" i="10"/>
  <c r="N43" i="10" s="1"/>
  <c r="S141" i="10"/>
  <c r="L43" i="10"/>
  <c r="O43" i="10" s="1"/>
  <c r="O143" i="10"/>
  <c r="P142" i="10"/>
  <c r="R142" i="10" s="1"/>
  <c r="B143" i="10"/>
  <c r="C142" i="10"/>
  <c r="H142" i="10" s="1"/>
  <c r="P92" i="10"/>
  <c r="Q92" i="10" s="1"/>
  <c r="E145" i="10"/>
  <c r="F144" i="10"/>
  <c r="M94" i="10"/>
  <c r="N93" i="10"/>
  <c r="D94" i="10"/>
  <c r="E93" i="10"/>
  <c r="G93" i="10" s="1"/>
  <c r="H93" i="10" s="1"/>
  <c r="L102" i="10"/>
  <c r="K103" i="10"/>
  <c r="B97" i="10"/>
  <c r="B45" i="10"/>
  <c r="C96" i="10" s="1"/>
  <c r="C44" i="10"/>
  <c r="E44" i="10" s="1"/>
  <c r="H45" i="10"/>
  <c r="I44" i="10"/>
  <c r="K44" i="10" s="1"/>
  <c r="B138" i="8"/>
  <c r="C138" i="8" s="1"/>
  <c r="C93" i="8"/>
  <c r="G102" i="8"/>
  <c r="R24" i="2"/>
  <c r="U23" i="2"/>
  <c r="C32" i="14" l="1"/>
  <c r="E31" i="14"/>
  <c r="F31" i="14" s="1"/>
  <c r="E148" i="8"/>
  <c r="J103" i="8"/>
  <c r="B184" i="8"/>
  <c r="E184" i="8" s="1"/>
  <c r="H95" i="8"/>
  <c r="K95" i="8" s="1"/>
  <c r="D184" i="8"/>
  <c r="O30" i="2"/>
  <c r="V34" i="2"/>
  <c r="H32" i="2"/>
  <c r="N31" i="2"/>
  <c r="B52" i="8"/>
  <c r="B96" i="8"/>
  <c r="I36" i="2"/>
  <c r="P35" i="2"/>
  <c r="D60" i="8"/>
  <c r="F104" i="8"/>
  <c r="Q34" i="2"/>
  <c r="D145" i="8"/>
  <c r="C57" i="8"/>
  <c r="D101" i="8"/>
  <c r="I101" i="8" s="1"/>
  <c r="E99" i="8"/>
  <c r="H31" i="9"/>
  <c r="J31" i="9" s="1"/>
  <c r="M31" i="9" s="1"/>
  <c r="D142" i="10"/>
  <c r="O152" i="10"/>
  <c r="L153" i="10"/>
  <c r="M152" i="10"/>
  <c r="N152" i="10" s="1"/>
  <c r="S142" i="10"/>
  <c r="I142" i="10"/>
  <c r="F44" i="10"/>
  <c r="N44" i="10" s="1"/>
  <c r="L44" i="10"/>
  <c r="O44" i="10" s="1"/>
  <c r="P143" i="10"/>
  <c r="R143" i="10" s="1"/>
  <c r="O144" i="10"/>
  <c r="B144" i="10"/>
  <c r="C143" i="10"/>
  <c r="H143" i="10" s="1"/>
  <c r="P93" i="10"/>
  <c r="Q93" i="10" s="1"/>
  <c r="F145" i="10"/>
  <c r="E146" i="10"/>
  <c r="M95" i="10"/>
  <c r="N94" i="10"/>
  <c r="D95" i="10"/>
  <c r="E94" i="10"/>
  <c r="G94" i="10" s="1"/>
  <c r="H94" i="10" s="1"/>
  <c r="K104" i="10"/>
  <c r="L103" i="10"/>
  <c r="B98" i="10"/>
  <c r="B46" i="10"/>
  <c r="C97" i="10" s="1"/>
  <c r="C45" i="10"/>
  <c r="E45" i="10" s="1"/>
  <c r="I45" i="10"/>
  <c r="K45" i="10" s="1"/>
  <c r="H46" i="10"/>
  <c r="C94" i="8"/>
  <c r="B139" i="8"/>
  <c r="C139" i="8" s="1"/>
  <c r="G103" i="8"/>
  <c r="R25" i="2"/>
  <c r="U24" i="2"/>
  <c r="C33" i="14" l="1"/>
  <c r="E32" i="14"/>
  <c r="F32" i="14" s="1"/>
  <c r="E149" i="8"/>
  <c r="J104" i="8"/>
  <c r="B185" i="8"/>
  <c r="E185" i="8" s="1"/>
  <c r="H96" i="8"/>
  <c r="K96" i="8" s="1"/>
  <c r="V35" i="2"/>
  <c r="O31" i="2"/>
  <c r="D146" i="8"/>
  <c r="Q35" i="2"/>
  <c r="B53" i="8"/>
  <c r="B97" i="8"/>
  <c r="I37" i="2"/>
  <c r="P36" i="2"/>
  <c r="D61" i="8"/>
  <c r="F105" i="8"/>
  <c r="H33" i="2"/>
  <c r="N32" i="2"/>
  <c r="C58" i="8"/>
  <c r="D102" i="8"/>
  <c r="I102" i="8" s="1"/>
  <c r="E100" i="8"/>
  <c r="H32" i="9"/>
  <c r="J32" i="9" s="1"/>
  <c r="M32" i="9" s="1"/>
  <c r="I143" i="10"/>
  <c r="D143" i="10"/>
  <c r="O153" i="10"/>
  <c r="M153" i="10"/>
  <c r="N153" i="10" s="1"/>
  <c r="L154" i="10"/>
  <c r="F45" i="10"/>
  <c r="N45" i="10" s="1"/>
  <c r="S143" i="10"/>
  <c r="L45" i="10"/>
  <c r="O45" i="10" s="1"/>
  <c r="O145" i="10"/>
  <c r="P144" i="10"/>
  <c r="R144" i="10" s="1"/>
  <c r="B145" i="10"/>
  <c r="C144" i="10"/>
  <c r="H144" i="10" s="1"/>
  <c r="P94" i="10"/>
  <c r="Q94" i="10" s="1"/>
  <c r="E147" i="10"/>
  <c r="F146" i="10"/>
  <c r="M96" i="10"/>
  <c r="N95" i="10"/>
  <c r="D96" i="10"/>
  <c r="E95" i="10"/>
  <c r="G95" i="10" s="1"/>
  <c r="H95" i="10" s="1"/>
  <c r="B99" i="10"/>
  <c r="L104" i="10"/>
  <c r="K105" i="10"/>
  <c r="B47" i="10"/>
  <c r="C98" i="10" s="1"/>
  <c r="C46" i="10"/>
  <c r="E46" i="10" s="1"/>
  <c r="I46" i="10"/>
  <c r="K46" i="10" s="1"/>
  <c r="H47" i="10"/>
  <c r="B140" i="8"/>
  <c r="C140" i="8" s="1"/>
  <c r="C95" i="8"/>
  <c r="G104" i="8"/>
  <c r="R26" i="2"/>
  <c r="U25" i="2"/>
  <c r="C34" i="14" l="1"/>
  <c r="E33" i="14"/>
  <c r="F33" i="14" s="1"/>
  <c r="E150" i="8"/>
  <c r="J105" i="8"/>
  <c r="B186" i="8"/>
  <c r="E186" i="8" s="1"/>
  <c r="H97" i="8"/>
  <c r="K97" i="8" s="1"/>
  <c r="V36" i="2"/>
  <c r="D185" i="8"/>
  <c r="D147" i="8"/>
  <c r="O32" i="2"/>
  <c r="Q36" i="2"/>
  <c r="H34" i="2"/>
  <c r="N33" i="2"/>
  <c r="B54" i="8"/>
  <c r="B98" i="8"/>
  <c r="D62" i="8"/>
  <c r="F106" i="8"/>
  <c r="I38" i="2"/>
  <c r="P37" i="2"/>
  <c r="C59" i="8"/>
  <c r="D103" i="8"/>
  <c r="I103" i="8" s="1"/>
  <c r="E101" i="8"/>
  <c r="C96" i="8"/>
  <c r="H33" i="9"/>
  <c r="J33" i="9" s="1"/>
  <c r="M33" i="9" s="1"/>
  <c r="D144" i="10"/>
  <c r="O154" i="10"/>
  <c r="L155" i="10"/>
  <c r="M154" i="10"/>
  <c r="N154" i="10" s="1"/>
  <c r="F46" i="10"/>
  <c r="N46" i="10" s="1"/>
  <c r="S144" i="10"/>
  <c r="I144" i="10"/>
  <c r="L46" i="10"/>
  <c r="O46" i="10" s="1"/>
  <c r="O146" i="10"/>
  <c r="P145" i="10"/>
  <c r="R145" i="10" s="1"/>
  <c r="B146" i="10"/>
  <c r="C145" i="10"/>
  <c r="P148" i="10"/>
  <c r="R148" i="10" s="1"/>
  <c r="P95" i="10"/>
  <c r="Q95" i="10" s="1"/>
  <c r="E148" i="10"/>
  <c r="F147" i="10"/>
  <c r="M97" i="10"/>
  <c r="N96" i="10"/>
  <c r="D97" i="10"/>
  <c r="E96" i="10"/>
  <c r="G96" i="10" s="1"/>
  <c r="H96" i="10" s="1"/>
  <c r="L105" i="10"/>
  <c r="K106" i="10"/>
  <c r="B100" i="10"/>
  <c r="B48" i="10"/>
  <c r="C99" i="10" s="1"/>
  <c r="C47" i="10"/>
  <c r="E47" i="10" s="1"/>
  <c r="H48" i="10"/>
  <c r="I47" i="10"/>
  <c r="K47" i="10" s="1"/>
  <c r="B141" i="8"/>
  <c r="C141" i="8" s="1"/>
  <c r="G105" i="8"/>
  <c r="R27" i="2"/>
  <c r="U26" i="2"/>
  <c r="C35" i="14" l="1"/>
  <c r="E34" i="14"/>
  <c r="F34" i="14" s="1"/>
  <c r="E151" i="8"/>
  <c r="J106" i="8"/>
  <c r="D186" i="8"/>
  <c r="V37" i="2"/>
  <c r="B187" i="8"/>
  <c r="E187" i="8" s="1"/>
  <c r="H98" i="8"/>
  <c r="K98" i="8" s="1"/>
  <c r="D148" i="8"/>
  <c r="O33" i="2"/>
  <c r="B55" i="8"/>
  <c r="B99" i="8"/>
  <c r="I39" i="2"/>
  <c r="P38" i="2"/>
  <c r="V38" i="2" s="1"/>
  <c r="H35" i="2"/>
  <c r="N34" i="2"/>
  <c r="AB9" i="2" s="1"/>
  <c r="D63" i="8"/>
  <c r="F107" i="8"/>
  <c r="Q37" i="2"/>
  <c r="C60" i="8"/>
  <c r="D104" i="8"/>
  <c r="I104" i="8" s="1"/>
  <c r="C97" i="8"/>
  <c r="E102" i="8"/>
  <c r="H34" i="9"/>
  <c r="J34" i="9" s="1"/>
  <c r="M34" i="9" s="1"/>
  <c r="D145" i="10"/>
  <c r="H145" i="10" s="1"/>
  <c r="I145" i="10" s="1"/>
  <c r="F47" i="10"/>
  <c r="N47" i="10" s="1"/>
  <c r="O155" i="10"/>
  <c r="M155" i="10"/>
  <c r="N155" i="10" s="1"/>
  <c r="L156" i="10"/>
  <c r="S145" i="10"/>
  <c r="L47" i="10"/>
  <c r="O47" i="10" s="1"/>
  <c r="O147" i="10"/>
  <c r="P147" i="10" s="1"/>
  <c r="R147" i="10" s="1"/>
  <c r="P146" i="10"/>
  <c r="R146" i="10" s="1"/>
  <c r="B147" i="10"/>
  <c r="B148" i="10" s="1"/>
  <c r="C146" i="10"/>
  <c r="P149" i="10"/>
  <c r="R149" i="10" s="1"/>
  <c r="P96" i="10"/>
  <c r="Q96" i="10" s="1"/>
  <c r="F148" i="10"/>
  <c r="E149" i="10"/>
  <c r="M98" i="10"/>
  <c r="N97" i="10"/>
  <c r="D98" i="10"/>
  <c r="E97" i="10"/>
  <c r="G97" i="10" s="1"/>
  <c r="H97" i="10" s="1"/>
  <c r="B101" i="10"/>
  <c r="K107" i="10"/>
  <c r="L106" i="10"/>
  <c r="B49" i="10"/>
  <c r="C100" i="10" s="1"/>
  <c r="C48" i="10"/>
  <c r="E48" i="10" s="1"/>
  <c r="I48" i="10"/>
  <c r="K48" i="10" s="1"/>
  <c r="H49" i="10"/>
  <c r="B142" i="8"/>
  <c r="C142" i="8" s="1"/>
  <c r="G106" i="8"/>
  <c r="R28" i="2"/>
  <c r="U27" i="2"/>
  <c r="C36" i="14" l="1"/>
  <c r="E35" i="14"/>
  <c r="F35" i="14" s="1"/>
  <c r="E152" i="8"/>
  <c r="J107" i="8"/>
  <c r="D187" i="8"/>
  <c r="B188" i="8"/>
  <c r="E188" i="8" s="1"/>
  <c r="H99" i="8"/>
  <c r="K99" i="8" s="1"/>
  <c r="D149" i="8"/>
  <c r="I40" i="2"/>
  <c r="P39" i="2"/>
  <c r="V39" i="2" s="1"/>
  <c r="Q38" i="2"/>
  <c r="B56" i="8"/>
  <c r="B100" i="8"/>
  <c r="O34" i="2"/>
  <c r="D64" i="8"/>
  <c r="F108" i="8"/>
  <c r="H36" i="2"/>
  <c r="N35" i="2"/>
  <c r="C61" i="8"/>
  <c r="D105" i="8"/>
  <c r="I105" i="8" s="1"/>
  <c r="C98" i="8"/>
  <c r="E103" i="8"/>
  <c r="F48" i="10"/>
  <c r="N48" i="10" s="1"/>
  <c r="H35" i="9"/>
  <c r="J35" i="9" s="1"/>
  <c r="M35" i="9" s="1"/>
  <c r="B149" i="10"/>
  <c r="B150" i="10" s="1"/>
  <c r="B151" i="10" s="1"/>
  <c r="B152" i="10" s="1"/>
  <c r="B153" i="10" s="1"/>
  <c r="B154" i="10" s="1"/>
  <c r="B155" i="10" s="1"/>
  <c r="B156" i="10" s="1"/>
  <c r="B157" i="10" s="1"/>
  <c r="B158" i="10" s="1"/>
  <c r="B159" i="10" s="1"/>
  <c r="B160" i="10" s="1"/>
  <c r="B161" i="10" s="1"/>
  <c r="B162" i="10" s="1"/>
  <c r="B163" i="10" s="1"/>
  <c r="B164" i="10" s="1"/>
  <c r="C148" i="10"/>
  <c r="D148" i="10" s="1"/>
  <c r="H148" i="10" s="1"/>
  <c r="D146" i="10"/>
  <c r="H146" i="10" s="1"/>
  <c r="I146" i="10" s="1"/>
  <c r="O156" i="10"/>
  <c r="M156" i="10"/>
  <c r="N156" i="10" s="1"/>
  <c r="L157" i="10"/>
  <c r="S146" i="10"/>
  <c r="L48" i="10"/>
  <c r="O48" i="10" s="1"/>
  <c r="C147" i="10"/>
  <c r="P150" i="10"/>
  <c r="R150" i="10" s="1"/>
  <c r="P97" i="10"/>
  <c r="Q97" i="10" s="1"/>
  <c r="F149" i="10"/>
  <c r="E150" i="10"/>
  <c r="M99" i="10"/>
  <c r="N98" i="10"/>
  <c r="D99" i="10"/>
  <c r="E98" i="10"/>
  <c r="G98" i="10" s="1"/>
  <c r="H98" i="10" s="1"/>
  <c r="B102" i="10"/>
  <c r="L107" i="10"/>
  <c r="K108" i="10"/>
  <c r="B50" i="10"/>
  <c r="C101" i="10" s="1"/>
  <c r="C49" i="10"/>
  <c r="E49" i="10" s="1"/>
  <c r="H50" i="10"/>
  <c r="I49" i="10"/>
  <c r="K49" i="10" s="1"/>
  <c r="B143" i="8"/>
  <c r="C143" i="8" s="1"/>
  <c r="G107" i="8"/>
  <c r="R29" i="2"/>
  <c r="U28" i="2"/>
  <c r="C37" i="14" l="1"/>
  <c r="E36" i="14"/>
  <c r="F36" i="14" s="1"/>
  <c r="E153" i="8"/>
  <c r="J108" i="8"/>
  <c r="D188" i="8"/>
  <c r="B189" i="8"/>
  <c r="H100" i="8"/>
  <c r="K100" i="8" s="1"/>
  <c r="D150" i="8"/>
  <c r="E189" i="8"/>
  <c r="Q39" i="2"/>
  <c r="H37" i="2"/>
  <c r="N36" i="2"/>
  <c r="I41" i="2"/>
  <c r="P40" i="2"/>
  <c r="V40" i="2" s="1"/>
  <c r="D65" i="8"/>
  <c r="F109" i="8"/>
  <c r="B57" i="8"/>
  <c r="B101" i="8"/>
  <c r="O35" i="2"/>
  <c r="C62" i="8"/>
  <c r="D106" i="8"/>
  <c r="I106" i="8" s="1"/>
  <c r="C99" i="8"/>
  <c r="E104" i="8"/>
  <c r="F49" i="10"/>
  <c r="N49" i="10" s="1"/>
  <c r="H36" i="9"/>
  <c r="J36" i="9" s="1"/>
  <c r="M36" i="9" s="1"/>
  <c r="D147" i="10"/>
  <c r="H147" i="10" s="1"/>
  <c r="I147" i="10" s="1"/>
  <c r="I148" i="10" s="1"/>
  <c r="O157" i="10"/>
  <c r="L158" i="10"/>
  <c r="M157" i="10"/>
  <c r="N157" i="10" s="1"/>
  <c r="S147" i="10"/>
  <c r="S148" i="10" s="1"/>
  <c r="S149" i="10" s="1"/>
  <c r="S150" i="10" s="1"/>
  <c r="L49" i="10"/>
  <c r="O49" i="10" s="1"/>
  <c r="C149" i="10"/>
  <c r="D149" i="10" s="1"/>
  <c r="H149" i="10" s="1"/>
  <c r="P151" i="10"/>
  <c r="R151" i="10" s="1"/>
  <c r="P98" i="10"/>
  <c r="Q98" i="10" s="1"/>
  <c r="F150" i="10"/>
  <c r="E151" i="10"/>
  <c r="M100" i="10"/>
  <c r="N99" i="10"/>
  <c r="D100" i="10"/>
  <c r="E99" i="10"/>
  <c r="G99" i="10" s="1"/>
  <c r="H99" i="10" s="1"/>
  <c r="B103" i="10"/>
  <c r="L108" i="10"/>
  <c r="K109" i="10"/>
  <c r="B51" i="10"/>
  <c r="C102" i="10" s="1"/>
  <c r="C50" i="10"/>
  <c r="E50" i="10" s="1"/>
  <c r="H51" i="10"/>
  <c r="I50" i="10"/>
  <c r="K50" i="10" s="1"/>
  <c r="B144" i="8"/>
  <c r="C144" i="8" s="1"/>
  <c r="G108" i="8"/>
  <c r="R30" i="2"/>
  <c r="U29" i="2"/>
  <c r="C38" i="14" l="1"/>
  <c r="E37" i="14"/>
  <c r="F37" i="14" s="1"/>
  <c r="D189" i="8"/>
  <c r="E154" i="8"/>
  <c r="J109" i="8"/>
  <c r="B190" i="8"/>
  <c r="E190" i="8" s="1"/>
  <c r="H101" i="8"/>
  <c r="K101" i="8" s="1"/>
  <c r="D151" i="8"/>
  <c r="O36" i="2"/>
  <c r="F50" i="10"/>
  <c r="N50" i="10" s="1"/>
  <c r="I42" i="2"/>
  <c r="P41" i="2"/>
  <c r="V41" i="2" s="1"/>
  <c r="B58" i="8"/>
  <c r="B102" i="8"/>
  <c r="H38" i="2"/>
  <c r="N37" i="2"/>
  <c r="Q40" i="2"/>
  <c r="D66" i="8"/>
  <c r="F110" i="8"/>
  <c r="J110" i="8" s="1"/>
  <c r="C63" i="8"/>
  <c r="D107" i="8"/>
  <c r="I107" i="8" s="1"/>
  <c r="C100" i="8"/>
  <c r="E105" i="8"/>
  <c r="H37" i="9"/>
  <c r="J37" i="9" s="1"/>
  <c r="M37" i="9" s="1"/>
  <c r="O158" i="10"/>
  <c r="M158" i="10"/>
  <c r="N158" i="10" s="1"/>
  <c r="L159" i="10"/>
  <c r="I149" i="10"/>
  <c r="L50" i="10"/>
  <c r="O50" i="10" s="1"/>
  <c r="C150" i="10"/>
  <c r="D150" i="10" s="1"/>
  <c r="H150" i="10" s="1"/>
  <c r="S151" i="10"/>
  <c r="P152" i="10"/>
  <c r="R152" i="10" s="1"/>
  <c r="P99" i="10"/>
  <c r="Q99" i="10" s="1"/>
  <c r="E152" i="10"/>
  <c r="F151" i="10"/>
  <c r="M101" i="10"/>
  <c r="N100" i="10"/>
  <c r="D101" i="10"/>
  <c r="E100" i="10"/>
  <c r="G100" i="10" s="1"/>
  <c r="H100" i="10" s="1"/>
  <c r="L109" i="10"/>
  <c r="K110" i="10"/>
  <c r="B104" i="10"/>
  <c r="B52" i="10"/>
  <c r="C103" i="10" s="1"/>
  <c r="C51" i="10"/>
  <c r="E51" i="10" s="1"/>
  <c r="I51" i="10"/>
  <c r="K51" i="10" s="1"/>
  <c r="H52" i="10"/>
  <c r="B145" i="8"/>
  <c r="C145" i="8" s="1"/>
  <c r="G109" i="8"/>
  <c r="R31" i="2"/>
  <c r="U30" i="2"/>
  <c r="C39" i="14" l="1"/>
  <c r="E38" i="14"/>
  <c r="F38" i="14" s="1"/>
  <c r="D190" i="8"/>
  <c r="D191" i="8" s="1"/>
  <c r="B191" i="8"/>
  <c r="H102" i="8"/>
  <c r="K102" i="8" s="1"/>
  <c r="D152" i="8"/>
  <c r="E191" i="8"/>
  <c r="O37" i="2"/>
  <c r="F51" i="10"/>
  <c r="N51" i="10" s="1"/>
  <c r="B59" i="8"/>
  <c r="B103" i="8"/>
  <c r="D67" i="8"/>
  <c r="F111" i="8"/>
  <c r="J111" i="8" s="1"/>
  <c r="I43" i="2"/>
  <c r="P42" i="2"/>
  <c r="V42" i="2" s="1"/>
  <c r="Q41" i="2"/>
  <c r="E155" i="8"/>
  <c r="H39" i="2"/>
  <c r="N38" i="2"/>
  <c r="C64" i="8"/>
  <c r="D108" i="8"/>
  <c r="I108" i="8" s="1"/>
  <c r="E106" i="8"/>
  <c r="H38" i="9"/>
  <c r="J38" i="9" s="1"/>
  <c r="M38" i="9" s="1"/>
  <c r="O159" i="10"/>
  <c r="M159" i="10"/>
  <c r="N159" i="10" s="1"/>
  <c r="L160" i="10"/>
  <c r="I150" i="10"/>
  <c r="L51" i="10"/>
  <c r="O51" i="10" s="1"/>
  <c r="C151" i="10"/>
  <c r="D151" i="10" s="1"/>
  <c r="H151" i="10" s="1"/>
  <c r="S152" i="10"/>
  <c r="P153" i="10"/>
  <c r="R153" i="10" s="1"/>
  <c r="P100" i="10"/>
  <c r="Q100" i="10" s="1"/>
  <c r="E153" i="10"/>
  <c r="F152" i="10"/>
  <c r="M102" i="10"/>
  <c r="N101" i="10"/>
  <c r="D102" i="10"/>
  <c r="E101" i="10"/>
  <c r="G101" i="10" s="1"/>
  <c r="H101" i="10" s="1"/>
  <c r="L110" i="10"/>
  <c r="K111" i="10"/>
  <c r="B105" i="10"/>
  <c r="B53" i="10"/>
  <c r="C104" i="10" s="1"/>
  <c r="C52" i="10"/>
  <c r="E52" i="10" s="1"/>
  <c r="H53" i="10"/>
  <c r="I52" i="10"/>
  <c r="K52" i="10" s="1"/>
  <c r="B146" i="8"/>
  <c r="C146" i="8" s="1"/>
  <c r="C101" i="8"/>
  <c r="G110" i="8"/>
  <c r="R32" i="2"/>
  <c r="U31" i="2"/>
  <c r="C40" i="14" l="1"/>
  <c r="E39" i="14"/>
  <c r="F39" i="14" s="1"/>
  <c r="B192" i="8"/>
  <c r="E192" i="8" s="1"/>
  <c r="H103" i="8"/>
  <c r="K103" i="8" s="1"/>
  <c r="D153" i="8"/>
  <c r="O38" i="2"/>
  <c r="F52" i="10"/>
  <c r="N52" i="10" s="1"/>
  <c r="Q42" i="2"/>
  <c r="D68" i="8"/>
  <c r="F112" i="8"/>
  <c r="J112" i="8" s="1"/>
  <c r="H40" i="2"/>
  <c r="N39" i="2"/>
  <c r="B60" i="8"/>
  <c r="B104" i="8"/>
  <c r="E156" i="8"/>
  <c r="I44" i="2"/>
  <c r="P43" i="2"/>
  <c r="C65" i="8"/>
  <c r="D109" i="8"/>
  <c r="E107" i="8"/>
  <c r="C102" i="8"/>
  <c r="H39" i="9"/>
  <c r="J39" i="9" s="1"/>
  <c r="M39" i="9" s="1"/>
  <c r="O160" i="10"/>
  <c r="L161" i="10"/>
  <c r="M160" i="10"/>
  <c r="N160" i="10" s="1"/>
  <c r="I151" i="10"/>
  <c r="L52" i="10"/>
  <c r="O52" i="10" s="1"/>
  <c r="C152" i="10"/>
  <c r="D152" i="10" s="1"/>
  <c r="H152" i="10" s="1"/>
  <c r="S153" i="10"/>
  <c r="P154" i="10"/>
  <c r="R154" i="10" s="1"/>
  <c r="P101" i="10"/>
  <c r="Q101" i="10" s="1"/>
  <c r="F153" i="10"/>
  <c r="E154" i="10"/>
  <c r="M103" i="10"/>
  <c r="N102" i="10"/>
  <c r="D103" i="10"/>
  <c r="E102" i="10"/>
  <c r="G102" i="10" s="1"/>
  <c r="H102" i="10" s="1"/>
  <c r="K112" i="10"/>
  <c r="L111" i="10"/>
  <c r="B106" i="10"/>
  <c r="B54" i="10"/>
  <c r="C105" i="10" s="1"/>
  <c r="C53" i="10"/>
  <c r="E53" i="10" s="1"/>
  <c r="H54" i="10"/>
  <c r="I53" i="10"/>
  <c r="K53" i="10" s="1"/>
  <c r="B147" i="8"/>
  <c r="C147" i="8" s="1"/>
  <c r="G111" i="8"/>
  <c r="R33" i="2"/>
  <c r="R34" i="2" s="1"/>
  <c r="R35" i="2" s="1"/>
  <c r="R36" i="2" s="1"/>
  <c r="R37" i="2" s="1"/>
  <c r="R38" i="2" s="1"/>
  <c r="R39" i="2" s="1"/>
  <c r="R40" i="2" s="1"/>
  <c r="R41" i="2" s="1"/>
  <c r="R42" i="2" s="1"/>
  <c r="R43" i="2" s="1"/>
  <c r="R44" i="2" s="1"/>
  <c r="R45" i="2" s="1"/>
  <c r="R46" i="2" s="1"/>
  <c r="R47" i="2" s="1"/>
  <c r="U32" i="2"/>
  <c r="C41" i="14" l="1"/>
  <c r="E40" i="14"/>
  <c r="F40" i="14" s="1"/>
  <c r="D192" i="8"/>
  <c r="D154" i="8"/>
  <c r="I109" i="8"/>
  <c r="B193" i="8"/>
  <c r="H104" i="8"/>
  <c r="K104" i="8" s="1"/>
  <c r="F53" i="10"/>
  <c r="N53" i="10" s="1"/>
  <c r="E193" i="8"/>
  <c r="O39" i="2"/>
  <c r="Q43" i="2"/>
  <c r="H41" i="2"/>
  <c r="N40" i="2"/>
  <c r="I45" i="2"/>
  <c r="P44" i="2"/>
  <c r="V43" i="2"/>
  <c r="D69" i="8"/>
  <c r="F113" i="8"/>
  <c r="J113" i="8" s="1"/>
  <c r="B61" i="8"/>
  <c r="B105" i="8"/>
  <c r="E157" i="8"/>
  <c r="C66" i="8"/>
  <c r="D110" i="8"/>
  <c r="C103" i="8"/>
  <c r="E108" i="8"/>
  <c r="H40" i="9"/>
  <c r="J40" i="9" s="1"/>
  <c r="M40" i="9" s="1"/>
  <c r="O161" i="10"/>
  <c r="M161" i="10"/>
  <c r="N161" i="10" s="1"/>
  <c r="L162" i="10"/>
  <c r="I152" i="10"/>
  <c r="L53" i="10"/>
  <c r="O53" i="10" s="1"/>
  <c r="C153" i="10"/>
  <c r="D153" i="10" s="1"/>
  <c r="H153" i="10" s="1"/>
  <c r="S154" i="10"/>
  <c r="P155" i="10"/>
  <c r="R155" i="10" s="1"/>
  <c r="P102" i="10"/>
  <c r="Q102" i="10" s="1"/>
  <c r="E155" i="10"/>
  <c r="F154" i="10"/>
  <c r="M104" i="10"/>
  <c r="N103" i="10"/>
  <c r="D104" i="10"/>
  <c r="E103" i="10"/>
  <c r="G103" i="10" s="1"/>
  <c r="H103" i="10" s="1"/>
  <c r="B107" i="10"/>
  <c r="K113" i="10"/>
  <c r="L112" i="10"/>
  <c r="B55" i="10"/>
  <c r="C106" i="10" s="1"/>
  <c r="C54" i="10"/>
  <c r="E54" i="10" s="1"/>
  <c r="H55" i="10"/>
  <c r="I54" i="10"/>
  <c r="K54" i="10" s="1"/>
  <c r="B148" i="8"/>
  <c r="C148" i="8" s="1"/>
  <c r="G112" i="8"/>
  <c r="U33" i="2"/>
  <c r="C42" i="14" l="1"/>
  <c r="E41" i="14"/>
  <c r="F41" i="14" s="1"/>
  <c r="D193" i="8"/>
  <c r="D155" i="8"/>
  <c r="I110" i="8"/>
  <c r="B194" i="8"/>
  <c r="D194" i="8" s="1"/>
  <c r="H105" i="8"/>
  <c r="K105" i="8" s="1"/>
  <c r="F54" i="10"/>
  <c r="N54" i="10" s="1"/>
  <c r="E194" i="8"/>
  <c r="O40" i="2"/>
  <c r="Q44" i="2"/>
  <c r="E158" i="8"/>
  <c r="I46" i="2"/>
  <c r="P45" i="2"/>
  <c r="H42" i="2"/>
  <c r="N41" i="2"/>
  <c r="B62" i="8"/>
  <c r="B106" i="8"/>
  <c r="D70" i="8"/>
  <c r="F114" i="8"/>
  <c r="J114" i="8" s="1"/>
  <c r="V44" i="2"/>
  <c r="C67" i="8"/>
  <c r="D111" i="8"/>
  <c r="C104" i="8"/>
  <c r="E109" i="8"/>
  <c r="H41" i="9"/>
  <c r="J41" i="9" s="1"/>
  <c r="M41" i="9" s="1"/>
  <c r="O162" i="10"/>
  <c r="M162" i="10"/>
  <c r="N162" i="10" s="1"/>
  <c r="L163" i="10"/>
  <c r="I153" i="10"/>
  <c r="L54" i="10"/>
  <c r="O54" i="10" s="1"/>
  <c r="C154" i="10"/>
  <c r="D154" i="10" s="1"/>
  <c r="H154" i="10" s="1"/>
  <c r="S155" i="10"/>
  <c r="P156" i="10"/>
  <c r="R156" i="10" s="1"/>
  <c r="P103" i="10"/>
  <c r="Q103" i="10" s="1"/>
  <c r="E156" i="10"/>
  <c r="F155" i="10"/>
  <c r="M105" i="10"/>
  <c r="N104" i="10"/>
  <c r="D105" i="10"/>
  <c r="E104" i="10"/>
  <c r="G104" i="10" s="1"/>
  <c r="H104" i="10" s="1"/>
  <c r="L113" i="10"/>
  <c r="K114" i="10"/>
  <c r="B108" i="10"/>
  <c r="B56" i="10"/>
  <c r="C107" i="10" s="1"/>
  <c r="C55" i="10"/>
  <c r="E55" i="10" s="1"/>
  <c r="H56" i="10"/>
  <c r="I55" i="10"/>
  <c r="K55" i="10" s="1"/>
  <c r="B149" i="8"/>
  <c r="C149" i="8" s="1"/>
  <c r="G113" i="8"/>
  <c r="U34" i="2"/>
  <c r="C43" i="14" l="1"/>
  <c r="E42" i="14"/>
  <c r="F42" i="14" s="1"/>
  <c r="D156" i="8"/>
  <c r="I111" i="8"/>
  <c r="B195" i="8"/>
  <c r="D195" i="8" s="1"/>
  <c r="H106" i="8"/>
  <c r="K106" i="8" s="1"/>
  <c r="E195" i="8"/>
  <c r="F55" i="10"/>
  <c r="N55" i="10" s="1"/>
  <c r="O41" i="2"/>
  <c r="Q45" i="2"/>
  <c r="V45" i="2"/>
  <c r="I47" i="2"/>
  <c r="P47" i="2" s="1"/>
  <c r="P46" i="2"/>
  <c r="H43" i="2"/>
  <c r="N42" i="2"/>
  <c r="E159" i="8"/>
  <c r="D71" i="8"/>
  <c r="F116" i="8" s="1"/>
  <c r="J116" i="8" s="1"/>
  <c r="F115" i="8"/>
  <c r="J115" i="8" s="1"/>
  <c r="B63" i="8"/>
  <c r="B107" i="8"/>
  <c r="C68" i="8"/>
  <c r="D112" i="8"/>
  <c r="E110" i="8"/>
  <c r="H42" i="9"/>
  <c r="J42" i="9" s="1"/>
  <c r="M42" i="9" s="1"/>
  <c r="O163" i="10"/>
  <c r="M163" i="10"/>
  <c r="N163" i="10" s="1"/>
  <c r="L164" i="10"/>
  <c r="I154" i="10"/>
  <c r="L55" i="10"/>
  <c r="O55" i="10" s="1"/>
  <c r="C155" i="10"/>
  <c r="D155" i="10" s="1"/>
  <c r="H155" i="10" s="1"/>
  <c r="S156" i="10"/>
  <c r="P157" i="10"/>
  <c r="R157" i="10" s="1"/>
  <c r="P104" i="10"/>
  <c r="Q104" i="10" s="1"/>
  <c r="F156" i="10"/>
  <c r="E157" i="10"/>
  <c r="M106" i="10"/>
  <c r="N105" i="10"/>
  <c r="D106" i="10"/>
  <c r="E105" i="10"/>
  <c r="G105" i="10" s="1"/>
  <c r="H105" i="10" s="1"/>
  <c r="B109" i="10"/>
  <c r="K115" i="10"/>
  <c r="L115" i="10" s="1"/>
  <c r="L114" i="10"/>
  <c r="B57" i="10"/>
  <c r="C108" i="10" s="1"/>
  <c r="C56" i="10"/>
  <c r="E56" i="10" s="1"/>
  <c r="I56" i="10"/>
  <c r="K56" i="10" s="1"/>
  <c r="H57" i="10"/>
  <c r="B150" i="8"/>
  <c r="C150" i="8" s="1"/>
  <c r="C105" i="8"/>
  <c r="G114" i="8"/>
  <c r="U35" i="2"/>
  <c r="C44" i="14" l="1"/>
  <c r="E43" i="14"/>
  <c r="F43" i="14" s="1"/>
  <c r="D157" i="8"/>
  <c r="I112" i="8"/>
  <c r="B196" i="8"/>
  <c r="D196" i="8" s="1"/>
  <c r="H107" i="8"/>
  <c r="K107" i="8" s="1"/>
  <c r="F56" i="10"/>
  <c r="N56" i="10" s="1"/>
  <c r="E196" i="8"/>
  <c r="O42" i="2"/>
  <c r="Q46" i="2"/>
  <c r="Q47" i="2" s="1"/>
  <c r="H44" i="2"/>
  <c r="N43" i="2"/>
  <c r="B64" i="8"/>
  <c r="B108" i="8"/>
  <c r="V46" i="2"/>
  <c r="V47" i="2" s="1"/>
  <c r="E160" i="8"/>
  <c r="E161" i="8" s="1"/>
  <c r="C69" i="8"/>
  <c r="D113" i="8"/>
  <c r="E111" i="8"/>
  <c r="M164" i="10"/>
  <c r="N164" i="10" s="1"/>
  <c r="O164" i="10"/>
  <c r="L56" i="10"/>
  <c r="O56" i="10" s="1"/>
  <c r="I155" i="10"/>
  <c r="C156" i="10"/>
  <c r="D156" i="10" s="1"/>
  <c r="H156" i="10" s="1"/>
  <c r="S157" i="10"/>
  <c r="P158" i="10"/>
  <c r="R158" i="10" s="1"/>
  <c r="P105" i="10"/>
  <c r="Q105" i="10" s="1"/>
  <c r="F157" i="10"/>
  <c r="E158" i="10"/>
  <c r="M107" i="10"/>
  <c r="N106" i="10"/>
  <c r="D107" i="10"/>
  <c r="E106" i="10"/>
  <c r="G106" i="10" s="1"/>
  <c r="H106" i="10" s="1"/>
  <c r="B110" i="10"/>
  <c r="B58" i="10"/>
  <c r="C109" i="10" s="1"/>
  <c r="C57" i="10"/>
  <c r="E57" i="10" s="1"/>
  <c r="H58" i="10"/>
  <c r="I57" i="10"/>
  <c r="K57" i="10" s="1"/>
  <c r="C106" i="8"/>
  <c r="B151" i="8"/>
  <c r="C151" i="8" s="1"/>
  <c r="H43" i="9"/>
  <c r="J43" i="9" s="1"/>
  <c r="M43" i="9" s="1"/>
  <c r="G115" i="8"/>
  <c r="U36" i="2"/>
  <c r="C45" i="14" l="1"/>
  <c r="E44" i="14"/>
  <c r="F44" i="14" s="1"/>
  <c r="D158" i="8"/>
  <c r="I113" i="8"/>
  <c r="F57" i="10"/>
  <c r="N57" i="10" s="1"/>
  <c r="O43" i="2"/>
  <c r="B197" i="8"/>
  <c r="D197" i="8" s="1"/>
  <c r="H108" i="8"/>
  <c r="K108" i="8" s="1"/>
  <c r="B65" i="8"/>
  <c r="B109" i="8"/>
  <c r="H45" i="2"/>
  <c r="N44" i="2"/>
  <c r="C70" i="8"/>
  <c r="D114" i="8"/>
  <c r="E112" i="8"/>
  <c r="L57" i="10"/>
  <c r="O57" i="10" s="1"/>
  <c r="I156" i="10"/>
  <c r="C157" i="10"/>
  <c r="D157" i="10" s="1"/>
  <c r="H157" i="10" s="1"/>
  <c r="S158" i="10"/>
  <c r="P159" i="10"/>
  <c r="R159" i="10" s="1"/>
  <c r="P106" i="10"/>
  <c r="Q106" i="10" s="1"/>
  <c r="F158" i="10"/>
  <c r="E159" i="10"/>
  <c r="M108" i="10"/>
  <c r="N107" i="10"/>
  <c r="D108" i="10"/>
  <c r="E107" i="10"/>
  <c r="G107" i="10" s="1"/>
  <c r="H107" i="10" s="1"/>
  <c r="B111" i="10"/>
  <c r="B59" i="10"/>
  <c r="C110" i="10" s="1"/>
  <c r="C58" i="10"/>
  <c r="E58" i="10" s="1"/>
  <c r="F58" i="10" s="1"/>
  <c r="N58" i="10" s="1"/>
  <c r="H59" i="10"/>
  <c r="I58" i="10"/>
  <c r="K58" i="10" s="1"/>
  <c r="B152" i="8"/>
  <c r="C152" i="8" s="1"/>
  <c r="C107" i="8"/>
  <c r="H44" i="9"/>
  <c r="J44" i="9" s="1"/>
  <c r="M44" i="9" s="1"/>
  <c r="G116" i="8"/>
  <c r="U37" i="2"/>
  <c r="C46" i="14" l="1"/>
  <c r="E45" i="14"/>
  <c r="F45" i="14" s="1"/>
  <c r="O44" i="2"/>
  <c r="D159" i="8"/>
  <c r="I114" i="8"/>
  <c r="E197" i="8"/>
  <c r="B198" i="8"/>
  <c r="D198" i="8" s="1"/>
  <c r="H109" i="8"/>
  <c r="K109" i="8" s="1"/>
  <c r="L58" i="10"/>
  <c r="O58" i="10" s="1"/>
  <c r="H46" i="2"/>
  <c r="N45" i="2"/>
  <c r="O45" i="2" s="1"/>
  <c r="B66" i="8"/>
  <c r="B110" i="8"/>
  <c r="C71" i="8"/>
  <c r="D116" i="8" s="1"/>
  <c r="I116" i="8" s="1"/>
  <c r="D115" i="8"/>
  <c r="E113" i="8"/>
  <c r="I157" i="10"/>
  <c r="C158" i="10"/>
  <c r="D158" i="10" s="1"/>
  <c r="H158" i="10" s="1"/>
  <c r="S159" i="10"/>
  <c r="P160" i="10"/>
  <c r="R160" i="10" s="1"/>
  <c r="P107" i="10"/>
  <c r="Q107" i="10" s="1"/>
  <c r="E160" i="10"/>
  <c r="F159" i="10"/>
  <c r="M109" i="10"/>
  <c r="N108" i="10"/>
  <c r="D109" i="10"/>
  <c r="E108" i="10"/>
  <c r="G108" i="10" s="1"/>
  <c r="H108" i="10" s="1"/>
  <c r="B112" i="10"/>
  <c r="B60" i="10"/>
  <c r="C111" i="10" s="1"/>
  <c r="C59" i="10"/>
  <c r="E59" i="10" s="1"/>
  <c r="F59" i="10" s="1"/>
  <c r="N59" i="10" s="1"/>
  <c r="I59" i="10"/>
  <c r="K59" i="10" s="1"/>
  <c r="H60" i="10"/>
  <c r="H45" i="9"/>
  <c r="J45" i="9" s="1"/>
  <c r="M45" i="9" s="1"/>
  <c r="C108" i="8"/>
  <c r="B153" i="8"/>
  <c r="C153" i="8" s="1"/>
  <c r="U38" i="2"/>
  <c r="C47" i="14" l="1"/>
  <c r="E46" i="14"/>
  <c r="F46" i="14" s="1"/>
  <c r="E198" i="8"/>
  <c r="D160" i="8"/>
  <c r="D161" i="8" s="1"/>
  <c r="I115" i="8"/>
  <c r="B199" i="8"/>
  <c r="D199" i="8" s="1"/>
  <c r="H110" i="8"/>
  <c r="K110" i="8" s="1"/>
  <c r="E199" i="8"/>
  <c r="L59" i="10"/>
  <c r="O59" i="10" s="1"/>
  <c r="B67" i="8"/>
  <c r="B111" i="8"/>
  <c r="H47" i="2"/>
  <c r="N47" i="2" s="1"/>
  <c r="N46" i="2"/>
  <c r="O46" i="2" s="1"/>
  <c r="E114" i="8"/>
  <c r="I158" i="10"/>
  <c r="C159" i="10"/>
  <c r="D159" i="10" s="1"/>
  <c r="H159" i="10" s="1"/>
  <c r="S160" i="10"/>
  <c r="P161" i="10"/>
  <c r="R161" i="10" s="1"/>
  <c r="P108" i="10"/>
  <c r="Q108" i="10" s="1"/>
  <c r="E161" i="10"/>
  <c r="F160" i="10"/>
  <c r="M110" i="10"/>
  <c r="N109" i="10"/>
  <c r="D110" i="10"/>
  <c r="E109" i="10"/>
  <c r="G109" i="10" s="1"/>
  <c r="H109" i="10" s="1"/>
  <c r="B113" i="10"/>
  <c r="B61" i="10"/>
  <c r="C112" i="10" s="1"/>
  <c r="C60" i="10"/>
  <c r="E60" i="10" s="1"/>
  <c r="F60" i="10" s="1"/>
  <c r="N60" i="10" s="1"/>
  <c r="H61" i="10"/>
  <c r="I60" i="10"/>
  <c r="K60" i="10" s="1"/>
  <c r="B154" i="8"/>
  <c r="C154" i="8" s="1"/>
  <c r="C109" i="8"/>
  <c r="H46" i="9"/>
  <c r="J46" i="9" s="1"/>
  <c r="M46" i="9" s="1"/>
  <c r="U39" i="2"/>
  <c r="C48" i="14" l="1"/>
  <c r="E47" i="14"/>
  <c r="F47" i="14" s="1"/>
  <c r="B200" i="8"/>
  <c r="D200" i="8" s="1"/>
  <c r="H111" i="8"/>
  <c r="K111" i="8" s="1"/>
  <c r="L60" i="10"/>
  <c r="O60" i="10" s="1"/>
  <c r="O47" i="2"/>
  <c r="B68" i="8"/>
  <c r="B112" i="8"/>
  <c r="E115" i="8"/>
  <c r="I159" i="10"/>
  <c r="C160" i="10"/>
  <c r="D160" i="10" s="1"/>
  <c r="H160" i="10" s="1"/>
  <c r="S161" i="10"/>
  <c r="P162" i="10"/>
  <c r="R162" i="10" s="1"/>
  <c r="P109" i="10"/>
  <c r="Q109" i="10" s="1"/>
  <c r="F161" i="10"/>
  <c r="E162" i="10"/>
  <c r="M111" i="10"/>
  <c r="N110" i="10"/>
  <c r="D111" i="10"/>
  <c r="E110" i="10"/>
  <c r="G110" i="10" s="1"/>
  <c r="H110" i="10" s="1"/>
  <c r="B114" i="10"/>
  <c r="B62" i="10"/>
  <c r="C113" i="10" s="1"/>
  <c r="C61" i="10"/>
  <c r="E61" i="10" s="1"/>
  <c r="F61" i="10" s="1"/>
  <c r="N61" i="10" s="1"/>
  <c r="H62" i="10"/>
  <c r="I61" i="10"/>
  <c r="K61" i="10" s="1"/>
  <c r="B155" i="8"/>
  <c r="C155" i="8" s="1"/>
  <c r="C110" i="8"/>
  <c r="H47" i="9"/>
  <c r="U40" i="2"/>
  <c r="C49" i="14" l="1"/>
  <c r="E49" i="14" s="1"/>
  <c r="E48" i="14"/>
  <c r="F48" i="14" s="1"/>
  <c r="F49" i="14" s="1"/>
  <c r="E200" i="8"/>
  <c r="B201" i="8"/>
  <c r="D201" i="8" s="1"/>
  <c r="H112" i="8"/>
  <c r="K112" i="8" s="1"/>
  <c r="L61" i="10"/>
  <c r="O61" i="10" s="1"/>
  <c r="B69" i="8"/>
  <c r="B113" i="8"/>
  <c r="E116" i="8"/>
  <c r="I160" i="10"/>
  <c r="C161" i="10"/>
  <c r="D161" i="10" s="1"/>
  <c r="H161" i="10" s="1"/>
  <c r="S162" i="10"/>
  <c r="P163" i="10"/>
  <c r="R163" i="10" s="1"/>
  <c r="P164" i="10"/>
  <c r="R164" i="10" s="1"/>
  <c r="P110" i="10"/>
  <c r="Q110" i="10" s="1"/>
  <c r="E163" i="10"/>
  <c r="F162" i="10"/>
  <c r="M112" i="10"/>
  <c r="N111" i="10"/>
  <c r="D112" i="10"/>
  <c r="E111" i="10"/>
  <c r="G111" i="10" s="1"/>
  <c r="H111" i="10" s="1"/>
  <c r="B115" i="10"/>
  <c r="B63" i="10"/>
  <c r="C114" i="10" s="1"/>
  <c r="C62" i="10"/>
  <c r="E62" i="10" s="1"/>
  <c r="F62" i="10" s="1"/>
  <c r="N62" i="10" s="1"/>
  <c r="I62" i="10"/>
  <c r="K62" i="10" s="1"/>
  <c r="L62" i="10" s="1"/>
  <c r="O62" i="10" s="1"/>
  <c r="H63" i="10"/>
  <c r="B156" i="8"/>
  <c r="C156" i="8" s="1"/>
  <c r="C111" i="8"/>
  <c r="J47" i="9"/>
  <c r="M47" i="9" s="1"/>
  <c r="U41" i="2"/>
  <c r="B202" i="8" l="1"/>
  <c r="D202" i="8" s="1"/>
  <c r="H113" i="8"/>
  <c r="K113" i="8" s="1"/>
  <c r="E201" i="8"/>
  <c r="B70" i="8"/>
  <c r="B114" i="8"/>
  <c r="I161" i="10"/>
  <c r="C162" i="10"/>
  <c r="D162" i="10" s="1"/>
  <c r="H162" i="10" s="1"/>
  <c r="S163" i="10"/>
  <c r="S164" i="10" s="1"/>
  <c r="P111" i="10"/>
  <c r="Q111" i="10" s="1"/>
  <c r="E164" i="10"/>
  <c r="F164" i="10" s="1"/>
  <c r="F163" i="10"/>
  <c r="M113" i="10"/>
  <c r="N112" i="10"/>
  <c r="D113" i="10"/>
  <c r="E112" i="10"/>
  <c r="G112" i="10" s="1"/>
  <c r="H112" i="10" s="1"/>
  <c r="B64" i="10"/>
  <c r="C63" i="10"/>
  <c r="E63" i="10" s="1"/>
  <c r="F63" i="10" s="1"/>
  <c r="N63" i="10" s="1"/>
  <c r="H64" i="10"/>
  <c r="I64" i="10" s="1"/>
  <c r="K64" i="10" s="1"/>
  <c r="I63" i="10"/>
  <c r="K63" i="10" s="1"/>
  <c r="L63" i="10" s="1"/>
  <c r="O63" i="10" s="1"/>
  <c r="C112" i="8"/>
  <c r="B157" i="8"/>
  <c r="C157" i="8" s="1"/>
  <c r="H48" i="9"/>
  <c r="U42" i="2"/>
  <c r="E202" i="8" l="1"/>
  <c r="B203" i="8"/>
  <c r="D203" i="8" s="1"/>
  <c r="H114" i="8"/>
  <c r="K114" i="8" s="1"/>
  <c r="B71" i="8"/>
  <c r="B116" i="8" s="1"/>
  <c r="B115" i="8"/>
  <c r="I162" i="10"/>
  <c r="C164" i="10"/>
  <c r="D164" i="10" s="1"/>
  <c r="H164" i="10" s="1"/>
  <c r="C163" i="10"/>
  <c r="D163" i="10" s="1"/>
  <c r="H163" i="10" s="1"/>
  <c r="L64" i="10"/>
  <c r="O64" i="10" s="1"/>
  <c r="P112" i="10"/>
  <c r="Q112" i="10" s="1"/>
  <c r="M114" i="10"/>
  <c r="N113" i="10"/>
  <c r="D114" i="10"/>
  <c r="E113" i="10"/>
  <c r="G113" i="10" s="1"/>
  <c r="H113" i="10" s="1"/>
  <c r="C64" i="10"/>
  <c r="E64" i="10" s="1"/>
  <c r="F64" i="10" s="1"/>
  <c r="N64" i="10" s="1"/>
  <c r="H7" i="10" s="1" a="1"/>
  <c r="H7" i="10" s="1"/>
  <c r="C115" i="10"/>
  <c r="B158" i="8"/>
  <c r="C158" i="8" s="1"/>
  <c r="C113" i="8"/>
  <c r="J48" i="9"/>
  <c r="M48" i="9" s="1"/>
  <c r="U43" i="2"/>
  <c r="E203" i="8" l="1"/>
  <c r="B204" i="8"/>
  <c r="D204" i="8" s="1"/>
  <c r="H115" i="8"/>
  <c r="K115" i="8" s="1"/>
  <c r="K116" i="8" s="1"/>
  <c r="B205" i="8"/>
  <c r="H116" i="8"/>
  <c r="I163" i="10"/>
  <c r="I164" i="10" s="1"/>
  <c r="P113" i="10"/>
  <c r="Q113" i="10" s="1"/>
  <c r="M115" i="10"/>
  <c r="N115" i="10" s="1"/>
  <c r="P115" i="10" s="1"/>
  <c r="N114" i="10"/>
  <c r="D115" i="10"/>
  <c r="E115" i="10" s="1"/>
  <c r="G115" i="10" s="1"/>
  <c r="E114" i="10"/>
  <c r="G114" i="10" s="1"/>
  <c r="H114" i="10" s="1"/>
  <c r="C114" i="8"/>
  <c r="B159" i="8"/>
  <c r="C159" i="8" s="1"/>
  <c r="H49" i="9"/>
  <c r="U44" i="2"/>
  <c r="E204" i="8" l="1"/>
  <c r="E205" i="8" s="1"/>
  <c r="D205" i="8"/>
  <c r="H115" i="10"/>
  <c r="P114" i="10"/>
  <c r="Q114" i="10" s="1"/>
  <c r="Q115" i="10" s="1"/>
  <c r="B160" i="8"/>
  <c r="C160" i="8" s="1"/>
  <c r="C115" i="8"/>
  <c r="J49" i="9"/>
  <c r="M49" i="9" s="1"/>
  <c r="U45" i="2"/>
  <c r="B161" i="8" l="1"/>
  <c r="C161" i="8" s="1"/>
  <c r="X12" i="8" s="1" a="1"/>
  <c r="X12" i="8" s="1"/>
  <c r="L118" i="8" s="1"/>
  <c r="C116" i="8"/>
  <c r="F74" i="8" s="1" a="1"/>
  <c r="F74" i="8" s="1"/>
  <c r="D74" i="8" s="1"/>
  <c r="H50" i="9"/>
  <c r="U47" i="2"/>
  <c r="U46" i="2"/>
  <c r="N12" i="8" l="1" a="1"/>
  <c r="N12" i="8" s="1"/>
  <c r="J50" i="9"/>
  <c r="M50" i="9" s="1"/>
  <c r="H51" i="9" l="1"/>
  <c r="J51" i="9" l="1"/>
  <c r="M51" i="9" s="1"/>
  <c r="H52" i="9" l="1"/>
  <c r="J52" i="9" s="1"/>
  <c r="M52" i="9" s="1"/>
  <c r="H53" i="9" l="1"/>
  <c r="J53" i="9" s="1"/>
  <c r="M53" i="9" s="1"/>
  <c r="H54" i="9" l="1"/>
  <c r="J54" i="9" l="1"/>
  <c r="M54" i="9" s="1"/>
  <c r="H55" i="9" l="1"/>
  <c r="J55" i="9" s="1"/>
  <c r="M55" i="9" s="1"/>
  <c r="H56" i="9" l="1"/>
  <c r="J56" i="9" l="1"/>
  <c r="M56" i="9" s="1"/>
  <c r="H57" i="9" l="1"/>
  <c r="J57" i="9" s="1"/>
  <c r="M57" i="9" s="1"/>
  <c r="H58" i="9" l="1"/>
  <c r="J58" i="9" l="1"/>
  <c r="M58" i="9" s="1"/>
  <c r="H59" i="9" l="1"/>
  <c r="J59" i="9" s="1"/>
  <c r="M59" i="9" l="1"/>
  <c r="H60" i="9"/>
  <c r="J60" i="9" s="1"/>
  <c r="M60" i="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18FB4C-BD9B-4DA5-ADB2-05C354A83DE6}" keepAlive="1" name="Query - Cpi_index_inflation_montly_1925-2025" description="Connection to the 'Cpi_index_inflation_montly_1925-2025' query in the workbook." type="5" refreshedVersion="8" background="1" saveData="1">
    <dbPr connection="Provider=Microsoft.Mashup.OleDb.1;Data Source=$Workbook$;Location=Cpi_index_inflation_montly_1925-2025;Extended Properties=&quot;&quot;" command="SELECT * FROM [Cpi_index_inflation_montly_1925-2025]"/>
  </connection>
  <connection id="2" xr16:uid="{14CEE2DD-E54A-47CF-ADAB-FAC05135D3B8}" keepAlive="1" name="Query - s&amp;p_returns" description="Connection to the 's&amp;p_returns' query in the workbook." type="5" refreshedVersion="8" background="1" saveData="1">
    <dbPr connection="Provider=Microsoft.Mashup.OleDb.1;Data Source=$Workbook$;Location=s&amp;p_returns;Extended Properties=&quot;&quot;" command="SELECT * FROM [s&amp;p_return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<sst xmlns="http://schemas.openxmlformats.org/spreadsheetml/2006/main" count="2750" uniqueCount="223">
  <si>
    <t>Social Security payout</t>
  </si>
  <si>
    <t>FRA</t>
  </si>
  <si>
    <t>AGE</t>
  </si>
  <si>
    <t>Monthy benefit</t>
  </si>
  <si>
    <t>year2year change</t>
  </si>
  <si>
    <t>CPI</t>
  </si>
  <si>
    <t>Series ID</t>
  </si>
  <si>
    <t>Year</t>
  </si>
  <si>
    <t>Period</t>
  </si>
  <si>
    <t>Label</t>
  </si>
  <si>
    <t>Value</t>
  </si>
  <si>
    <t>12-Month % Change</t>
  </si>
  <si>
    <t>CUUR0000SA0</t>
  </si>
  <si>
    <t>M01</t>
  </si>
  <si>
    <t>M02</t>
  </si>
  <si>
    <t>M03</t>
  </si>
  <si>
    <t>M04</t>
  </si>
  <si>
    <t>M05</t>
  </si>
  <si>
    <t>M06</t>
  </si>
  <si>
    <t>M07</t>
  </si>
  <si>
    <t>M08</t>
  </si>
  <si>
    <t>M09</t>
  </si>
  <si>
    <t>M10</t>
  </si>
  <si>
    <t>M11</t>
  </si>
  <si>
    <t>M12</t>
  </si>
  <si>
    <t>Base year</t>
  </si>
  <si>
    <t>Test Year</t>
  </si>
  <si>
    <t>Factor</t>
  </si>
  <si>
    <t>base price</t>
  </si>
  <si>
    <t>Equivalent cost</t>
  </si>
  <si>
    <t>State</t>
  </si>
  <si>
    <t>Average Salary</t>
  </si>
  <si>
    <t>Median Salary</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</si>
  <si>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</si>
  <si>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</si>
  <si>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</si>
  <si>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</si>
  <si>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</si>
  <si>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</si>
  <si>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</si>
  <si>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</si>
  <si>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</si>
  <si>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</si>
  <si>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</si>
  <si>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</si>
  <si>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</si>
  <si>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</si>
  <si>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</si>
  <si>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</si>
  <si>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</si>
  <si>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</si>
  <si>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</si>
  <si>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</si>
  <si>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</si>
  <si>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</si>
  <si>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</si>
  <si>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</si>
  <si>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</si>
  <si>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</si>
  <si>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</si>
  <si>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</si>
  <si>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</si>
  <si>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</si>
  <si>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</si>
  <si>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</si>
  <si>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</si>
  <si>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</si>
  <si>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</si>
  <si>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</si>
  <si>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</si>
  <si>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</si>
  <si>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</si>
  <si>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</si>
  <si>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</si>
  <si>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</si>
  <si>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</si>
  <si>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</si>
  <si>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</si>
  <si>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</si>
  <si>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</si>
  <si>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</si>
  <si>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</si>
  <si>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</si>
  <si>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Source: Bureau of Labor Statistics, “Occupational Employment and Wage Statistics,” May 2023.</t>
  </si>
  <si>
    <t>Column1</t>
  </si>
  <si>
    <t>Column2</t>
  </si>
  <si>
    <t>Return  in %</t>
  </si>
  <si>
    <t>62 total with Cola</t>
  </si>
  <si>
    <t>62 yearly benefit</t>
  </si>
  <si>
    <t>67 total with Cola</t>
  </si>
  <si>
    <t>67 yearly benefit w Cola</t>
  </si>
  <si>
    <t>70 total w cola</t>
  </si>
  <si>
    <t>70 yearly benefit w Cola</t>
  </si>
  <si>
    <t>Discount Rate</t>
  </si>
  <si>
    <t>62,cola, invest,total</t>
  </si>
  <si>
    <t>67, cola, invest total</t>
  </si>
  <si>
    <t>70, cola, invest total</t>
  </si>
  <si>
    <t>PV take at 62, No Cola</t>
  </si>
  <si>
    <t>PV take at 67, No Cola</t>
  </si>
  <si>
    <t>PV take at 70, no cola</t>
  </si>
  <si>
    <t>Years for PV, NPV</t>
  </si>
  <si>
    <t>NPV take at 62, with Cola</t>
  </si>
  <si>
    <t>Monthy Benefit taken at 62 (Cola)</t>
  </si>
  <si>
    <t>Monthly Benefit taken at 67 (cola)</t>
  </si>
  <si>
    <t>Total take at 62. No Cola</t>
  </si>
  <si>
    <t>Monthly Benefit taken at 70 (cola)</t>
  </si>
  <si>
    <t>%  change</t>
  </si>
  <si>
    <t>Social Security Cost-Of-Living Adjustments</t>
  </si>
  <si>
    <t>COLA</t>
  </si>
  <si>
    <r>
      <t>1999</t>
    </r>
    <r>
      <rPr>
        <vertAlign val="superscript"/>
        <sz val="7.5"/>
        <color theme="1"/>
        <rFont val="Aptos Narrow"/>
        <family val="2"/>
        <scheme val="minor"/>
      </rPr>
      <t> a</t>
    </r>
  </si>
  <si>
    <t>Average</t>
  </si>
  <si>
    <t xml:space="preserve">Cola </t>
  </si>
  <si>
    <t>NPV take at , 67 with Cola</t>
  </si>
  <si>
    <t>NPV take at 70, with Cola</t>
  </si>
  <si>
    <t>Take at 67, Loss of future gains/losses</t>
  </si>
  <si>
    <t>Take at 70, Loss of future gains/losses.</t>
  </si>
  <si>
    <t>How is this normalized to compare.</t>
  </si>
  <si>
    <t>PV of loss at 70</t>
  </si>
  <si>
    <t>PV of Loss at 67</t>
  </si>
  <si>
    <t>Full Retirment Age Benefit</t>
  </si>
  <si>
    <t>Life Expectancy</t>
  </si>
  <si>
    <t>Cola</t>
  </si>
  <si>
    <t>Average since 1975 =</t>
  </si>
  <si>
    <t>Table III</t>
  </si>
  <si>
    <t>(Uniform Lifetime)</t>
  </si>
  <si>
    <t>(For Use by:</t>
  </si>
  <si>
    <t>Unmarried Owners,</t>
  </si>
  <si>
    <t>Married Owners Whose Spouses Aren't More Than 10 Years Younger, and</t>
  </si>
  <si>
    <t>Married Owners Whose Spouses Aren't the Sole Beneficiaries of Their IRAs)</t>
  </si>
  <si>
    <t>Age</t>
  </si>
  <si>
    <t>Distribution Period</t>
  </si>
  <si>
    <t>120 and over</t>
  </si>
  <si>
    <t>Balance at 72</t>
  </si>
  <si>
    <t>RMD</t>
  </si>
  <si>
    <t>Cola Adjusted Initial RMD</t>
  </si>
  <si>
    <t>Balance/RMD  %</t>
  </si>
  <si>
    <t>color</t>
  </si>
  <si>
    <t>R</t>
  </si>
  <si>
    <t>B</t>
  </si>
  <si>
    <t>62, yearly benefit with cola</t>
  </si>
  <si>
    <t>Frank</t>
  </si>
  <si>
    <t>Montly benefit</t>
  </si>
  <si>
    <t>Yearly Benefit</t>
  </si>
  <si>
    <t>Saving</t>
  </si>
  <si>
    <t>Bill</t>
  </si>
  <si>
    <t>Spouse Montly benefit</t>
  </si>
  <si>
    <t>Spouse Yearly Benefit</t>
  </si>
  <si>
    <t>Spouse Full retirement Benefit</t>
  </si>
  <si>
    <t>Spouse Monthly Benefit</t>
  </si>
  <si>
    <t>Yearly expense</t>
  </si>
  <si>
    <t>Savings</t>
  </si>
  <si>
    <t xml:space="preserve">expense vs income </t>
  </si>
  <si>
    <t>Yearly Expenses</t>
  </si>
  <si>
    <t>Change to savings</t>
  </si>
  <si>
    <t>expenses vs invome</t>
  </si>
  <si>
    <t>Expenses vs Income</t>
  </si>
  <si>
    <t>average yearly inflation over 100yrs</t>
  </si>
  <si>
    <t>Table of Historical Inflation Rates in Percent</t>
  </si>
  <si>
    <t>(1914-2025)</t>
  </si>
  <si>
    <t>Jan</t>
  </si>
  <si>
    <t>Feb</t>
  </si>
  <si>
    <t>Mar</t>
  </si>
  <si>
    <t>Apr</t>
  </si>
  <si>
    <t>May</t>
  </si>
  <si>
    <t>Jun</t>
  </si>
  <si>
    <t>Jul</t>
  </si>
  <si>
    <t>Aug</t>
  </si>
  <si>
    <t>Sep</t>
  </si>
  <si>
    <t>Oct</t>
  </si>
  <si>
    <t>Nov</t>
  </si>
  <si>
    <t>Dec</t>
  </si>
  <si>
    <t>Ave</t>
  </si>
  <si>
    <t>– (*)</t>
  </si>
  <si>
    <t>Avail.</t>
  </si>
  <si>
    <t>Jan.</t>
  </si>
  <si>
    <t>AverageCPI since 1914</t>
  </si>
  <si>
    <t>Rate of Return</t>
  </si>
  <si>
    <t xml:space="preserve">Rate of Return </t>
  </si>
  <si>
    <t xml:space="preserve">Average Cola since 1975 </t>
  </si>
  <si>
    <t>Total take 62 compare to 70, cola, rate of return</t>
  </si>
  <si>
    <t>Money stays invested in an account invested at rate of return</t>
  </si>
  <si>
    <t>Starting retirement funds to draw from =</t>
  </si>
  <si>
    <t>Average Cola since 1975 =</t>
  </si>
  <si>
    <t>Average CPI since 1914</t>
  </si>
  <si>
    <t>Full Retirement Age Benefit</t>
  </si>
  <si>
    <t>Monthly benefit</t>
  </si>
  <si>
    <t>90% of Franks Yearly benefit</t>
  </si>
  <si>
    <t>Spouse</t>
  </si>
  <si>
    <t>expenses vs income</t>
  </si>
  <si>
    <t>90% of Bills Yearly Benefit</t>
  </si>
  <si>
    <t>todays $1000</t>
  </si>
  <si>
    <t>future amout</t>
  </si>
  <si>
    <t>years</t>
  </si>
  <si>
    <t>discount rate</t>
  </si>
  <si>
    <t>PV</t>
  </si>
  <si>
    <t>70 total in todays $'S</t>
  </si>
  <si>
    <t>Crossover Age</t>
  </si>
  <si>
    <t>67, cola, total</t>
  </si>
  <si>
    <t>62,  benefit-&gt;total</t>
  </si>
  <si>
    <t>Married Frank and Bill age of death</t>
  </si>
  <si>
    <t>Breakeven Age</t>
  </si>
  <si>
    <t xml:space="preserve">Breakeven Age </t>
  </si>
  <si>
    <t>Retirement Funds</t>
  </si>
  <si>
    <t>62 yearly todays $'s</t>
  </si>
  <si>
    <t>67 yearly in todays $</t>
  </si>
  <si>
    <t>70 yearly in todays $</t>
  </si>
  <si>
    <t>62 total in todays $</t>
  </si>
  <si>
    <t>67 total in todays $</t>
  </si>
  <si>
    <t>Desired Annual Spending</t>
  </si>
  <si>
    <t>Social Security at 62</t>
  </si>
  <si>
    <t>Portfolio withdrawal if claiming at 62</t>
  </si>
  <si>
    <t>Portfolio balance if claiming at 62</t>
  </si>
  <si>
    <t>Portfoilo withdrawal if claiming at 67</t>
  </si>
  <si>
    <t>Portfolio Balance if claiming at 67</t>
  </si>
  <si>
    <t>Social Security at 67</t>
  </si>
  <si>
    <t>Social Security at 70</t>
  </si>
  <si>
    <t>Portfolio withdrawal if claiing at 70</t>
  </si>
  <si>
    <t>Portfoilo balace if claiming at 70</t>
  </si>
  <si>
    <t>Combined liquid portfolio @62</t>
  </si>
  <si>
    <t>Rate of Return (from Main)</t>
  </si>
  <si>
    <t>Desired Annual spending based at 62</t>
  </si>
  <si>
    <t>Discount rate = 4 %</t>
  </si>
  <si>
    <t>Rate of return =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</si>
</sst>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quot;$&quot;#,##0.00"/>
    <numFmt numFmtId="165" formatCode="&quot;$&quot;#,##0.00;[Red]&quot;$&quot;#,##0.00"/>
  </numFmts>
  <fonts count="9">
    <font>
      <sz val="11"/>
      <color theme="1"/>
      <name val="Aptos Narrow"/>
      <family val="2"/>
      <scheme val="minor"/>
    </font>
    <font>
      <sz val="10"/>
      <color rgb="FF353535"/>
      <name val="Inherit"/>
    </font>
    <font>
      <b/>
      <sz val="10"/>
      <color rgb="FF353535"/>
      <name val="Inherit"/>
    </font>
    <font>
      <u/>
      <sz val="11"/>
      <color theme="10"/>
      <name val="Aptos Narrow"/>
      <family val="2"/>
      <scheme val="minor"/>
    </font>
    <font>
      <b/>
      <sz val="11"/>
      <color theme="1"/>
      <name val="Aptos Narrow"/>
      <family val="2"/>
      <scheme val="minor"/>
    </font>
    <font>
      <vertAlign val="superscript"/>
      <sz val="7.5"/>
      <color theme="1"/>
      <name val="Aptos Narrow"/>
      <family val="2"/>
      <scheme val="minor"/>
    </font>
    <font>
      <sz val="10"/>
      <color rgb="FF1B1B1B"/>
      <name val="Source Sans Pro"/>
      <family val="2"/>
    </font>
    <font>
      <b/>
      <sz val="10"/>
      <color rgb="FF1B1B1B"/>
      <name val="Source Sans Pro"/>
      <family val="2"/>
    </font>
    <font>
      <sz val="8"/>
      <name val="Aptos Narrow"/>
      <family val="2"/>
      <scheme val="minor"/>
    </font>
  </fonts>
  <fills count="6">
    <fill>
      <patternFill patternType="none"/>
    </fill>
    <fill>
      <patternFill patternType="gray125"/>
    </fill>
    <fill>
      <patternFill patternType="solid">
        <fgColor rgb="FFFFFFFF"/>
        <bgColor indexed="64"/>
      </patternFill>
    </fill>
    <fill>
      <patternFill patternType="solid">
        <fgColor rgb="FFF3F6F7"/>
        <bgColor indexed="64"/>
      </patternFill>
    </fill>
    <fill>
      <patternFill patternType="solid">
        <fgColor rgb="FF0070C0"/>
        <bgColor indexed="64"/>
      </patternFill>
    </fill>
    <fill>
      <patternFill patternType="solid">
        <fgColor rgb="FFFF0000"/>
        <bgColor indexed="64"/>
      </patternFill>
    </fill>
  </fills>
  <borders count="65">
    <border>
      <left/>
      <right/>
      <top/>
      <bottom/>
      <diagonal/>
    </border>
    <border>
      <left style="medium">
        <color rgb="FFCCDDEE"/>
      </left>
      <right/>
      <top style="medium">
        <color rgb="FFCCDDEE"/>
      </top>
      <bottom/>
      <diagonal/>
    </border>
    <border>
      <left/>
      <right style="medium">
        <color rgb="FFCCDDEE"/>
      </right>
      <top style="medium">
        <color rgb="FFCCDDEE"/>
      </top>
      <bottom/>
      <diagonal/>
    </border>
    <border>
      <left style="medium">
        <color rgb="FFCCDDEE"/>
      </left>
      <right/>
      <top/>
      <bottom/>
      <diagonal/>
    </border>
    <border>
      <left/>
      <right style="medium">
        <color rgb="FFCCDDEE"/>
      </right>
      <top/>
      <bottom/>
      <diagonal/>
    </border>
    <border>
      <left style="medium">
        <color rgb="FFCCDDEE"/>
      </left>
      <right/>
      <top/>
      <bottom style="medium">
        <color rgb="FFCCDDEE"/>
      </bottom>
      <diagonal/>
    </border>
    <border>
      <left/>
      <right style="medium">
        <color rgb="FFCCDDEE"/>
      </right>
      <top/>
      <bottom style="medium">
        <color rgb="FFCCDDEE"/>
      </bottom>
      <diagonal/>
    </border>
    <border>
      <left/>
      <right/>
      <top/>
      <bottom style="medium">
        <color rgb="FFCCDDEE"/>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top/>
      <bottom style="thin">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diagonal/>
    </border>
    <border>
      <left style="thin">
        <color indexed="64"/>
      </left>
      <right/>
      <top style="thin">
        <color indexed="64"/>
      </top>
      <bottom style="medium">
        <color indexed="64"/>
      </bottom>
      <diagonal/>
    </border>
    <border>
      <left style="thin">
        <color indexed="64"/>
      </left>
      <right/>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bottom style="medium">
        <color indexed="64"/>
      </bottom>
      <diagonal/>
    </border>
    <border>
      <left/>
      <right style="thin">
        <color indexed="64"/>
      </right>
      <top style="thin">
        <color indexed="64"/>
      </top>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s>
  <cellStyleXfs count="2">
    <xf numFmtId="0" fontId="0" fillId="0" borderId="0"/>
    <xf numFmtId="0" fontId="3" fillId="0" borderId="0" applyNumberFormat="0" applyFill="0" applyBorder="0" applyAlignment="0" applyProtection="0"/>
  </cellStyleXfs>
  <cellXfs count="198">
    <xf numFmtId="0" fontId="0" fillId="0" borderId="0" xfId="0"/>
    <xf numFmtId="10" fontId="0" fillId="0" borderId="0" xfId="0" applyNumberFormat="1"/>
    <xf numFmtId="8" fontId="0" fillId="0" borderId="0" xfId="0" applyNumberFormat="1"/>
    <xf numFmtId="9" fontId="0" fillId="0" borderId="0" xfId="0" applyNumberFormat="1"/>
    <xf numFmtId="6" fontId="0" fillId="0" borderId="0" xfId="0" applyNumberFormat="1"/>
    <xf numFmtId="14" fontId="0" fillId="0" borderId="0" xfId="0" applyNumberFormat="1"/>
    <xf numFmtId="0" fontId="2" fillId="2" borderId="0" xfId="0" applyFont="1" applyFill="1" applyAlignment="1">
      <alignment vertical="center" wrapText="1"/>
    </xf>
    <xf numFmtId="0" fontId="1" fillId="3" borderId="0" xfId="0" applyFont="1" applyFill="1" applyAlignment="1">
      <alignment vertical="center" wrapText="1"/>
    </xf>
    <xf numFmtId="6" fontId="1" fillId="3" borderId="0" xfId="0" applyNumberFormat="1" applyFont="1" applyFill="1" applyAlignment="1">
      <alignment vertical="center" wrapText="1"/>
    </xf>
    <xf numFmtId="0" fontId="1" fillId="2" borderId="0" xfId="0" applyFont="1" applyFill="1" applyAlignment="1">
      <alignment vertical="center" wrapText="1"/>
    </xf>
    <xf numFmtId="6" fontId="1" fillId="2" borderId="0" xfId="0" applyNumberFormat="1" applyFont="1" applyFill="1" applyAlignment="1">
      <alignment vertical="center" wrapText="1"/>
    </xf>
    <xf numFmtId="0" fontId="3" fillId="0" borderId="0" xfId="1" applyAlignment="1">
      <alignment vertical="center" wrapText="1"/>
    </xf>
    <xf numFmtId="2" fontId="0" fillId="0" borderId="0" xfId="0" applyNumberFormat="1"/>
    <xf numFmtId="1" fontId="0" fillId="0" borderId="0" xfId="0" applyNumberFormat="1"/>
    <xf numFmtId="0" fontId="4" fillId="0" borderId="0" xfId="0" applyFont="1"/>
    <xf numFmtId="0" fontId="4" fillId="0" borderId="1" xfId="0" applyFont="1" applyBorder="1" applyAlignment="1">
      <alignment horizontal="center" vertical="center" wrapText="1"/>
    </xf>
    <xf numFmtId="0" fontId="4" fillId="0" borderId="2" xfId="0" applyFont="1" applyBorder="1" applyAlignment="1">
      <alignment horizontal="right" vertical="center" wrapText="1"/>
    </xf>
    <xf numFmtId="0" fontId="0" fillId="0" borderId="3" xfId="0" applyBorder="1" applyAlignment="1">
      <alignment horizontal="left" vertical="center" wrapText="1"/>
    </xf>
    <xf numFmtId="0" fontId="0" fillId="0" borderId="4" xfId="0" applyBorder="1" applyAlignment="1">
      <alignment horizontal="right" vertical="center" wrapText="1"/>
    </xf>
    <xf numFmtId="0" fontId="0" fillId="0" borderId="5" xfId="0" applyBorder="1" applyAlignment="1">
      <alignment horizontal="left" vertical="center" wrapText="1"/>
    </xf>
    <xf numFmtId="0" fontId="0" fillId="0" borderId="6" xfId="0" applyBorder="1" applyAlignment="1">
      <alignment horizontal="right" vertical="center" wrapText="1"/>
    </xf>
    <xf numFmtId="0" fontId="4" fillId="0" borderId="0" xfId="0" applyFont="1" applyAlignment="1">
      <alignment wrapText="1"/>
    </xf>
    <xf numFmtId="8" fontId="4" fillId="0" borderId="0" xfId="0" applyNumberFormat="1" applyFont="1" applyAlignment="1">
      <alignment wrapText="1"/>
    </xf>
    <xf numFmtId="164" fontId="0" fillId="0" borderId="0" xfId="0" applyNumberFormat="1"/>
    <xf numFmtId="0" fontId="6" fillId="2" borderId="0" xfId="0" applyFont="1" applyFill="1" applyAlignment="1">
      <alignment horizontal="center" vertical="top" wrapText="1"/>
    </xf>
    <xf numFmtId="0" fontId="7" fillId="2" borderId="8" xfId="0" applyFont="1" applyFill="1" applyBorder="1" applyAlignment="1">
      <alignment horizontal="center" vertical="top" wrapText="1"/>
    </xf>
    <xf numFmtId="0" fontId="7" fillId="2" borderId="9" xfId="0" applyFont="1" applyFill="1" applyBorder="1" applyAlignment="1">
      <alignment horizontal="center" vertical="top" wrapText="1"/>
    </xf>
    <xf numFmtId="0" fontId="6" fillId="2" borderId="10" xfId="0" applyFont="1" applyFill="1" applyBorder="1" applyAlignment="1">
      <alignment horizontal="center" vertical="top" wrapText="1"/>
    </xf>
    <xf numFmtId="0" fontId="6" fillId="2" borderId="8" xfId="0" applyFont="1" applyFill="1" applyBorder="1" applyAlignment="1">
      <alignment horizontal="center" vertical="top" wrapText="1"/>
    </xf>
    <xf numFmtId="0" fontId="6" fillId="2" borderId="9" xfId="0" applyFont="1" applyFill="1" applyBorder="1" applyAlignment="1">
      <alignment horizontal="center" vertical="top" wrapText="1"/>
    </xf>
    <xf numFmtId="0" fontId="6" fillId="2" borderId="11" xfId="0" applyFont="1" applyFill="1" applyBorder="1" applyAlignment="1">
      <alignment horizontal="center" vertical="top" wrapText="1"/>
    </xf>
    <xf numFmtId="0" fontId="6" fillId="2" borderId="12" xfId="0" applyFont="1" applyFill="1" applyBorder="1" applyAlignment="1">
      <alignment horizontal="center" vertical="top" wrapText="1"/>
    </xf>
    <xf numFmtId="0" fontId="6" fillId="2" borderId="13" xfId="0" applyFont="1" applyFill="1" applyBorder="1" applyAlignment="1">
      <alignment horizontal="center" vertical="top" wrapText="1"/>
    </xf>
    <xf numFmtId="0" fontId="7" fillId="2" borderId="15" xfId="0" applyFont="1" applyFill="1" applyBorder="1" applyAlignment="1">
      <alignment horizontal="center" vertical="top" wrapText="1"/>
    </xf>
    <xf numFmtId="0" fontId="6" fillId="2" borderId="14" xfId="0" applyFont="1" applyFill="1" applyBorder="1" applyAlignment="1">
      <alignment horizontal="center" vertical="top" wrapText="1"/>
    </xf>
    <xf numFmtId="0" fontId="6" fillId="2" borderId="15" xfId="0" applyFont="1" applyFill="1" applyBorder="1" applyAlignment="1">
      <alignment horizontal="center" vertical="top" wrapText="1"/>
    </xf>
    <xf numFmtId="164" fontId="0" fillId="0" borderId="16" xfId="0" applyNumberFormat="1" applyBorder="1"/>
    <xf numFmtId="0" fontId="0" fillId="0" borderId="16" xfId="0" applyBorder="1"/>
    <xf numFmtId="10" fontId="0" fillId="0" borderId="16" xfId="0" applyNumberFormat="1" applyBorder="1"/>
    <xf numFmtId="0" fontId="0" fillId="0" borderId="17" xfId="0" applyBorder="1"/>
    <xf numFmtId="10" fontId="0" fillId="0" borderId="18" xfId="0" applyNumberFormat="1" applyBorder="1"/>
    <xf numFmtId="0" fontId="0" fillId="0" borderId="19" xfId="0" applyBorder="1"/>
    <xf numFmtId="0" fontId="0" fillId="0" borderId="20" xfId="0" applyBorder="1"/>
    <xf numFmtId="0" fontId="0" fillId="0" borderId="21" xfId="0" applyBorder="1"/>
    <xf numFmtId="10" fontId="0" fillId="0" borderId="22" xfId="0" applyNumberFormat="1" applyBorder="1"/>
    <xf numFmtId="164" fontId="0" fillId="0" borderId="23" xfId="0" applyNumberFormat="1" applyBorder="1"/>
    <xf numFmtId="0" fontId="0" fillId="0" borderId="23" xfId="0" applyBorder="1"/>
    <xf numFmtId="10" fontId="0" fillId="0" borderId="23" xfId="0" applyNumberFormat="1" applyBorder="1"/>
    <xf numFmtId="0" fontId="7" fillId="2" borderId="24" xfId="0" applyFont="1" applyFill="1" applyBorder="1" applyAlignment="1">
      <alignment horizontal="center" vertical="top" wrapText="1"/>
    </xf>
    <xf numFmtId="0" fontId="0" fillId="0" borderId="25" xfId="0" applyBorder="1"/>
    <xf numFmtId="0" fontId="4" fillId="0" borderId="25" xfId="0" applyFont="1" applyBorder="1" applyAlignment="1">
      <alignment horizontal="center" vertical="top" wrapText="1"/>
    </xf>
    <xf numFmtId="0" fontId="4" fillId="0" borderId="25" xfId="0" applyFont="1" applyBorder="1" applyAlignment="1">
      <alignment wrapText="1"/>
    </xf>
    <xf numFmtId="0" fontId="4" fillId="0" borderId="26" xfId="0" applyFont="1" applyBorder="1" applyAlignment="1">
      <alignment horizontal="center" vertical="top" wrapText="1"/>
    </xf>
    <xf numFmtId="0" fontId="4" fillId="0" borderId="17" xfId="0" applyFont="1" applyBorder="1"/>
    <xf numFmtId="0" fontId="4" fillId="0" borderId="19" xfId="0" applyFont="1" applyBorder="1"/>
    <xf numFmtId="0" fontId="4" fillId="0" borderId="21" xfId="0" applyFont="1" applyBorder="1"/>
    <xf numFmtId="8" fontId="0" fillId="0" borderId="16" xfId="0" applyNumberFormat="1" applyBorder="1"/>
    <xf numFmtId="9" fontId="0" fillId="0" borderId="16" xfId="0" applyNumberFormat="1" applyBorder="1"/>
    <xf numFmtId="10" fontId="0" fillId="0" borderId="20" xfId="0" applyNumberFormat="1" applyBorder="1"/>
    <xf numFmtId="8" fontId="0" fillId="0" borderId="28" xfId="0" applyNumberFormat="1" applyBorder="1"/>
    <xf numFmtId="9" fontId="0" fillId="0" borderId="28" xfId="0" applyNumberFormat="1" applyBorder="1"/>
    <xf numFmtId="0" fontId="0" fillId="0" borderId="29" xfId="0" applyBorder="1"/>
    <xf numFmtId="8" fontId="0" fillId="0" borderId="23" xfId="0" applyNumberFormat="1" applyBorder="1"/>
    <xf numFmtId="9" fontId="0" fillId="0" borderId="23" xfId="0" applyNumberFormat="1" applyBorder="1"/>
    <xf numFmtId="0" fontId="0" fillId="0" borderId="30" xfId="0" applyBorder="1"/>
    <xf numFmtId="0" fontId="4" fillId="0" borderId="24" xfId="0" applyFont="1" applyBorder="1"/>
    <xf numFmtId="0" fontId="4" fillId="0" borderId="25" xfId="0" applyFont="1" applyBorder="1"/>
    <xf numFmtId="0" fontId="4" fillId="0" borderId="26" xfId="0" applyFont="1" applyBorder="1" applyAlignment="1">
      <alignment wrapText="1"/>
    </xf>
    <xf numFmtId="8" fontId="0" fillId="0" borderId="27" xfId="0" applyNumberFormat="1" applyBorder="1"/>
    <xf numFmtId="0" fontId="0" fillId="0" borderId="18" xfId="0" applyBorder="1"/>
    <xf numFmtId="8" fontId="0" fillId="0" borderId="20" xfId="0" applyNumberFormat="1" applyBorder="1"/>
    <xf numFmtId="8" fontId="0" fillId="0" borderId="22" xfId="0" applyNumberFormat="1" applyBorder="1"/>
    <xf numFmtId="0" fontId="4" fillId="0" borderId="27" xfId="0" applyFont="1" applyBorder="1" applyAlignment="1">
      <alignment horizontal="center" vertical="top" wrapText="1"/>
    </xf>
    <xf numFmtId="0" fontId="0" fillId="0" borderId="24" xfId="0" applyBorder="1"/>
    <xf numFmtId="0" fontId="4" fillId="0" borderId="25" xfId="0" applyFont="1" applyBorder="1" applyAlignment="1">
      <alignment horizontal="center" vertical="center" wrapText="1"/>
    </xf>
    <xf numFmtId="0" fontId="0" fillId="5" borderId="0" xfId="0" applyFill="1" applyAlignment="1">
      <alignment horizontal="center" vertical="center" wrapText="1"/>
    </xf>
    <xf numFmtId="0" fontId="0" fillId="5" borderId="0" xfId="0" applyFill="1" applyAlignment="1">
      <alignment horizontal="center"/>
    </xf>
    <xf numFmtId="0" fontId="0" fillId="4" borderId="0" xfId="0" applyFill="1" applyAlignment="1">
      <alignment horizontal="center"/>
    </xf>
    <xf numFmtId="0" fontId="4" fillId="0" borderId="24" xfId="0" applyFont="1" applyBorder="1" applyAlignment="1">
      <alignment horizontal="center" vertical="top" wrapText="1"/>
    </xf>
    <xf numFmtId="0" fontId="4" fillId="0" borderId="0" xfId="0" applyFont="1" applyAlignment="1">
      <alignment horizontal="center" vertical="top" wrapText="1"/>
    </xf>
    <xf numFmtId="164" fontId="0" fillId="0" borderId="20" xfId="0" applyNumberFormat="1" applyBorder="1"/>
    <xf numFmtId="0" fontId="0" fillId="0" borderId="33" xfId="0" applyBorder="1"/>
    <xf numFmtId="0" fontId="4" fillId="0" borderId="34" xfId="0" applyFont="1" applyBorder="1" applyAlignment="1">
      <alignment vertical="top" wrapText="1"/>
    </xf>
    <xf numFmtId="8" fontId="0" fillId="0" borderId="35" xfId="0" applyNumberFormat="1" applyBorder="1"/>
    <xf numFmtId="0" fontId="4" fillId="0" borderId="36" xfId="0" applyFont="1" applyBorder="1" applyAlignment="1">
      <alignment vertical="top" wrapText="1"/>
    </xf>
    <xf numFmtId="0" fontId="4" fillId="0" borderId="37" xfId="0" applyFont="1" applyBorder="1" applyAlignment="1">
      <alignment horizontal="center" vertical="top" wrapText="1"/>
    </xf>
    <xf numFmtId="0" fontId="4" fillId="0" borderId="38" xfId="0" applyFont="1" applyBorder="1" applyAlignment="1">
      <alignment horizontal="center" vertical="top" wrapText="1"/>
    </xf>
    <xf numFmtId="8" fontId="0" fillId="0" borderId="39" xfId="0" applyNumberFormat="1" applyBorder="1"/>
    <xf numFmtId="164" fontId="0" fillId="0" borderId="30" xfId="0" applyNumberFormat="1" applyBorder="1"/>
    <xf numFmtId="0" fontId="4" fillId="0" borderId="25" xfId="0" applyFont="1" applyBorder="1" applyAlignment="1">
      <alignment vertical="top" wrapText="1"/>
    </xf>
    <xf numFmtId="0" fontId="4" fillId="0" borderId="25" xfId="0" applyFont="1" applyBorder="1" applyAlignment="1">
      <alignment horizontal="center" wrapText="1"/>
    </xf>
    <xf numFmtId="0" fontId="4" fillId="0" borderId="40" xfId="0" applyFont="1" applyBorder="1" applyAlignment="1">
      <alignment vertical="top" wrapText="1"/>
    </xf>
    <xf numFmtId="0" fontId="0" fillId="0" borderId="26" xfId="0" applyBorder="1"/>
    <xf numFmtId="0" fontId="4" fillId="0" borderId="0" xfId="0" applyFont="1" applyAlignment="1">
      <alignment horizontal="center" vertical="top"/>
    </xf>
    <xf numFmtId="0" fontId="0" fillId="0" borderId="41" xfId="0" applyBorder="1"/>
    <xf numFmtId="0" fontId="4" fillId="0" borderId="40" xfId="0" applyFont="1" applyBorder="1" applyAlignment="1">
      <alignment horizontal="center" wrapText="1"/>
    </xf>
    <xf numFmtId="44" fontId="0" fillId="0" borderId="0" xfId="0" applyNumberFormat="1"/>
    <xf numFmtId="8" fontId="0" fillId="0" borderId="30" xfId="0" applyNumberFormat="1" applyBorder="1"/>
    <xf numFmtId="0" fontId="4" fillId="0" borderId="0" xfId="0" applyFont="1" applyAlignment="1">
      <alignment vertical="top" wrapText="1"/>
    </xf>
    <xf numFmtId="0" fontId="4" fillId="0" borderId="17" xfId="0" applyFont="1" applyBorder="1" applyAlignment="1">
      <alignment horizontal="center" vertical="top" wrapText="1"/>
    </xf>
    <xf numFmtId="0" fontId="4" fillId="0" borderId="42" xfId="0" applyFont="1" applyBorder="1" applyAlignment="1">
      <alignment horizontal="center" vertical="top" wrapText="1"/>
    </xf>
    <xf numFmtId="0" fontId="4" fillId="0" borderId="43" xfId="0" applyFont="1" applyBorder="1" applyAlignment="1">
      <alignment horizontal="center" vertical="top" wrapText="1"/>
    </xf>
    <xf numFmtId="0" fontId="4" fillId="0" borderId="43" xfId="0" applyFont="1" applyBorder="1" applyAlignment="1">
      <alignment horizontal="center" vertical="center"/>
    </xf>
    <xf numFmtId="0" fontId="4" fillId="0" borderId="43" xfId="0" applyFont="1" applyBorder="1" applyAlignment="1">
      <alignment horizontal="center" vertical="top"/>
    </xf>
    <xf numFmtId="0" fontId="4" fillId="0" borderId="44" xfId="0" applyFont="1" applyBorder="1" applyAlignment="1">
      <alignment horizontal="center" vertical="top" wrapText="1"/>
    </xf>
    <xf numFmtId="164" fontId="0" fillId="0" borderId="42" xfId="0" applyNumberFormat="1" applyBorder="1"/>
    <xf numFmtId="0" fontId="0" fillId="0" borderId="43" xfId="0" applyBorder="1"/>
    <xf numFmtId="10" fontId="0" fillId="0" borderId="43" xfId="0" applyNumberFormat="1" applyBorder="1"/>
    <xf numFmtId="44" fontId="0" fillId="0" borderId="43" xfId="0" applyNumberFormat="1" applyBorder="1"/>
    <xf numFmtId="8" fontId="0" fillId="0" borderId="44" xfId="0" applyNumberFormat="1" applyBorder="1"/>
    <xf numFmtId="0" fontId="4" fillId="0" borderId="24" xfId="0" applyFont="1" applyBorder="1" applyAlignment="1">
      <alignment horizontal="center" wrapText="1"/>
    </xf>
    <xf numFmtId="0" fontId="4" fillId="0" borderId="31" xfId="0" applyFont="1" applyBorder="1" applyAlignment="1">
      <alignment horizontal="center" wrapText="1"/>
    </xf>
    <xf numFmtId="2" fontId="0" fillId="0" borderId="32" xfId="0" applyNumberFormat="1" applyBorder="1"/>
    <xf numFmtId="0" fontId="4" fillId="0" borderId="17" xfId="0" applyFont="1" applyBorder="1" applyAlignment="1">
      <alignment wrapText="1"/>
    </xf>
    <xf numFmtId="164" fontId="0" fillId="0" borderId="18" xfId="0" applyNumberFormat="1" applyBorder="1"/>
    <xf numFmtId="2" fontId="0" fillId="0" borderId="18" xfId="0" applyNumberFormat="1" applyBorder="1"/>
    <xf numFmtId="0" fontId="4" fillId="0" borderId="21" xfId="0" applyFont="1" applyBorder="1" applyAlignment="1">
      <alignment horizontal="center" vertical="top" wrapText="1"/>
    </xf>
    <xf numFmtId="10" fontId="0" fillId="0" borderId="26" xfId="0" applyNumberFormat="1" applyBorder="1"/>
    <xf numFmtId="0" fontId="0" fillId="0" borderId="40" xfId="0" applyBorder="1"/>
    <xf numFmtId="0" fontId="4" fillId="0" borderId="17" xfId="0" applyFont="1" applyBorder="1" applyAlignment="1">
      <alignment horizontal="center" vertical="top"/>
    </xf>
    <xf numFmtId="0" fontId="4" fillId="0" borderId="27" xfId="0" applyFont="1" applyBorder="1" applyAlignment="1">
      <alignment horizontal="center" vertical="center"/>
    </xf>
    <xf numFmtId="0" fontId="4" fillId="0" borderId="18" xfId="0" applyFont="1" applyBorder="1" applyAlignment="1">
      <alignment horizontal="center" vertical="center"/>
    </xf>
    <xf numFmtId="0" fontId="4" fillId="0" borderId="45" xfId="0" applyFont="1" applyBorder="1" applyAlignment="1">
      <alignment horizontal="center" vertical="top" wrapText="1"/>
    </xf>
    <xf numFmtId="7" fontId="0" fillId="0" borderId="16" xfId="0" applyNumberFormat="1" applyBorder="1"/>
    <xf numFmtId="6" fontId="0" fillId="0" borderId="32" xfId="0" applyNumberFormat="1" applyBorder="1"/>
    <xf numFmtId="0" fontId="4" fillId="0" borderId="26" xfId="0" applyFont="1" applyBorder="1" applyAlignment="1">
      <alignment horizontal="center" vertical="center"/>
    </xf>
    <xf numFmtId="0" fontId="6" fillId="2" borderId="16" xfId="0" applyFont="1" applyFill="1" applyBorder="1" applyAlignment="1">
      <alignment horizontal="center" vertical="top" wrapText="1"/>
    </xf>
    <xf numFmtId="0" fontId="0" fillId="0" borderId="0" xfId="0" applyAlignment="1">
      <alignment horizontal="center" wrapText="1"/>
    </xf>
    <xf numFmtId="0" fontId="4" fillId="0" borderId="40" xfId="0" applyFont="1" applyBorder="1" applyAlignment="1">
      <alignment horizontal="center" vertical="top" wrapText="1"/>
    </xf>
    <xf numFmtId="0" fontId="0" fillId="0" borderId="39" xfId="0" applyBorder="1"/>
    <xf numFmtId="0" fontId="0" fillId="0" borderId="35" xfId="0" applyBorder="1"/>
    <xf numFmtId="8" fontId="0" fillId="0" borderId="46" xfId="0" applyNumberFormat="1" applyBorder="1"/>
    <xf numFmtId="0" fontId="4" fillId="0" borderId="16" xfId="0" applyFont="1" applyBorder="1" applyAlignment="1">
      <alignment horizontal="center" vertical="top" wrapText="1"/>
    </xf>
    <xf numFmtId="165" fontId="0" fillId="0" borderId="16" xfId="0" applyNumberFormat="1" applyBorder="1"/>
    <xf numFmtId="0" fontId="4" fillId="0" borderId="47" xfId="0" applyFont="1" applyBorder="1" applyAlignment="1">
      <alignment horizontal="center" vertical="top" wrapText="1"/>
    </xf>
    <xf numFmtId="0" fontId="4" fillId="0" borderId="48" xfId="0" applyFont="1" applyBorder="1"/>
    <xf numFmtId="0" fontId="4" fillId="0" borderId="33" xfId="0" applyFont="1" applyBorder="1" applyAlignment="1">
      <alignment wrapText="1"/>
    </xf>
    <xf numFmtId="0" fontId="4" fillId="0" borderId="41" xfId="0" applyFont="1" applyBorder="1"/>
    <xf numFmtId="0" fontId="4" fillId="0" borderId="49" xfId="0" applyFont="1" applyBorder="1"/>
    <xf numFmtId="0" fontId="4" fillId="0" borderId="50" xfId="0" applyFont="1" applyBorder="1"/>
    <xf numFmtId="164" fontId="0" fillId="0" borderId="48" xfId="0" applyNumberFormat="1" applyBorder="1"/>
    <xf numFmtId="0" fontId="4" fillId="0" borderId="35" xfId="0" applyFont="1" applyBorder="1" applyAlignment="1">
      <alignment wrapText="1"/>
    </xf>
    <xf numFmtId="0" fontId="4" fillId="0" borderId="51" xfId="0" applyFont="1" applyBorder="1" applyAlignment="1">
      <alignment wrapText="1"/>
    </xf>
    <xf numFmtId="0" fontId="4" fillId="0" borderId="50" xfId="0" applyFont="1" applyBorder="1" applyAlignment="1">
      <alignment wrapText="1"/>
    </xf>
    <xf numFmtId="0" fontId="7" fillId="2" borderId="15" xfId="0" applyFont="1" applyFill="1" applyBorder="1" applyAlignment="1">
      <alignment horizontal="left" vertical="top" wrapText="1"/>
    </xf>
    <xf numFmtId="0" fontId="7" fillId="2" borderId="8" xfId="0" applyFont="1" applyFill="1" applyBorder="1" applyAlignment="1">
      <alignment horizontal="left" vertical="top" wrapText="1"/>
    </xf>
    <xf numFmtId="0" fontId="7" fillId="2" borderId="9" xfId="0" applyFont="1" applyFill="1" applyBorder="1" applyAlignment="1">
      <alignment horizontal="left" vertical="top" wrapText="1"/>
    </xf>
    <xf numFmtId="0" fontId="7" fillId="2" borderId="14" xfId="0" applyFont="1" applyFill="1" applyBorder="1" applyAlignment="1">
      <alignment horizontal="center" vertical="top" wrapText="1"/>
    </xf>
    <xf numFmtId="0" fontId="7" fillId="2" borderId="0" xfId="0" applyFont="1" applyFill="1" applyAlignment="1">
      <alignment horizontal="center" vertical="top" wrapText="1"/>
    </xf>
    <xf numFmtId="0" fontId="7" fillId="2" borderId="10" xfId="0" applyFont="1" applyFill="1" applyBorder="1" applyAlignment="1">
      <alignment horizontal="center" vertical="top" wrapText="1"/>
    </xf>
    <xf numFmtId="0" fontId="7" fillId="2" borderId="14" xfId="0" applyFont="1" applyFill="1" applyBorder="1" applyAlignment="1">
      <alignment horizontal="left" vertical="top" wrapText="1"/>
    </xf>
    <xf numFmtId="0" fontId="7" fillId="2" borderId="0" xfId="0" applyFont="1" applyFill="1" applyAlignment="1">
      <alignment horizontal="left" vertical="top" wrapText="1"/>
    </xf>
    <xf numFmtId="0" fontId="7" fillId="2" borderId="10" xfId="0" applyFont="1" applyFill="1" applyBorder="1" applyAlignment="1">
      <alignment horizontal="left" vertical="top" wrapText="1"/>
    </xf>
    <xf numFmtId="0" fontId="7" fillId="2" borderId="14" xfId="0" applyFont="1" applyFill="1" applyBorder="1" applyAlignment="1">
      <alignment horizontal="left" vertical="center" wrapText="1"/>
    </xf>
    <xf numFmtId="0" fontId="7" fillId="2" borderId="0" xfId="0" applyFont="1" applyFill="1" applyAlignment="1">
      <alignment horizontal="left" vertical="center" wrapText="1"/>
    </xf>
    <xf numFmtId="0" fontId="7" fillId="2" borderId="10" xfId="0" applyFont="1" applyFill="1" applyBorder="1" applyAlignment="1">
      <alignment horizontal="left" vertical="center" wrapText="1"/>
    </xf>
    <xf numFmtId="0" fontId="4" fillId="0" borderId="7" xfId="0" applyFont="1" applyBorder="1" applyAlignment="1">
      <alignment horizontal="center" vertical="center"/>
    </xf>
    <xf numFmtId="0" fontId="0" fillId="0" borderId="7" xfId="0" applyBorder="1"/>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164" fontId="4" fillId="0" borderId="16" xfId="0" applyNumberFormat="1" applyFont="1" applyBorder="1"/>
    <xf numFmtId="10" fontId="4" fillId="0" borderId="16" xfId="0" applyNumberFormat="1" applyFont="1" applyBorder="1"/>
    <xf numFmtId="44" fontId="0" fillId="0" borderId="16" xfId="0" applyNumberFormat="1" applyBorder="1"/>
    <xf numFmtId="43" fontId="0" fillId="0" borderId="16" xfId="0" applyNumberFormat="1" applyBorder="1"/>
    <xf numFmtId="6" fontId="0" fillId="0" borderId="16" xfId="0" applyNumberFormat="1" applyBorder="1"/>
    <xf numFmtId="44" fontId="0" fillId="0" borderId="23" xfId="0" applyNumberFormat="1" applyBorder="1"/>
    <xf numFmtId="43" fontId="0" fillId="0" borderId="23" xfId="0" applyNumberFormat="1" applyBorder="1"/>
    <xf numFmtId="6" fontId="0" fillId="0" borderId="23" xfId="0" applyNumberFormat="1" applyBorder="1"/>
    <xf numFmtId="0" fontId="4" fillId="0" borderId="52" xfId="0" applyFont="1" applyBorder="1"/>
    <xf numFmtId="0" fontId="4" fillId="0" borderId="53" xfId="0" applyFont="1" applyBorder="1"/>
    <xf numFmtId="0" fontId="4" fillId="0" borderId="53" xfId="0" applyFont="1" applyBorder="1" applyAlignment="1">
      <alignment vertical="top" wrapText="1"/>
    </xf>
    <xf numFmtId="0" fontId="4" fillId="0" borderId="53" xfId="0" applyFont="1" applyBorder="1" applyAlignment="1">
      <alignment wrapText="1"/>
    </xf>
    <xf numFmtId="0" fontId="4" fillId="0" borderId="54" xfId="0" applyFont="1" applyBorder="1" applyAlignment="1">
      <alignment wrapText="1"/>
    </xf>
    <xf numFmtId="0" fontId="0" fillId="0" borderId="55" xfId="0" applyBorder="1"/>
    <xf numFmtId="44" fontId="0" fillId="0" borderId="55" xfId="0" applyNumberFormat="1" applyBorder="1"/>
    <xf numFmtId="8" fontId="0" fillId="0" borderId="55" xfId="0" applyNumberFormat="1" applyBorder="1"/>
    <xf numFmtId="43" fontId="0" fillId="0" borderId="55" xfId="0" applyNumberFormat="1" applyBorder="1"/>
    <xf numFmtId="164" fontId="0" fillId="0" borderId="55" xfId="0" applyNumberFormat="1" applyBorder="1"/>
    <xf numFmtId="0" fontId="0" fillId="0" borderId="56" xfId="0" applyBorder="1"/>
    <xf numFmtId="0" fontId="0" fillId="0" borderId="57" xfId="0" applyBorder="1"/>
    <xf numFmtId="0" fontId="0" fillId="0" borderId="58" xfId="0" applyBorder="1"/>
    <xf numFmtId="0" fontId="0" fillId="0" borderId="34" xfId="0" applyBorder="1"/>
    <xf numFmtId="0" fontId="4" fillId="0" borderId="59" xfId="0" applyFont="1" applyBorder="1" applyAlignment="1">
      <alignment horizontal="center" vertical="top"/>
    </xf>
    <xf numFmtId="0" fontId="4" fillId="0" borderId="59" xfId="0" applyFont="1" applyBorder="1" applyAlignment="1">
      <alignment wrapText="1"/>
    </xf>
    <xf numFmtId="0" fontId="0" fillId="0" borderId="60" xfId="0" applyBorder="1"/>
    <xf numFmtId="8" fontId="0" fillId="0" borderId="51" xfId="0" applyNumberFormat="1" applyBorder="1"/>
    <xf numFmtId="0" fontId="4" fillId="0" borderId="61" xfId="0" applyFont="1" applyBorder="1" applyAlignment="1">
      <alignment horizontal="center" vertical="center"/>
    </xf>
    <xf numFmtId="0" fontId="4" fillId="0" borderId="62" xfId="0" applyFont="1" applyBorder="1"/>
    <xf numFmtId="0" fontId="4" fillId="0" borderId="57" xfId="0" applyFont="1" applyBorder="1"/>
    <xf numFmtId="0" fontId="4" fillId="0" borderId="58" xfId="0" applyFont="1" applyBorder="1"/>
    <xf numFmtId="0" fontId="4" fillId="0" borderId="35" xfId="0" applyFont="1" applyBorder="1" applyAlignment="1">
      <alignment horizontal="center" vertical="top" wrapText="1"/>
    </xf>
    <xf numFmtId="165" fontId="0" fillId="0" borderId="35" xfId="0" applyNumberFormat="1" applyBorder="1"/>
    <xf numFmtId="0" fontId="0" fillId="0" borderId="62" xfId="0" applyBorder="1"/>
    <xf numFmtId="0" fontId="4" fillId="0" borderId="63" xfId="0" applyFont="1" applyBorder="1" applyAlignment="1">
      <alignment horizontal="center" vertical="top"/>
    </xf>
    <xf numFmtId="0" fontId="4" fillId="0" borderId="53" xfId="0" applyFont="1" applyBorder="1" applyAlignment="1">
      <alignment horizontal="center" vertical="top" wrapText="1"/>
    </xf>
    <xf numFmtId="0" fontId="4" fillId="0" borderId="64" xfId="0" applyFont="1" applyBorder="1" applyAlignment="1">
      <alignment horizontal="center" vertical="top" wrapText="1"/>
    </xf>
  </cellXfs>
  <cellStyles count="2">
    <cellStyle name="Hyperlink" xfId="1" builtinId="8"/>
    <cellStyle name="Normal" xfId="0" builtinId="0"/>
  </cellStyles>
  <dxfs count="61">
    <dxf>
      <font>
        <b/>
        <i val="0"/>
        <strike val="0"/>
        <condense val="0"/>
        <extend val="0"/>
        <outline val="0"/>
        <shadow val="0"/>
        <u val="none"/>
        <vertAlign val="baseline"/>
        <sz val="11"/>
        <color theme="1"/>
        <name val="Aptos Narrow"/>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numFmt numFmtId="12" formatCode="&quot;$&quot;#,##0.00_);[Red]\(&quot;$&quot;#,##0.00\)"/>
      <border diagonalUp="0" diagonalDown="0">
        <left style="thin">
          <color indexed="64"/>
        </left>
        <right/>
        <top style="thin">
          <color indexed="64"/>
        </top>
        <bottom style="thin">
          <color indexed="64"/>
        </bottom>
        <vertical/>
        <horizontal/>
      </border>
    </dxf>
    <dxf>
      <numFmt numFmtId="12" formatCode="&quot;$&quot;#,##0.00_);[Red]\(&quot;$&quot;#,##0.00\)"/>
      <border diagonalUp="0" diagonalDown="0">
        <left style="thin">
          <color indexed="64"/>
        </left>
        <right style="thin">
          <color indexed="64"/>
        </right>
        <top/>
        <bottom style="thin">
          <color indexed="64"/>
        </bottom>
        <vertical/>
        <horizontal/>
      </border>
    </dxf>
    <dxf>
      <numFmt numFmtId="12" formatCode="&quot;$&quot;#,##0.00_);[Red]\(&quot;$&quot;#,##0.00\)"/>
      <border diagonalUp="0" diagonalDown="0">
        <left style="thin">
          <color indexed="64"/>
        </left>
        <right style="thin">
          <color indexed="64"/>
        </right>
        <top style="thin">
          <color indexed="64"/>
        </top>
        <bottom style="thin">
          <color indexed="64"/>
        </bottom>
        <vertical/>
        <horizontal/>
      </border>
    </dxf>
    <dxf>
      <numFmt numFmtId="12" formatCode="&quot;$&quot;#,##0.00_);[Red]\(&quot;$&quot;#,##0.0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bottom style="medium">
          <color indexed="64"/>
        </bottom>
      </border>
    </dxf>
    <dxf>
      <border outline="0">
        <left style="medium">
          <color indexed="64"/>
        </left>
        <right style="thin">
          <color indexed="64"/>
        </right>
        <top style="medium">
          <color indexed="64"/>
        </top>
      </border>
    </dxf>
    <dxf>
      <font>
        <b/>
        <i val="0"/>
        <strike val="0"/>
        <condense val="0"/>
        <extend val="0"/>
        <outline val="0"/>
        <shadow val="0"/>
        <u val="none"/>
        <vertAlign val="baseline"/>
        <sz val="11"/>
        <color theme="1"/>
        <name val="Aptos Narrow"/>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numFmt numFmtId="12" formatCode="&quot;$&quot;#,##0.00_);[Red]\(&quot;$&quot;#,##0.00\)"/>
      <border diagonalUp="0" diagonalDown="0">
        <left style="thin">
          <color indexed="64"/>
        </left>
        <right/>
        <top style="thin">
          <color indexed="64"/>
        </top>
        <bottom style="thin">
          <color indexed="64"/>
        </bottom>
        <vertical/>
        <horizontal/>
      </border>
    </dxf>
    <dxf>
      <numFmt numFmtId="12" formatCode="&quot;$&quot;#,##0.00_);[Red]\(&quot;$&quot;#,##0.00\)"/>
      <border diagonalUp="0" diagonalDown="0">
        <left style="thin">
          <color indexed="64"/>
        </left>
        <right style="thin">
          <color indexed="64"/>
        </right>
        <top/>
        <bottom style="thin">
          <color indexed="64"/>
        </bottom>
        <vertical/>
        <horizontal/>
      </border>
    </dxf>
    <dxf>
      <numFmt numFmtId="12" formatCode="&quot;$&quot;#,##0.00_);[Red]\(&quot;$&quot;#,##0.00\)"/>
      <border diagonalUp="0" diagonalDown="0">
        <left style="thin">
          <color indexed="64"/>
        </left>
        <right style="thin">
          <color indexed="64"/>
        </right>
        <top style="thin">
          <color indexed="64"/>
        </top>
        <bottom style="thin">
          <color indexed="64"/>
        </bottom>
        <vertical/>
        <horizontal/>
      </border>
    </dxf>
    <dxf>
      <numFmt numFmtId="12" formatCode="&quot;$&quot;#,##0.00_);[Red]\(&quot;$&quot;#,##0.0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bottom style="medium">
          <color indexed="64"/>
        </bottom>
      </border>
    </dxf>
    <dxf>
      <border outline="0">
        <left style="medium">
          <color indexed="64"/>
        </left>
        <right style="thin">
          <color indexed="64"/>
        </right>
        <top style="medium">
          <color indexed="64"/>
        </top>
      </border>
    </dxf>
    <dxf>
      <font>
        <b/>
        <i val="0"/>
        <strike val="0"/>
        <condense val="0"/>
        <extend val="0"/>
        <outline val="0"/>
        <shadow val="0"/>
        <u val="none"/>
        <vertAlign val="baseline"/>
        <sz val="11"/>
        <color theme="1"/>
        <name val="Aptos Narrow"/>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numFmt numFmtId="165" formatCode="&quot;$&quot;#,##0.00;[Red]&quot;$&quot;#,##0.00"/>
      <border diagonalUp="0" diagonalDown="0">
        <left style="thin">
          <color indexed="64"/>
        </left>
        <right/>
        <top style="thin">
          <color indexed="64"/>
        </top>
        <bottom style="thin">
          <color indexed="64"/>
        </bottom>
        <vertical/>
        <horizontal/>
      </border>
    </dxf>
    <dxf>
      <numFmt numFmtId="165" formatCode="&quot;$&quot;#,##0.00;[Red]&quot;$&quot;#,##0.00"/>
      <border diagonalUp="0" diagonalDown="0">
        <left style="thin">
          <color indexed="64"/>
        </left>
        <right style="thin">
          <color indexed="64"/>
        </right>
        <top style="thin">
          <color indexed="64"/>
        </top>
        <bottom style="thin">
          <color indexed="64"/>
        </bottom>
        <vertical/>
        <horizontal/>
      </border>
    </dxf>
    <dxf>
      <numFmt numFmtId="12" formatCode="&quot;$&quot;#,##0.00_);[Red]\(&quot;$&quot;#,##0.00\)"/>
      <border diagonalUp="0" diagonalDown="0">
        <left style="thin">
          <color indexed="64"/>
        </left>
        <right style="thin">
          <color indexed="64"/>
        </right>
        <top style="thin">
          <color indexed="64"/>
        </top>
        <bottom style="thin">
          <color indexed="64"/>
        </bottom>
        <vertical/>
        <horizontal/>
      </border>
    </dxf>
    <dxf>
      <numFmt numFmtId="12" formatCode="&quot;$&quot;#,##0.00_);[Red]\(&quot;$&quot;#,##0.00\)"/>
      <border diagonalUp="0" diagonalDown="0">
        <left style="thin">
          <color indexed="64"/>
        </left>
        <right style="thin">
          <color indexed="64"/>
        </right>
        <top style="thin">
          <color indexed="64"/>
        </top>
        <bottom style="thin">
          <color indexed="64"/>
        </bottom>
        <vertical/>
        <horizontal/>
      </border>
    </dxf>
    <dxf>
      <numFmt numFmtId="12" formatCode="&quot;$&quot;#,##0.00_);[Red]\(&quot;$&quot;#,##0.00\)"/>
      <border diagonalUp="0" diagonalDown="0">
        <left style="thin">
          <color indexed="64"/>
        </left>
        <right style="thin">
          <color indexed="64"/>
        </right>
        <top style="thin">
          <color indexed="64"/>
        </top>
        <bottom style="thin">
          <color indexed="64"/>
        </bottom>
        <vertical/>
        <horizontal/>
      </border>
    </dxf>
    <dxf>
      <numFmt numFmtId="12" formatCode="&quot;$&quot;#,##0.00_);[Red]\(&quot;$&quot;#,##0.00\)"/>
      <border diagonalUp="0" diagonalDown="0">
        <left style="thin">
          <color indexed="64"/>
        </left>
        <right style="thin">
          <color indexed="64"/>
        </right>
        <top style="thin">
          <color indexed="64"/>
        </top>
        <bottom style="thin">
          <color indexed="64"/>
        </bottom>
        <vertical/>
        <horizontal/>
      </border>
    </dxf>
    <dxf>
      <numFmt numFmtId="12" formatCode="&quot;$&quot;#,##0.00_);[Red]\(&quot;$&quot;#,##0.00\)"/>
      <border diagonalUp="0" diagonalDown="0">
        <left style="thin">
          <color indexed="64"/>
        </left>
        <right style="thin">
          <color indexed="64"/>
        </right>
        <top style="thin">
          <color indexed="64"/>
        </top>
        <bottom style="thin">
          <color indexed="64"/>
        </bottom>
        <vertical/>
        <horizontal/>
      </border>
    </dxf>
    <dxf>
      <numFmt numFmtId="12" formatCode="&quot;$&quot;#,##0.00_);[Red]\(&quot;$&quot;#,##0.00\)"/>
      <border diagonalUp="0" diagonalDown="0">
        <left style="thin">
          <color indexed="64"/>
        </left>
        <right style="thin">
          <color indexed="64"/>
        </right>
        <top style="thin">
          <color indexed="64"/>
        </top>
        <bottom style="thin">
          <color indexed="64"/>
        </bottom>
        <vertical/>
        <horizontal/>
      </border>
    </dxf>
    <dxf>
      <numFmt numFmtId="12" formatCode="&quot;$&quot;#,##0.00_);[Red]\(&quot;$&quot;#,##0.00\)"/>
      <border diagonalUp="0" diagonalDown="0">
        <left style="thin">
          <color indexed="64"/>
        </left>
        <right/>
        <top style="thin">
          <color indexed="64"/>
        </top>
        <bottom style="thin">
          <color indexed="64"/>
        </bottom>
        <vertical/>
        <horizontal/>
      </border>
    </dxf>
    <dxf>
      <numFmt numFmtId="12" formatCode="&quot;$&quot;#,##0.00_);[Red]\(&quot;$&quot;#,##0.00\)"/>
      <border diagonalUp="0" diagonalDown="0">
        <left style="thin">
          <color indexed="64"/>
        </left>
        <right style="thin">
          <color indexed="64"/>
        </right>
        <top style="thin">
          <color indexed="64"/>
        </top>
        <bottom style="thin">
          <color indexed="64"/>
        </bottom>
        <vertical/>
        <horizontal/>
      </border>
    </dxf>
    <dxf>
      <numFmt numFmtId="12" formatCode="&quot;$&quot;#,##0.00_);[Red]\(&quot;$&quot;#,##0.00\)"/>
      <border diagonalUp="0" diagonalDown="0">
        <left style="thin">
          <color indexed="64"/>
        </left>
        <right style="thin">
          <color indexed="64"/>
        </right>
        <top style="thin">
          <color indexed="64"/>
        </top>
        <bottom style="thin">
          <color indexed="64"/>
        </bottom>
        <vertical/>
        <horizontal/>
      </border>
    </dxf>
    <dxf>
      <numFmt numFmtId="12" formatCode="&quot;$&quot;#,##0.00_);[Red]\(&quot;$&quot;#,##0.00\)"/>
      <border diagonalUp="0" diagonalDown="0">
        <left style="thin">
          <color indexed="64"/>
        </left>
        <right style="thin">
          <color indexed="64"/>
        </right>
        <top style="thin">
          <color indexed="64"/>
        </top>
        <bottom style="thin">
          <color indexed="64"/>
        </bottom>
        <vertical/>
        <horizontal/>
      </border>
    </dxf>
    <dxf>
      <numFmt numFmtId="12" formatCode="&quot;$&quot;#,##0.00_);[Red]\(&quot;$&quot;#,##0.00\)"/>
      <border diagonalUp="0" diagonalDown="0">
        <left style="thin">
          <color indexed="64"/>
        </left>
        <right style="thin">
          <color indexed="64"/>
        </right>
        <top style="thin">
          <color indexed="64"/>
        </top>
        <bottom style="thin">
          <color indexed="64"/>
        </bottom>
        <vertical/>
        <horizontal/>
      </border>
    </dxf>
    <dxf>
      <numFmt numFmtId="12" formatCode="&quot;$&quot;#,##0.00_);[Red]\(&quot;$&quot;#,##0.00\)"/>
      <border diagonalUp="0" diagonalDown="0">
        <left style="thin">
          <color indexed="64"/>
        </left>
        <right style="thin">
          <color indexed="64"/>
        </right>
        <top/>
        <bottom style="thin">
          <color indexed="64"/>
        </bottom>
        <vertical/>
        <horizontal/>
      </border>
    </dxf>
    <dxf>
      <font>
        <b/>
        <i val="0"/>
        <strike val="0"/>
        <condense val="0"/>
        <extend val="0"/>
        <outline val="0"/>
        <shadow val="0"/>
        <u val="none"/>
        <vertAlign val="baseline"/>
        <sz val="11"/>
        <color theme="1"/>
        <name val="Aptos Narrow"/>
        <family val="2"/>
        <scheme val="minor"/>
      </font>
      <border diagonalUp="0" diagonalDown="0">
        <left/>
        <right style="thin">
          <color indexed="64"/>
        </right>
        <top style="thin">
          <color indexed="64"/>
        </top>
        <bottom style="thin">
          <color indexed="64"/>
        </bottom>
        <vertical/>
        <horizontal/>
      </border>
    </dxf>
    <dxf>
      <border outline="0">
        <left style="medium">
          <color indexed="64"/>
        </left>
        <right style="thin">
          <color indexed="64"/>
        </right>
      </border>
    </dxf>
    <dxf>
      <font>
        <b/>
        <i val="0"/>
        <strike val="0"/>
        <condense val="0"/>
        <extend val="0"/>
        <outline val="0"/>
        <shadow val="0"/>
        <u val="none"/>
        <vertAlign val="baseline"/>
        <sz val="11"/>
        <color theme="1"/>
        <name val="Aptos Narrow"/>
        <family val="2"/>
        <scheme val="minor"/>
      </font>
      <alignment horizontal="general" vertical="bottom" textRotation="0" wrapText="1" indent="0" justifyLastLine="0" shrinkToFit="0" readingOrder="0"/>
    </dxf>
    <dxf>
      <numFmt numFmtId="12" formatCode="&quot;$&quot;#,##0.00_);[Red]\(&quot;$&quot;#,##0.00\)"/>
      <border diagonalUp="0" diagonalDown="0">
        <left style="thin">
          <color indexed="64"/>
        </left>
        <right/>
        <top style="thin">
          <color indexed="64"/>
        </top>
        <bottom style="thin">
          <color indexed="64"/>
        </bottom>
        <vertical/>
        <horizontal/>
      </border>
    </dxf>
    <dxf>
      <numFmt numFmtId="12" formatCode="&quot;$&quot;#,##0.00_);[Red]\(&quot;$&quot;#,##0.00\)"/>
      <border diagonalUp="0" diagonalDown="0">
        <left style="thin">
          <color indexed="64"/>
        </left>
        <right style="thin">
          <color indexed="64"/>
        </right>
        <top style="thin">
          <color indexed="64"/>
        </top>
        <bottom style="thin">
          <color indexed="64"/>
        </bottom>
        <vertical/>
        <horizontal/>
      </border>
    </dxf>
    <dxf>
      <numFmt numFmtId="12" formatCode="&quot;$&quot;#,##0.00_);[Red]\(&quot;$&quot;#,##0.0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bottom style="medium">
          <color indexed="64"/>
        </bottom>
      </border>
    </dxf>
    <dxf>
      <border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theme="1"/>
        <name val="Aptos Narrow"/>
        <family val="2"/>
        <scheme val="minor"/>
      </font>
      <alignment horizontal="general" vertical="bottom" textRotation="0" wrapText="1" indent="0" justifyLastLine="0" shrinkToFit="0" readingOrder="0"/>
      <border diagonalUp="0" diagonalDown="0" outline="0">
        <left style="thin">
          <color indexed="64"/>
        </left>
        <right style="thin">
          <color indexed="64"/>
        </right>
        <top/>
        <bottom/>
      </border>
    </dxf>
    <dxf>
      <numFmt numFmtId="164" formatCode="&quot;$&quot;#,##0.00"/>
      <border diagonalUp="0" diagonalDown="0">
        <left style="thin">
          <color indexed="64"/>
        </left>
        <right style="thin">
          <color indexed="64"/>
        </right>
        <top style="thin">
          <color indexed="64"/>
        </top>
        <bottom style="thin">
          <color indexed="64"/>
        </bottom>
        <vertical/>
        <horizontal/>
      </border>
    </dxf>
    <dxf>
      <numFmt numFmtId="164" formatCode="&quot;$&quot;#,##0.00"/>
      <border diagonalUp="0" diagonalDown="0">
        <left style="thin">
          <color indexed="64"/>
        </left>
        <right style="thin">
          <color indexed="64"/>
        </right>
        <top style="thin">
          <color indexed="64"/>
        </top>
        <bottom style="thin">
          <color indexed="64"/>
        </bottom>
        <vertical/>
        <horizontal/>
      </border>
    </dxf>
    <dxf>
      <numFmt numFmtId="12" formatCode="&quot;$&quot;#,##0.00_);[Red]\(&quot;$&quot;#,##0.00\)"/>
      <border diagonalUp="0" diagonalDown="0">
        <left style="thin">
          <color indexed="64"/>
        </left>
        <right style="thin">
          <color indexed="64"/>
        </right>
        <top style="thin">
          <color indexed="64"/>
        </top>
        <bottom style="thin">
          <color indexed="64"/>
        </bottom>
        <vertical/>
        <horizontal/>
      </border>
    </dxf>
    <dxf>
      <numFmt numFmtId="164" formatCode="&quot;$&quot;#,##0.00"/>
      <border diagonalUp="0" diagonalDown="0">
        <left style="thin">
          <color indexed="64"/>
        </left>
        <right style="thin">
          <color indexed="64"/>
        </right>
        <top style="thin">
          <color indexed="64"/>
        </top>
        <bottom style="thin">
          <color indexed="64"/>
        </bottom>
        <vertical/>
        <horizontal/>
      </border>
    </dxf>
    <dxf>
      <numFmt numFmtId="164" formatCode="&quot;$&quot;#,##0.00"/>
      <border diagonalUp="0" diagonalDown="0">
        <left style="thin">
          <color indexed="64"/>
        </left>
        <right style="thin">
          <color indexed="64"/>
        </right>
        <top style="thin">
          <color indexed="64"/>
        </top>
        <bottom style="thin">
          <color indexed="64"/>
        </bottom>
        <vertical/>
        <horizontal/>
      </border>
    </dxf>
    <dxf>
      <numFmt numFmtId="12" formatCode="&quot;$&quot;#,##0.00_);[Red]\(&quot;$&quot;#,##0.00\)"/>
      <border diagonalUp="0" diagonalDown="0">
        <left style="thin">
          <color indexed="64"/>
        </left>
        <right style="thin">
          <color indexed="64"/>
        </right>
        <top style="thin">
          <color indexed="64"/>
        </top>
        <bottom style="thin">
          <color indexed="64"/>
        </bottom>
        <vertical/>
        <horizontal/>
      </border>
    </dxf>
    <dxf>
      <numFmt numFmtId="164" formatCode="&quot;$&quot;#,##0.00"/>
      <border diagonalUp="0" diagonalDown="0">
        <left style="thin">
          <color indexed="64"/>
        </left>
        <right style="thin">
          <color indexed="64"/>
        </right>
        <top style="thin">
          <color indexed="64"/>
        </top>
        <bottom style="thin">
          <color indexed="64"/>
        </bottom>
        <vertical/>
        <horizontal/>
      </border>
    </dxf>
    <dxf>
      <numFmt numFmtId="35" formatCode="_(* #,##0.00_);_(* \(#,##0.00\);_(* &quot;-&quot;??_);_(@_)"/>
      <border diagonalUp="0" diagonalDown="0">
        <left style="thin">
          <color indexed="64"/>
        </left>
        <right style="thin">
          <color indexed="64"/>
        </right>
        <top style="thin">
          <color indexed="64"/>
        </top>
        <bottom style="thin">
          <color indexed="64"/>
        </bottom>
        <vertical/>
        <horizontal/>
      </border>
    </dxf>
    <dxf>
      <numFmt numFmtId="12" formatCode="&quot;$&quot;#,##0.00_);[Red]\(&quot;$&quot;#,##0.00\)"/>
      <border diagonalUp="0" diagonalDown="0">
        <left style="thin">
          <color indexed="64"/>
        </left>
        <right style="thin">
          <color indexed="64"/>
        </right>
        <top style="thin">
          <color indexed="64"/>
        </top>
        <bottom style="thin">
          <color indexed="64"/>
        </bottom>
        <vertical/>
        <horizontal/>
      </border>
    </dxf>
    <dxf>
      <numFmt numFmtId="34" formatCode="_(&quot;$&quot;* #,##0.00_);_(&quot;$&quot;* \(#,##0.00\);_(&quot;$&quot;* &quot;-&quot;??_);_(@_)"/>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outline="0">
        <bottom style="medium">
          <color indexed="64"/>
        </bottom>
      </border>
    </dxf>
    <dxf>
      <border outline="0">
        <top style="medium">
          <color indexed="64"/>
        </top>
        <bottom style="thin">
          <color indexed="64"/>
        </bottom>
      </border>
    </dxf>
    <dxf>
      <fill>
        <patternFill>
          <bgColor rgb="FFFFFF00"/>
        </patternFill>
      </fill>
    </dxf>
    <dxf>
      <fill>
        <patternFill>
          <bgColor rgb="FFFFFF00"/>
        </patternFill>
      </fill>
    </dxf>
    <dxf>
      <fill>
        <patternFill>
          <bgColor rgb="FFFFFF00"/>
        </patternFill>
      </fill>
    </dxf>
    <dxf>
      <numFmt numFmtId="19" formatCode="m/d/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Main!$F$33</c:f>
          <c:strCache>
            <c:ptCount val="1"/>
            <c:pt idx="0">
              <c:v>Monthly benefit with 2.5%  Cola </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Age</c:v>
          </c:tx>
          <c:spPr>
            <a:ln w="28575" cap="rnd">
              <a:solidFill>
                <a:schemeClr val="accent1"/>
              </a:solidFill>
              <a:round/>
            </a:ln>
            <a:effectLst/>
          </c:spPr>
          <c:marker>
            <c:symbol val="none"/>
          </c:marker>
          <c:cat>
            <c:numRef>
              <c:f>Main!$A$33:$A$71</c:f>
              <c:numCache>
                <c:formatCode>General</c:formatCode>
                <c:ptCount val="39"/>
                <c:pt idx="0">
                  <c:v>62</c:v>
                </c:pt>
                <c:pt idx="1">
                  <c:v>63</c:v>
                </c:pt>
                <c:pt idx="2">
                  <c:v>64</c:v>
                </c:pt>
                <c:pt idx="3">
                  <c:v>65</c:v>
                </c:pt>
                <c:pt idx="4">
                  <c:v>66</c:v>
                </c:pt>
                <c:pt idx="5">
                  <c:v>67</c:v>
                </c:pt>
                <c:pt idx="6">
                  <c:v>68</c:v>
                </c:pt>
                <c:pt idx="7">
                  <c:v>69</c:v>
                </c:pt>
                <c:pt idx="8">
                  <c:v>70</c:v>
                </c:pt>
                <c:pt idx="9">
                  <c:v>71</c:v>
                </c:pt>
                <c:pt idx="10">
                  <c:v>72</c:v>
                </c:pt>
                <c:pt idx="11">
                  <c:v>73</c:v>
                </c:pt>
                <c:pt idx="12">
                  <c:v>74</c:v>
                </c:pt>
                <c:pt idx="13">
                  <c:v>75</c:v>
                </c:pt>
                <c:pt idx="14">
                  <c:v>76</c:v>
                </c:pt>
                <c:pt idx="15">
                  <c:v>77</c:v>
                </c:pt>
                <c:pt idx="16">
                  <c:v>78</c:v>
                </c:pt>
                <c:pt idx="17">
                  <c:v>79</c:v>
                </c:pt>
                <c:pt idx="18">
                  <c:v>80</c:v>
                </c:pt>
                <c:pt idx="19">
                  <c:v>81</c:v>
                </c:pt>
                <c:pt idx="20">
                  <c:v>82</c:v>
                </c:pt>
                <c:pt idx="21">
                  <c:v>83</c:v>
                </c:pt>
                <c:pt idx="22">
                  <c:v>84</c:v>
                </c:pt>
                <c:pt idx="23">
                  <c:v>85</c:v>
                </c:pt>
                <c:pt idx="24">
                  <c:v>86</c:v>
                </c:pt>
                <c:pt idx="25">
                  <c:v>87</c:v>
                </c:pt>
                <c:pt idx="26">
                  <c:v>88</c:v>
                </c:pt>
                <c:pt idx="27">
                  <c:v>89</c:v>
                </c:pt>
                <c:pt idx="28">
                  <c:v>90</c:v>
                </c:pt>
                <c:pt idx="29">
                  <c:v>91</c:v>
                </c:pt>
                <c:pt idx="30">
                  <c:v>92</c:v>
                </c:pt>
                <c:pt idx="31">
                  <c:v>93</c:v>
                </c:pt>
                <c:pt idx="32">
                  <c:v>94</c:v>
                </c:pt>
                <c:pt idx="33">
                  <c:v>95</c:v>
                </c:pt>
                <c:pt idx="34">
                  <c:v>96</c:v>
                </c:pt>
                <c:pt idx="35">
                  <c:v>97</c:v>
                </c:pt>
                <c:pt idx="36">
                  <c:v>98</c:v>
                </c:pt>
                <c:pt idx="37">
                  <c:v>99</c:v>
                </c:pt>
                <c:pt idx="38">
                  <c:v>100</c:v>
                </c:pt>
              </c:numCache>
            </c:numRef>
          </c:cat>
          <c:val>
            <c:numRef>
              <c:f>Main!$A$33:$A$71</c:f>
              <c:numCache>
                <c:formatCode>General</c:formatCode>
                <c:ptCount val="39"/>
                <c:pt idx="0">
                  <c:v>62</c:v>
                </c:pt>
                <c:pt idx="1">
                  <c:v>63</c:v>
                </c:pt>
                <c:pt idx="2">
                  <c:v>64</c:v>
                </c:pt>
                <c:pt idx="3">
                  <c:v>65</c:v>
                </c:pt>
                <c:pt idx="4">
                  <c:v>66</c:v>
                </c:pt>
                <c:pt idx="5">
                  <c:v>67</c:v>
                </c:pt>
                <c:pt idx="6">
                  <c:v>68</c:v>
                </c:pt>
                <c:pt idx="7">
                  <c:v>69</c:v>
                </c:pt>
                <c:pt idx="8">
                  <c:v>70</c:v>
                </c:pt>
                <c:pt idx="9">
                  <c:v>71</c:v>
                </c:pt>
                <c:pt idx="10">
                  <c:v>72</c:v>
                </c:pt>
                <c:pt idx="11">
                  <c:v>73</c:v>
                </c:pt>
                <c:pt idx="12">
                  <c:v>74</c:v>
                </c:pt>
                <c:pt idx="13">
                  <c:v>75</c:v>
                </c:pt>
                <c:pt idx="14">
                  <c:v>76</c:v>
                </c:pt>
                <c:pt idx="15">
                  <c:v>77</c:v>
                </c:pt>
                <c:pt idx="16">
                  <c:v>78</c:v>
                </c:pt>
                <c:pt idx="17">
                  <c:v>79</c:v>
                </c:pt>
                <c:pt idx="18">
                  <c:v>80</c:v>
                </c:pt>
                <c:pt idx="19">
                  <c:v>81</c:v>
                </c:pt>
                <c:pt idx="20">
                  <c:v>82</c:v>
                </c:pt>
                <c:pt idx="21">
                  <c:v>83</c:v>
                </c:pt>
                <c:pt idx="22">
                  <c:v>84</c:v>
                </c:pt>
                <c:pt idx="23">
                  <c:v>85</c:v>
                </c:pt>
                <c:pt idx="24">
                  <c:v>86</c:v>
                </c:pt>
                <c:pt idx="25">
                  <c:v>87</c:v>
                </c:pt>
                <c:pt idx="26">
                  <c:v>88</c:v>
                </c:pt>
                <c:pt idx="27">
                  <c:v>89</c:v>
                </c:pt>
                <c:pt idx="28">
                  <c:v>90</c:v>
                </c:pt>
                <c:pt idx="29">
                  <c:v>91</c:v>
                </c:pt>
                <c:pt idx="30">
                  <c:v>92</c:v>
                </c:pt>
                <c:pt idx="31">
                  <c:v>93</c:v>
                </c:pt>
                <c:pt idx="32">
                  <c:v>94</c:v>
                </c:pt>
                <c:pt idx="33">
                  <c:v>95</c:v>
                </c:pt>
                <c:pt idx="34">
                  <c:v>96</c:v>
                </c:pt>
                <c:pt idx="35">
                  <c:v>97</c:v>
                </c:pt>
                <c:pt idx="36">
                  <c:v>98</c:v>
                </c:pt>
                <c:pt idx="37">
                  <c:v>99</c:v>
                </c:pt>
                <c:pt idx="38">
                  <c:v>100</c:v>
                </c:pt>
              </c:numCache>
            </c:numRef>
          </c:val>
          <c:smooth val="0"/>
          <c:extLst>
            <c:ext xmlns:c16="http://schemas.microsoft.com/office/drawing/2014/chart" uri="{C3380CC4-5D6E-409C-BE32-E72D297353CC}">
              <c16:uniqueId val="{00000000-A008-4EFA-8001-49B58EB041E7}"/>
            </c:ext>
          </c:extLst>
        </c:ser>
        <c:ser>
          <c:idx val="1"/>
          <c:order val="1"/>
          <c:tx>
            <c:v>Take at 62</c:v>
          </c:tx>
          <c:spPr>
            <a:ln w="28575" cap="rnd">
              <a:solidFill>
                <a:schemeClr val="accent2"/>
              </a:solidFill>
              <a:round/>
            </a:ln>
            <a:effectLst/>
          </c:spPr>
          <c:marker>
            <c:symbol val="none"/>
          </c:marker>
          <c:cat>
            <c:numRef>
              <c:f>Main!$A$33:$A$71</c:f>
              <c:numCache>
                <c:formatCode>General</c:formatCode>
                <c:ptCount val="39"/>
                <c:pt idx="0">
                  <c:v>62</c:v>
                </c:pt>
                <c:pt idx="1">
                  <c:v>63</c:v>
                </c:pt>
                <c:pt idx="2">
                  <c:v>64</c:v>
                </c:pt>
                <c:pt idx="3">
                  <c:v>65</c:v>
                </c:pt>
                <c:pt idx="4">
                  <c:v>66</c:v>
                </c:pt>
                <c:pt idx="5">
                  <c:v>67</c:v>
                </c:pt>
                <c:pt idx="6">
                  <c:v>68</c:v>
                </c:pt>
                <c:pt idx="7">
                  <c:v>69</c:v>
                </c:pt>
                <c:pt idx="8">
                  <c:v>70</c:v>
                </c:pt>
                <c:pt idx="9">
                  <c:v>71</c:v>
                </c:pt>
                <c:pt idx="10">
                  <c:v>72</c:v>
                </c:pt>
                <c:pt idx="11">
                  <c:v>73</c:v>
                </c:pt>
                <c:pt idx="12">
                  <c:v>74</c:v>
                </c:pt>
                <c:pt idx="13">
                  <c:v>75</c:v>
                </c:pt>
                <c:pt idx="14">
                  <c:v>76</c:v>
                </c:pt>
                <c:pt idx="15">
                  <c:v>77</c:v>
                </c:pt>
                <c:pt idx="16">
                  <c:v>78</c:v>
                </c:pt>
                <c:pt idx="17">
                  <c:v>79</c:v>
                </c:pt>
                <c:pt idx="18">
                  <c:v>80</c:v>
                </c:pt>
                <c:pt idx="19">
                  <c:v>81</c:v>
                </c:pt>
                <c:pt idx="20">
                  <c:v>82</c:v>
                </c:pt>
                <c:pt idx="21">
                  <c:v>83</c:v>
                </c:pt>
                <c:pt idx="22">
                  <c:v>84</c:v>
                </c:pt>
                <c:pt idx="23">
                  <c:v>85</c:v>
                </c:pt>
                <c:pt idx="24">
                  <c:v>86</c:v>
                </c:pt>
                <c:pt idx="25">
                  <c:v>87</c:v>
                </c:pt>
                <c:pt idx="26">
                  <c:v>88</c:v>
                </c:pt>
                <c:pt idx="27">
                  <c:v>89</c:v>
                </c:pt>
                <c:pt idx="28">
                  <c:v>90</c:v>
                </c:pt>
                <c:pt idx="29">
                  <c:v>91</c:v>
                </c:pt>
                <c:pt idx="30">
                  <c:v>92</c:v>
                </c:pt>
                <c:pt idx="31">
                  <c:v>93</c:v>
                </c:pt>
                <c:pt idx="32">
                  <c:v>94</c:v>
                </c:pt>
                <c:pt idx="33">
                  <c:v>95</c:v>
                </c:pt>
                <c:pt idx="34">
                  <c:v>96</c:v>
                </c:pt>
                <c:pt idx="35">
                  <c:v>97</c:v>
                </c:pt>
                <c:pt idx="36">
                  <c:v>98</c:v>
                </c:pt>
                <c:pt idx="37">
                  <c:v>99</c:v>
                </c:pt>
                <c:pt idx="38">
                  <c:v>100</c:v>
                </c:pt>
              </c:numCache>
            </c:numRef>
          </c:cat>
          <c:val>
            <c:numRef>
              <c:f>Main!$B$33:$B$71</c:f>
              <c:numCache>
                <c:formatCode>"$"#,##0.00_);[Red]\("$"#,##0.00\)</c:formatCode>
                <c:ptCount val="39"/>
                <c:pt idx="0">
                  <c:v>1975.3999999999999</c:v>
                </c:pt>
                <c:pt idx="1">
                  <c:v>2024.7849999999996</c:v>
                </c:pt>
                <c:pt idx="2">
                  <c:v>2075.4046249999992</c:v>
                </c:pt>
                <c:pt idx="3">
                  <c:v>2127.289740624999</c:v>
                </c:pt>
                <c:pt idx="4">
                  <c:v>2180.4719841406236</c:v>
                </c:pt>
                <c:pt idx="5">
                  <c:v>2234.9837837441391</c:v>
                </c:pt>
                <c:pt idx="6">
                  <c:v>2290.8583783377426</c:v>
                </c:pt>
                <c:pt idx="7">
                  <c:v>2348.1298377961862</c:v>
                </c:pt>
                <c:pt idx="8">
                  <c:v>2406.8330837410908</c:v>
                </c:pt>
                <c:pt idx="9">
                  <c:v>2467.0039108346177</c:v>
                </c:pt>
                <c:pt idx="10">
                  <c:v>2528.679008605483</c:v>
                </c:pt>
                <c:pt idx="11">
                  <c:v>2591.8959838206197</c:v>
                </c:pt>
                <c:pt idx="12">
                  <c:v>2656.693383416135</c:v>
                </c:pt>
                <c:pt idx="13">
                  <c:v>2723.1107180015383</c:v>
                </c:pt>
                <c:pt idx="14">
                  <c:v>2791.1884859515767</c:v>
                </c:pt>
                <c:pt idx="15">
                  <c:v>2860.968198100366</c:v>
                </c:pt>
                <c:pt idx="16">
                  <c:v>2932.492403052875</c:v>
                </c:pt>
                <c:pt idx="17">
                  <c:v>3005.8047131291964</c:v>
                </c:pt>
                <c:pt idx="18">
                  <c:v>3080.949830957426</c:v>
                </c:pt>
                <c:pt idx="19">
                  <c:v>3157.9735767313614</c:v>
                </c:pt>
                <c:pt idx="20">
                  <c:v>3236.9229161496451</c:v>
                </c:pt>
                <c:pt idx="21">
                  <c:v>3317.8459890533859</c:v>
                </c:pt>
                <c:pt idx="22">
                  <c:v>3400.7921387797201</c:v>
                </c:pt>
                <c:pt idx="23">
                  <c:v>3485.8119422492127</c:v>
                </c:pt>
                <c:pt idx="24">
                  <c:v>3572.9572408054428</c:v>
                </c:pt>
                <c:pt idx="25">
                  <c:v>3662.2811718255784</c:v>
                </c:pt>
                <c:pt idx="26">
                  <c:v>3753.8382011212175</c:v>
                </c:pt>
                <c:pt idx="27">
                  <c:v>3847.6841561492474</c:v>
                </c:pt>
                <c:pt idx="28">
                  <c:v>3943.8762600529781</c:v>
                </c:pt>
                <c:pt idx="29">
                  <c:v>4042.4731665543022</c:v>
                </c:pt>
                <c:pt idx="30">
                  <c:v>4143.5349957181597</c:v>
                </c:pt>
                <c:pt idx="31">
                  <c:v>4247.1233706111134</c:v>
                </c:pt>
                <c:pt idx="32">
                  <c:v>4353.3014548763913</c:v>
                </c:pt>
                <c:pt idx="33">
                  <c:v>4462.1339912483008</c:v>
                </c:pt>
                <c:pt idx="34">
                  <c:v>4573.6873410295084</c:v>
                </c:pt>
                <c:pt idx="35">
                  <c:v>4688.0295245552461</c:v>
                </c:pt>
                <c:pt idx="36">
                  <c:v>4805.2302626691271</c:v>
                </c:pt>
                <c:pt idx="37">
                  <c:v>4925.3610192358547</c:v>
                </c:pt>
                <c:pt idx="38">
                  <c:v>5048.4950447167503</c:v>
                </c:pt>
              </c:numCache>
            </c:numRef>
          </c:val>
          <c:smooth val="0"/>
          <c:extLst>
            <c:ext xmlns:c16="http://schemas.microsoft.com/office/drawing/2014/chart" uri="{C3380CC4-5D6E-409C-BE32-E72D297353CC}">
              <c16:uniqueId val="{00000001-A008-4EFA-8001-49B58EB041E7}"/>
            </c:ext>
          </c:extLst>
        </c:ser>
        <c:ser>
          <c:idx val="2"/>
          <c:order val="2"/>
          <c:tx>
            <c:v>Take at 67</c:v>
          </c:tx>
          <c:spPr>
            <a:ln w="28575" cap="rnd">
              <a:solidFill>
                <a:schemeClr val="accent3"/>
              </a:solidFill>
              <a:round/>
            </a:ln>
            <a:effectLst/>
          </c:spPr>
          <c:marker>
            <c:symbol val="none"/>
          </c:marker>
          <c:cat>
            <c:numRef>
              <c:f>Main!$A$33:$A$71</c:f>
              <c:numCache>
                <c:formatCode>General</c:formatCode>
                <c:ptCount val="39"/>
                <c:pt idx="0">
                  <c:v>62</c:v>
                </c:pt>
                <c:pt idx="1">
                  <c:v>63</c:v>
                </c:pt>
                <c:pt idx="2">
                  <c:v>64</c:v>
                </c:pt>
                <c:pt idx="3">
                  <c:v>65</c:v>
                </c:pt>
                <c:pt idx="4">
                  <c:v>66</c:v>
                </c:pt>
                <c:pt idx="5">
                  <c:v>67</c:v>
                </c:pt>
                <c:pt idx="6">
                  <c:v>68</c:v>
                </c:pt>
                <c:pt idx="7">
                  <c:v>69</c:v>
                </c:pt>
                <c:pt idx="8">
                  <c:v>70</c:v>
                </c:pt>
                <c:pt idx="9">
                  <c:v>71</c:v>
                </c:pt>
                <c:pt idx="10">
                  <c:v>72</c:v>
                </c:pt>
                <c:pt idx="11">
                  <c:v>73</c:v>
                </c:pt>
                <c:pt idx="12">
                  <c:v>74</c:v>
                </c:pt>
                <c:pt idx="13">
                  <c:v>75</c:v>
                </c:pt>
                <c:pt idx="14">
                  <c:v>76</c:v>
                </c:pt>
                <c:pt idx="15">
                  <c:v>77</c:v>
                </c:pt>
                <c:pt idx="16">
                  <c:v>78</c:v>
                </c:pt>
                <c:pt idx="17">
                  <c:v>79</c:v>
                </c:pt>
                <c:pt idx="18">
                  <c:v>80</c:v>
                </c:pt>
                <c:pt idx="19">
                  <c:v>81</c:v>
                </c:pt>
                <c:pt idx="20">
                  <c:v>82</c:v>
                </c:pt>
                <c:pt idx="21">
                  <c:v>83</c:v>
                </c:pt>
                <c:pt idx="22">
                  <c:v>84</c:v>
                </c:pt>
                <c:pt idx="23">
                  <c:v>85</c:v>
                </c:pt>
                <c:pt idx="24">
                  <c:v>86</c:v>
                </c:pt>
                <c:pt idx="25">
                  <c:v>87</c:v>
                </c:pt>
                <c:pt idx="26">
                  <c:v>88</c:v>
                </c:pt>
                <c:pt idx="27">
                  <c:v>89</c:v>
                </c:pt>
                <c:pt idx="28">
                  <c:v>90</c:v>
                </c:pt>
                <c:pt idx="29">
                  <c:v>91</c:v>
                </c:pt>
                <c:pt idx="30">
                  <c:v>92</c:v>
                </c:pt>
                <c:pt idx="31">
                  <c:v>93</c:v>
                </c:pt>
                <c:pt idx="32">
                  <c:v>94</c:v>
                </c:pt>
                <c:pt idx="33">
                  <c:v>95</c:v>
                </c:pt>
                <c:pt idx="34">
                  <c:v>96</c:v>
                </c:pt>
                <c:pt idx="35">
                  <c:v>97</c:v>
                </c:pt>
                <c:pt idx="36">
                  <c:v>98</c:v>
                </c:pt>
                <c:pt idx="37">
                  <c:v>99</c:v>
                </c:pt>
                <c:pt idx="38">
                  <c:v>100</c:v>
                </c:pt>
              </c:numCache>
            </c:numRef>
          </c:cat>
          <c:val>
            <c:numRef>
              <c:f>Main!$C$33:$C$71</c:f>
              <c:numCache>
                <c:formatCode>"$"#,##0.00_);[Red]\("$"#,##0.00\)</c:formatCode>
                <c:ptCount val="39"/>
                <c:pt idx="5">
                  <c:v>3192.8339767773427</c:v>
                </c:pt>
                <c:pt idx="6">
                  <c:v>3272.654826196776</c:v>
                </c:pt>
                <c:pt idx="7">
                  <c:v>3354.4711968516949</c:v>
                </c:pt>
                <c:pt idx="8">
                  <c:v>3438.332976772987</c:v>
                </c:pt>
                <c:pt idx="9">
                  <c:v>3524.2913011923115</c:v>
                </c:pt>
                <c:pt idx="10">
                  <c:v>3612.3985837221189</c:v>
                </c:pt>
                <c:pt idx="11">
                  <c:v>3702.7085483151714</c:v>
                </c:pt>
                <c:pt idx="12">
                  <c:v>3795.2762620230501</c:v>
                </c:pt>
                <c:pt idx="13">
                  <c:v>3890.158168573626</c:v>
                </c:pt>
                <c:pt idx="14">
                  <c:v>3987.4121227879664</c:v>
                </c:pt>
                <c:pt idx="15">
                  <c:v>4087.0974258576653</c:v>
                </c:pt>
                <c:pt idx="16">
                  <c:v>4189.2748615041064</c:v>
                </c:pt>
                <c:pt idx="17">
                  <c:v>4294.0067330417087</c:v>
                </c:pt>
                <c:pt idx="18">
                  <c:v>4401.3569013677507</c:v>
                </c:pt>
                <c:pt idx="19">
                  <c:v>4511.3908239019438</c:v>
                </c:pt>
                <c:pt idx="20">
                  <c:v>4624.175594499492</c:v>
                </c:pt>
                <c:pt idx="21">
                  <c:v>4739.7799843619787</c:v>
                </c:pt>
                <c:pt idx="22">
                  <c:v>4858.2744839710276</c:v>
                </c:pt>
                <c:pt idx="23">
                  <c:v>4979.7313460703026</c:v>
                </c:pt>
                <c:pt idx="24">
                  <c:v>5104.2246297220599</c:v>
                </c:pt>
                <c:pt idx="25">
                  <c:v>5231.8302454651111</c:v>
                </c:pt>
                <c:pt idx="26">
                  <c:v>5362.6260016017386</c:v>
                </c:pt>
                <c:pt idx="27">
                  <c:v>5496.6916516417814</c:v>
                </c:pt>
                <c:pt idx="28">
                  <c:v>5634.1089429328258</c:v>
                </c:pt>
                <c:pt idx="29">
                  <c:v>5774.9616665061458</c:v>
                </c:pt>
                <c:pt idx="30">
                  <c:v>5919.3357081687991</c:v>
                </c:pt>
                <c:pt idx="31">
                  <c:v>6067.3191008730182</c:v>
                </c:pt>
                <c:pt idx="32">
                  <c:v>6219.002078394843</c:v>
                </c:pt>
                <c:pt idx="33">
                  <c:v>6374.4771303547132</c:v>
                </c:pt>
                <c:pt idx="34">
                  <c:v>6533.8390586135802</c:v>
                </c:pt>
                <c:pt idx="35">
                  <c:v>6697.1850350789191</c:v>
                </c:pt>
                <c:pt idx="36">
                  <c:v>6864.6146609558918</c:v>
                </c:pt>
                <c:pt idx="37">
                  <c:v>7036.230027479789</c:v>
                </c:pt>
                <c:pt idx="38">
                  <c:v>7212.135778166783</c:v>
                </c:pt>
              </c:numCache>
            </c:numRef>
          </c:val>
          <c:smooth val="0"/>
          <c:extLst>
            <c:ext xmlns:c16="http://schemas.microsoft.com/office/drawing/2014/chart" uri="{C3380CC4-5D6E-409C-BE32-E72D297353CC}">
              <c16:uniqueId val="{00000002-A008-4EFA-8001-49B58EB041E7}"/>
            </c:ext>
          </c:extLst>
        </c:ser>
        <c:ser>
          <c:idx val="3"/>
          <c:order val="3"/>
          <c:tx>
            <c:v>Take at 70</c:v>
          </c:tx>
          <c:spPr>
            <a:ln w="28575" cap="rnd">
              <a:solidFill>
                <a:schemeClr val="accent4"/>
              </a:solidFill>
              <a:round/>
            </a:ln>
            <a:effectLst/>
          </c:spPr>
          <c:marker>
            <c:symbol val="none"/>
          </c:marker>
          <c:cat>
            <c:numRef>
              <c:f>Main!$A$33:$A$71</c:f>
              <c:numCache>
                <c:formatCode>General</c:formatCode>
                <c:ptCount val="39"/>
                <c:pt idx="0">
                  <c:v>62</c:v>
                </c:pt>
                <c:pt idx="1">
                  <c:v>63</c:v>
                </c:pt>
                <c:pt idx="2">
                  <c:v>64</c:v>
                </c:pt>
                <c:pt idx="3">
                  <c:v>65</c:v>
                </c:pt>
                <c:pt idx="4">
                  <c:v>66</c:v>
                </c:pt>
                <c:pt idx="5">
                  <c:v>67</c:v>
                </c:pt>
                <c:pt idx="6">
                  <c:v>68</c:v>
                </c:pt>
                <c:pt idx="7">
                  <c:v>69</c:v>
                </c:pt>
                <c:pt idx="8">
                  <c:v>70</c:v>
                </c:pt>
                <c:pt idx="9">
                  <c:v>71</c:v>
                </c:pt>
                <c:pt idx="10">
                  <c:v>72</c:v>
                </c:pt>
                <c:pt idx="11">
                  <c:v>73</c:v>
                </c:pt>
                <c:pt idx="12">
                  <c:v>74</c:v>
                </c:pt>
                <c:pt idx="13">
                  <c:v>75</c:v>
                </c:pt>
                <c:pt idx="14">
                  <c:v>76</c:v>
                </c:pt>
                <c:pt idx="15">
                  <c:v>77</c:v>
                </c:pt>
                <c:pt idx="16">
                  <c:v>78</c:v>
                </c:pt>
                <c:pt idx="17">
                  <c:v>79</c:v>
                </c:pt>
                <c:pt idx="18">
                  <c:v>80</c:v>
                </c:pt>
                <c:pt idx="19">
                  <c:v>81</c:v>
                </c:pt>
                <c:pt idx="20">
                  <c:v>82</c:v>
                </c:pt>
                <c:pt idx="21">
                  <c:v>83</c:v>
                </c:pt>
                <c:pt idx="22">
                  <c:v>84</c:v>
                </c:pt>
                <c:pt idx="23">
                  <c:v>85</c:v>
                </c:pt>
                <c:pt idx="24">
                  <c:v>86</c:v>
                </c:pt>
                <c:pt idx="25">
                  <c:v>87</c:v>
                </c:pt>
                <c:pt idx="26">
                  <c:v>88</c:v>
                </c:pt>
                <c:pt idx="27">
                  <c:v>89</c:v>
                </c:pt>
                <c:pt idx="28">
                  <c:v>90</c:v>
                </c:pt>
                <c:pt idx="29">
                  <c:v>91</c:v>
                </c:pt>
                <c:pt idx="30">
                  <c:v>92</c:v>
                </c:pt>
                <c:pt idx="31">
                  <c:v>93</c:v>
                </c:pt>
                <c:pt idx="32">
                  <c:v>94</c:v>
                </c:pt>
                <c:pt idx="33">
                  <c:v>95</c:v>
                </c:pt>
                <c:pt idx="34">
                  <c:v>96</c:v>
                </c:pt>
                <c:pt idx="35">
                  <c:v>97</c:v>
                </c:pt>
                <c:pt idx="36">
                  <c:v>98</c:v>
                </c:pt>
                <c:pt idx="37">
                  <c:v>99</c:v>
                </c:pt>
                <c:pt idx="38">
                  <c:v>100</c:v>
                </c:pt>
              </c:numCache>
            </c:numRef>
          </c:cat>
          <c:val>
            <c:numRef>
              <c:f>Main!$D$33:$D$71</c:f>
              <c:numCache>
                <c:formatCode>General</c:formatCode>
                <c:ptCount val="39"/>
                <c:pt idx="8" formatCode="&quot;$&quot;#,##0.00_);[Red]\(&quot;$&quot;#,##0.00\)">
                  <c:v>4263.5328911985052</c:v>
                </c:pt>
                <c:pt idx="9" formatCode="&quot;$&quot;#,##0.00_);[Red]\(&quot;$&quot;#,##0.00\)">
                  <c:v>4370.1212134784673</c:v>
                </c:pt>
                <c:pt idx="10" formatCode="&quot;$&quot;#,##0.00_);[Red]\(&quot;$&quot;#,##0.00\)">
                  <c:v>4479.3742438154286</c:v>
                </c:pt>
                <c:pt idx="11" formatCode="&quot;$&quot;#,##0.00_);[Red]\(&quot;$&quot;#,##0.00\)">
                  <c:v>4591.3585999108136</c:v>
                </c:pt>
                <c:pt idx="12" formatCode="&quot;$&quot;#,##0.00_);[Red]\(&quot;$&quot;#,##0.00\)">
                  <c:v>4706.1425649085832</c:v>
                </c:pt>
                <c:pt idx="13" formatCode="&quot;$&quot;#,##0.00_);[Red]\(&quot;$&quot;#,##0.00\)">
                  <c:v>4823.7961290312969</c:v>
                </c:pt>
                <c:pt idx="14" formatCode="&quot;$&quot;#,##0.00_);[Red]\(&quot;$&quot;#,##0.00\)">
                  <c:v>4944.3910322570791</c:v>
                </c:pt>
                <c:pt idx="15" formatCode="&quot;$&quot;#,##0.00_);[Red]\(&quot;$&quot;#,##0.00\)">
                  <c:v>5068.0008080635052</c:v>
                </c:pt>
                <c:pt idx="16" formatCode="&quot;$&quot;#,##0.00_);[Red]\(&quot;$&quot;#,##0.00\)">
                  <c:v>5194.7008282650922</c:v>
                </c:pt>
                <c:pt idx="17" formatCode="&quot;$&quot;#,##0.00_);[Red]\(&quot;$&quot;#,##0.00\)">
                  <c:v>5324.5683489717194</c:v>
                </c:pt>
                <c:pt idx="18" formatCode="&quot;$&quot;#,##0.00_);[Red]\(&quot;$&quot;#,##0.00\)">
                  <c:v>5457.6825576960118</c:v>
                </c:pt>
                <c:pt idx="19" formatCode="&quot;$&quot;#,##0.00_);[Red]\(&quot;$&quot;#,##0.00\)">
                  <c:v>5594.1246216384116</c:v>
                </c:pt>
                <c:pt idx="20" formatCode="&quot;$&quot;#,##0.00_);[Red]\(&quot;$&quot;#,##0.00\)">
                  <c:v>5733.9777371793716</c:v>
                </c:pt>
                <c:pt idx="21" formatCode="&quot;$&quot;#,##0.00_);[Red]\(&quot;$&quot;#,##0.00\)">
                  <c:v>5877.3271806088551</c:v>
                </c:pt>
                <c:pt idx="22" formatCode="&quot;$&quot;#,##0.00_);[Red]\(&quot;$&quot;#,##0.00\)">
                  <c:v>6024.2603601240762</c:v>
                </c:pt>
                <c:pt idx="23" formatCode="&quot;$&quot;#,##0.00_);[Red]\(&quot;$&quot;#,##0.00\)">
                  <c:v>6174.8668691271778</c:v>
                </c:pt>
                <c:pt idx="24" formatCode="&quot;$&quot;#,##0.00_);[Red]\(&quot;$&quot;#,##0.00\)">
                  <c:v>6329.2385408553564</c:v>
                </c:pt>
                <c:pt idx="25" formatCode="&quot;$&quot;#,##0.00_);[Red]\(&quot;$&quot;#,##0.00\)">
                  <c:v>6487.4695043767397</c:v>
                </c:pt>
                <c:pt idx="26" formatCode="&quot;$&quot;#,##0.00_);[Red]\(&quot;$&quot;#,##0.00\)">
                  <c:v>6649.6562419861575</c:v>
                </c:pt>
                <c:pt idx="27" formatCode="&quot;$&quot;#,##0.00_);[Red]\(&quot;$&quot;#,##0.00\)">
                  <c:v>6815.8976480358106</c:v>
                </c:pt>
                <c:pt idx="28" formatCode="&quot;$&quot;#,##0.00_);[Red]\(&quot;$&quot;#,##0.00\)">
                  <c:v>6986.2950892367053</c:v>
                </c:pt>
                <c:pt idx="29" formatCode="&quot;$&quot;#,##0.00_);[Red]\(&quot;$&quot;#,##0.00\)">
                  <c:v>7160.9524664676219</c:v>
                </c:pt>
                <c:pt idx="30" formatCode="&quot;$&quot;#,##0.00_);[Red]\(&quot;$&quot;#,##0.00\)">
                  <c:v>7339.976278129312</c:v>
                </c:pt>
                <c:pt idx="31" formatCode="&quot;$&quot;#,##0.00_);[Red]\(&quot;$&quot;#,##0.00\)">
                  <c:v>7523.4756850825443</c:v>
                </c:pt>
                <c:pt idx="32" formatCode="&quot;$&quot;#,##0.00_);[Red]\(&quot;$&quot;#,##0.00\)">
                  <c:v>7711.5625772096073</c:v>
                </c:pt>
                <c:pt idx="33" formatCode="&quot;$&quot;#,##0.00_);[Red]\(&quot;$&quot;#,##0.00\)">
                  <c:v>7904.351641639847</c:v>
                </c:pt>
                <c:pt idx="34" formatCode="&quot;$&quot;#,##0.00_);[Red]\(&quot;$&quot;#,##0.00\)">
                  <c:v>8101.9604326808421</c:v>
                </c:pt>
                <c:pt idx="35" formatCode="&quot;$&quot;#,##0.00_);[Red]\(&quot;$&quot;#,##0.00\)">
                  <c:v>8304.5094434978619</c:v>
                </c:pt>
                <c:pt idx="36" formatCode="&quot;$&quot;#,##0.00_);[Red]\(&quot;$&quot;#,##0.00\)">
                  <c:v>8512.1221795853071</c:v>
                </c:pt>
                <c:pt idx="37" formatCode="&quot;$&quot;#,##0.00_);[Red]\(&quot;$&quot;#,##0.00\)">
                  <c:v>8724.925234074939</c:v>
                </c:pt>
                <c:pt idx="38" formatCode="&quot;$&quot;#,##0.00_);[Red]\(&quot;$&quot;#,##0.00\)">
                  <c:v>8943.0483649268117</c:v>
                </c:pt>
              </c:numCache>
            </c:numRef>
          </c:val>
          <c:smooth val="0"/>
          <c:extLst>
            <c:ext xmlns:c16="http://schemas.microsoft.com/office/drawing/2014/chart" uri="{C3380CC4-5D6E-409C-BE32-E72D297353CC}">
              <c16:uniqueId val="{00000003-A008-4EFA-8001-49B58EB041E7}"/>
            </c:ext>
          </c:extLst>
        </c:ser>
        <c:dLbls>
          <c:showLegendKey val="0"/>
          <c:showVal val="0"/>
          <c:showCatName val="0"/>
          <c:showSerName val="0"/>
          <c:showPercent val="0"/>
          <c:showBubbleSize val="0"/>
        </c:dLbls>
        <c:smooth val="0"/>
        <c:axId val="48347136"/>
        <c:axId val="221280688"/>
      </c:lineChart>
      <c:catAx>
        <c:axId val="48347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280688"/>
        <c:crosses val="autoZero"/>
        <c:auto val="1"/>
        <c:lblAlgn val="ctr"/>
        <c:lblOffset val="100"/>
        <c:noMultiLvlLbl val="0"/>
      </c:catAx>
      <c:valAx>
        <c:axId val="221280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47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Main!$D$74</c:f>
          <c:strCache>
            <c:ptCount val="1"/>
            <c:pt idx="0">
              <c:v>Total payout with Cola of 2.5%  Rate of Return = 0 %, Breakeven Age 78</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536173585681621"/>
          <c:y val="0.17375235997317029"/>
          <c:w val="0.81609422966568801"/>
          <c:h val="0.77778945406568223"/>
        </c:manualLayout>
      </c:layout>
      <c:lineChart>
        <c:grouping val="standard"/>
        <c:varyColors val="0"/>
        <c:ser>
          <c:idx val="0"/>
          <c:order val="0"/>
          <c:tx>
            <c:v>Start @ 62</c:v>
          </c:tx>
          <c:spPr>
            <a:ln w="28575" cap="rnd">
              <a:solidFill>
                <a:schemeClr val="accent1"/>
              </a:solidFill>
              <a:round/>
            </a:ln>
            <a:effectLst/>
          </c:spPr>
          <c:marker>
            <c:symbol val="none"/>
          </c:marker>
          <c:cat>
            <c:numRef>
              <c:f>Main!$A$78:$A$116</c:f>
              <c:numCache>
                <c:formatCode>General</c:formatCode>
                <c:ptCount val="39"/>
                <c:pt idx="0">
                  <c:v>62</c:v>
                </c:pt>
                <c:pt idx="1">
                  <c:v>63</c:v>
                </c:pt>
                <c:pt idx="2">
                  <c:v>64</c:v>
                </c:pt>
                <c:pt idx="3">
                  <c:v>65</c:v>
                </c:pt>
                <c:pt idx="4">
                  <c:v>66</c:v>
                </c:pt>
                <c:pt idx="5">
                  <c:v>67</c:v>
                </c:pt>
                <c:pt idx="6">
                  <c:v>68</c:v>
                </c:pt>
                <c:pt idx="7">
                  <c:v>69</c:v>
                </c:pt>
                <c:pt idx="8">
                  <c:v>70</c:v>
                </c:pt>
                <c:pt idx="9">
                  <c:v>71</c:v>
                </c:pt>
                <c:pt idx="10">
                  <c:v>72</c:v>
                </c:pt>
                <c:pt idx="11">
                  <c:v>73</c:v>
                </c:pt>
                <c:pt idx="12">
                  <c:v>74</c:v>
                </c:pt>
                <c:pt idx="13">
                  <c:v>75</c:v>
                </c:pt>
                <c:pt idx="14">
                  <c:v>76</c:v>
                </c:pt>
                <c:pt idx="15">
                  <c:v>77</c:v>
                </c:pt>
                <c:pt idx="16">
                  <c:v>78</c:v>
                </c:pt>
                <c:pt idx="17">
                  <c:v>79</c:v>
                </c:pt>
                <c:pt idx="18">
                  <c:v>80</c:v>
                </c:pt>
                <c:pt idx="19">
                  <c:v>81</c:v>
                </c:pt>
                <c:pt idx="20">
                  <c:v>82</c:v>
                </c:pt>
                <c:pt idx="21">
                  <c:v>83</c:v>
                </c:pt>
                <c:pt idx="22">
                  <c:v>84</c:v>
                </c:pt>
                <c:pt idx="23">
                  <c:v>85</c:v>
                </c:pt>
                <c:pt idx="24">
                  <c:v>86</c:v>
                </c:pt>
                <c:pt idx="25">
                  <c:v>87</c:v>
                </c:pt>
                <c:pt idx="26">
                  <c:v>88</c:v>
                </c:pt>
                <c:pt idx="27">
                  <c:v>89</c:v>
                </c:pt>
                <c:pt idx="28">
                  <c:v>90</c:v>
                </c:pt>
                <c:pt idx="29">
                  <c:v>91</c:v>
                </c:pt>
                <c:pt idx="30">
                  <c:v>92</c:v>
                </c:pt>
                <c:pt idx="31">
                  <c:v>93</c:v>
                </c:pt>
                <c:pt idx="32">
                  <c:v>94</c:v>
                </c:pt>
                <c:pt idx="33">
                  <c:v>95</c:v>
                </c:pt>
                <c:pt idx="34">
                  <c:v>96</c:v>
                </c:pt>
                <c:pt idx="35">
                  <c:v>97</c:v>
                </c:pt>
                <c:pt idx="36">
                  <c:v>98</c:v>
                </c:pt>
                <c:pt idx="37">
                  <c:v>99</c:v>
                </c:pt>
                <c:pt idx="38">
                  <c:v>100</c:v>
                </c:pt>
              </c:numCache>
            </c:numRef>
          </c:cat>
          <c:val>
            <c:numRef>
              <c:f>Main!$C$78:$C$116</c:f>
              <c:numCache>
                <c:formatCode>"$"#,##0.00_);[Red]\("$"#,##0.00\)</c:formatCode>
                <c:ptCount val="39"/>
                <c:pt idx="0">
                  <c:v>23704.799999999999</c:v>
                </c:pt>
                <c:pt idx="1">
                  <c:v>48002.219999999994</c:v>
                </c:pt>
                <c:pt idx="2">
                  <c:v>72907.075499999977</c:v>
                </c:pt>
                <c:pt idx="3">
                  <c:v>98434.552387499964</c:v>
                </c:pt>
                <c:pt idx="4">
                  <c:v>124600.21619718744</c:v>
                </c:pt>
                <c:pt idx="5">
                  <c:v>151420.02160211711</c:v>
                </c:pt>
                <c:pt idx="6">
                  <c:v>178910.32214217001</c:v>
                </c:pt>
                <c:pt idx="7">
                  <c:v>207087.88019572425</c:v>
                </c:pt>
                <c:pt idx="8">
                  <c:v>235969.87720061734</c:v>
                </c:pt>
                <c:pt idx="9">
                  <c:v>265573.92413063277</c:v>
                </c:pt>
                <c:pt idx="10">
                  <c:v>295918.07223389857</c:v>
                </c:pt>
                <c:pt idx="11">
                  <c:v>327020.82403974602</c:v>
                </c:pt>
                <c:pt idx="12">
                  <c:v>358901.14464073966</c:v>
                </c:pt>
                <c:pt idx="13">
                  <c:v>391578.47325675812</c:v>
                </c:pt>
                <c:pt idx="14">
                  <c:v>425072.73508817703</c:v>
                </c:pt>
                <c:pt idx="15">
                  <c:v>459404.35346538143</c:v>
                </c:pt>
                <c:pt idx="16">
                  <c:v>494594.26230201591</c:v>
                </c:pt>
                <c:pt idx="17">
                  <c:v>530663.91885956621</c:v>
                </c:pt>
                <c:pt idx="18">
                  <c:v>567635.31683105533</c:v>
                </c:pt>
                <c:pt idx="19">
                  <c:v>605530.99975183164</c:v>
                </c:pt>
                <c:pt idx="20">
                  <c:v>644374.07474562735</c:v>
                </c:pt>
                <c:pt idx="21">
                  <c:v>684188.22661426803</c:v>
                </c:pt>
                <c:pt idx="22">
                  <c:v>724997.73227962467</c:v>
                </c:pt>
                <c:pt idx="23">
                  <c:v>766827.47558661527</c:v>
                </c:pt>
                <c:pt idx="24">
                  <c:v>809702.96247628063</c:v>
                </c:pt>
                <c:pt idx="25">
                  <c:v>853650.33653818758</c:v>
                </c:pt>
                <c:pt idx="26">
                  <c:v>898696.39495164214</c:v>
                </c:pt>
                <c:pt idx="27">
                  <c:v>944868.60482543311</c:v>
                </c:pt>
                <c:pt idx="28">
                  <c:v>992195.11994606885</c:v>
                </c:pt>
                <c:pt idx="29">
                  <c:v>1040704.7979447205</c:v>
                </c:pt>
                <c:pt idx="30">
                  <c:v>1090427.2178933383</c:v>
                </c:pt>
                <c:pt idx="31">
                  <c:v>1141392.6983406716</c:v>
                </c:pt>
                <c:pt idx="32">
                  <c:v>1193632.3157991883</c:v>
                </c:pt>
                <c:pt idx="33">
                  <c:v>1247177.923694168</c:v>
                </c:pt>
                <c:pt idx="34">
                  <c:v>1302062.171786522</c:v>
                </c:pt>
                <c:pt idx="35">
                  <c:v>1358318.5260811851</c:v>
                </c:pt>
                <c:pt idx="36">
                  <c:v>1415981.2892332147</c:v>
                </c:pt>
                <c:pt idx="37">
                  <c:v>1475085.621464045</c:v>
                </c:pt>
                <c:pt idx="38">
                  <c:v>1535667.562000646</c:v>
                </c:pt>
              </c:numCache>
            </c:numRef>
          </c:val>
          <c:smooth val="0"/>
          <c:extLst>
            <c:ext xmlns:c16="http://schemas.microsoft.com/office/drawing/2014/chart" uri="{C3380CC4-5D6E-409C-BE32-E72D297353CC}">
              <c16:uniqueId val="{00000000-934F-420C-9B66-D7B20766A26E}"/>
            </c:ext>
          </c:extLst>
        </c:ser>
        <c:ser>
          <c:idx val="1"/>
          <c:order val="1"/>
          <c:tx>
            <c:v>Start @ 67</c:v>
          </c:tx>
          <c:spPr>
            <a:ln w="28575" cap="rnd">
              <a:solidFill>
                <a:schemeClr val="accent2"/>
              </a:solidFill>
              <a:round/>
            </a:ln>
            <a:effectLst/>
          </c:spPr>
          <c:marker>
            <c:symbol val="none"/>
          </c:marker>
          <c:cat>
            <c:numRef>
              <c:f>Main!$A$78:$A$116</c:f>
              <c:numCache>
                <c:formatCode>General</c:formatCode>
                <c:ptCount val="39"/>
                <c:pt idx="0">
                  <c:v>62</c:v>
                </c:pt>
                <c:pt idx="1">
                  <c:v>63</c:v>
                </c:pt>
                <c:pt idx="2">
                  <c:v>64</c:v>
                </c:pt>
                <c:pt idx="3">
                  <c:v>65</c:v>
                </c:pt>
                <c:pt idx="4">
                  <c:v>66</c:v>
                </c:pt>
                <c:pt idx="5">
                  <c:v>67</c:v>
                </c:pt>
                <c:pt idx="6">
                  <c:v>68</c:v>
                </c:pt>
                <c:pt idx="7">
                  <c:v>69</c:v>
                </c:pt>
                <c:pt idx="8">
                  <c:v>70</c:v>
                </c:pt>
                <c:pt idx="9">
                  <c:v>71</c:v>
                </c:pt>
                <c:pt idx="10">
                  <c:v>72</c:v>
                </c:pt>
                <c:pt idx="11">
                  <c:v>73</c:v>
                </c:pt>
                <c:pt idx="12">
                  <c:v>74</c:v>
                </c:pt>
                <c:pt idx="13">
                  <c:v>75</c:v>
                </c:pt>
                <c:pt idx="14">
                  <c:v>76</c:v>
                </c:pt>
                <c:pt idx="15">
                  <c:v>77</c:v>
                </c:pt>
                <c:pt idx="16">
                  <c:v>78</c:v>
                </c:pt>
                <c:pt idx="17">
                  <c:v>79</c:v>
                </c:pt>
                <c:pt idx="18">
                  <c:v>80</c:v>
                </c:pt>
                <c:pt idx="19">
                  <c:v>81</c:v>
                </c:pt>
                <c:pt idx="20">
                  <c:v>82</c:v>
                </c:pt>
                <c:pt idx="21">
                  <c:v>83</c:v>
                </c:pt>
                <c:pt idx="22">
                  <c:v>84</c:v>
                </c:pt>
                <c:pt idx="23">
                  <c:v>85</c:v>
                </c:pt>
                <c:pt idx="24">
                  <c:v>86</c:v>
                </c:pt>
                <c:pt idx="25">
                  <c:v>87</c:v>
                </c:pt>
                <c:pt idx="26">
                  <c:v>88</c:v>
                </c:pt>
                <c:pt idx="27">
                  <c:v>89</c:v>
                </c:pt>
                <c:pt idx="28">
                  <c:v>90</c:v>
                </c:pt>
                <c:pt idx="29">
                  <c:v>91</c:v>
                </c:pt>
                <c:pt idx="30">
                  <c:v>92</c:v>
                </c:pt>
                <c:pt idx="31">
                  <c:v>93</c:v>
                </c:pt>
                <c:pt idx="32">
                  <c:v>94</c:v>
                </c:pt>
                <c:pt idx="33">
                  <c:v>95</c:v>
                </c:pt>
                <c:pt idx="34">
                  <c:v>96</c:v>
                </c:pt>
                <c:pt idx="35">
                  <c:v>97</c:v>
                </c:pt>
                <c:pt idx="36">
                  <c:v>98</c:v>
                </c:pt>
                <c:pt idx="37">
                  <c:v>99</c:v>
                </c:pt>
                <c:pt idx="38">
                  <c:v>100</c:v>
                </c:pt>
              </c:numCache>
            </c:numRef>
          </c:cat>
          <c:val>
            <c:numRef>
              <c:f>Main!$E$78:$E$116</c:f>
              <c:numCache>
                <c:formatCode>General</c:formatCode>
                <c:ptCount val="39"/>
                <c:pt idx="0">
                  <c:v>0</c:v>
                </c:pt>
                <c:pt idx="1">
                  <c:v>0</c:v>
                </c:pt>
                <c:pt idx="2">
                  <c:v>0</c:v>
                </c:pt>
                <c:pt idx="3">
                  <c:v>0</c:v>
                </c:pt>
                <c:pt idx="4">
                  <c:v>0</c:v>
                </c:pt>
                <c:pt idx="5" formatCode="&quot;$&quot;#,##0.00_);[Red]\(&quot;$&quot;#,##0.00\)">
                  <c:v>38314.007721328111</c:v>
                </c:pt>
                <c:pt idx="6" formatCode="&quot;$&quot;#,##0.00_);[Red]\(&quot;$&quot;#,##0.00\)">
                  <c:v>77585.865635689421</c:v>
                </c:pt>
                <c:pt idx="7" formatCode="&quot;$&quot;#,##0.00_);[Red]\(&quot;$&quot;#,##0.00\)">
                  <c:v>117839.51999790975</c:v>
                </c:pt>
                <c:pt idx="8" formatCode="&quot;$&quot;#,##0.00_);[Red]\(&quot;$&quot;#,##0.00\)">
                  <c:v>159099.51571918558</c:v>
                </c:pt>
                <c:pt idx="9" formatCode="&quot;$&quot;#,##0.00_);[Red]\(&quot;$&quot;#,##0.00\)">
                  <c:v>201391.01133349331</c:v>
                </c:pt>
                <c:pt idx="10" formatCode="&quot;$&quot;#,##0.00_);[Red]\(&quot;$&quot;#,##0.00\)">
                  <c:v>244739.79433815874</c:v>
                </c:pt>
                <c:pt idx="11" formatCode="&quot;$&quot;#,##0.00_);[Red]\(&quot;$&quot;#,##0.00\)">
                  <c:v>289172.29691794078</c:v>
                </c:pt>
                <c:pt idx="12" formatCode="&quot;$&quot;#,##0.00_);[Red]\(&quot;$&quot;#,##0.00\)">
                  <c:v>334715.61206221738</c:v>
                </c:pt>
                <c:pt idx="13" formatCode="&quot;$&quot;#,##0.00_);[Red]\(&quot;$&quot;#,##0.00\)">
                  <c:v>381397.51008510089</c:v>
                </c:pt>
                <c:pt idx="14" formatCode="&quot;$&quot;#,##0.00_);[Red]\(&quot;$&quot;#,##0.00\)">
                  <c:v>429246.45555855648</c:v>
                </c:pt>
                <c:pt idx="15" formatCode="&quot;$&quot;#,##0.00_);[Red]\(&quot;$&quot;#,##0.00\)">
                  <c:v>478291.62466884847</c:v>
                </c:pt>
                <c:pt idx="16" formatCode="&quot;$&quot;#,##0.00_);[Red]\(&quot;$&quot;#,##0.00\)">
                  <c:v>528562.92300689779</c:v>
                </c:pt>
                <c:pt idx="17" formatCode="&quot;$&quot;#,##0.00_);[Red]\(&quot;$&quot;#,##0.00\)">
                  <c:v>580091.00380339834</c:v>
                </c:pt>
                <c:pt idx="18" formatCode="&quot;$&quot;#,##0.00_);[Red]\(&quot;$&quot;#,##0.00\)">
                  <c:v>632907.28661981132</c:v>
                </c:pt>
                <c:pt idx="19" formatCode="&quot;$&quot;#,##0.00_);[Red]\(&quot;$&quot;#,##0.00\)">
                  <c:v>687043.97650663462</c:v>
                </c:pt>
                <c:pt idx="20" formatCode="&quot;$&quot;#,##0.00_);[Red]\(&quot;$&quot;#,##0.00\)">
                  <c:v>742534.08364062849</c:v>
                </c:pt>
                <c:pt idx="21" formatCode="&quot;$&quot;#,##0.00_);[Red]\(&quot;$&quot;#,##0.00\)">
                  <c:v>799411.44345297222</c:v>
                </c:pt>
                <c:pt idx="22" formatCode="&quot;$&quot;#,##0.00_);[Red]\(&quot;$&quot;#,##0.00\)">
                  <c:v>857710.73726062453</c:v>
                </c:pt>
                <c:pt idx="23" formatCode="&quot;$&quot;#,##0.00_);[Red]\(&quot;$&quot;#,##0.00\)">
                  <c:v>917467.51341346814</c:v>
                </c:pt>
                <c:pt idx="24" formatCode="&quot;$&quot;#,##0.00_);[Red]\(&quot;$&quot;#,##0.00\)">
                  <c:v>978718.20897013287</c:v>
                </c:pt>
                <c:pt idx="25" formatCode="&quot;$&quot;#,##0.00_);[Red]\(&quot;$&quot;#,##0.00\)">
                  <c:v>1041500.1719157142</c:v>
                </c:pt>
                <c:pt idx="26" formatCode="&quot;$&quot;#,##0.00_);[Red]\(&quot;$&quot;#,##0.00\)">
                  <c:v>1105851.6839349351</c:v>
                </c:pt>
                <c:pt idx="27" formatCode="&quot;$&quot;#,##0.00_);[Red]\(&quot;$&quot;#,##0.00\)">
                  <c:v>1171811.9837546365</c:v>
                </c:pt>
                <c:pt idx="28" formatCode="&quot;$&quot;#,##0.00_);[Red]\(&quot;$&quot;#,##0.00\)">
                  <c:v>1239421.2910698303</c:v>
                </c:pt>
                <c:pt idx="29" formatCode="&quot;$&quot;#,##0.00_);[Red]\(&quot;$&quot;#,##0.00\)">
                  <c:v>1308720.8310679041</c:v>
                </c:pt>
                <c:pt idx="30" formatCode="&quot;$&quot;#,##0.00_);[Red]\(&quot;$&quot;#,##0.00\)">
                  <c:v>1379752.8595659297</c:v>
                </c:pt>
                <c:pt idx="31" formatCode="&quot;$&quot;#,##0.00_);[Red]\(&quot;$&quot;#,##0.00\)">
                  <c:v>1452560.688776406</c:v>
                </c:pt>
                <c:pt idx="32" formatCode="&quot;$&quot;#,##0.00_);[Red]\(&quot;$&quot;#,##0.00\)">
                  <c:v>1527188.7137171442</c:v>
                </c:pt>
                <c:pt idx="33" formatCode="&quot;$&quot;#,##0.00_);[Red]\(&quot;$&quot;#,##0.00\)">
                  <c:v>1603682.4392814008</c:v>
                </c:pt>
                <c:pt idx="34" formatCode="&quot;$&quot;#,##0.00_);[Red]\(&quot;$&quot;#,##0.00\)">
                  <c:v>1682088.5079847637</c:v>
                </c:pt>
                <c:pt idx="35" formatCode="&quot;$&quot;#,##0.00_);[Red]\(&quot;$&quot;#,##0.00\)">
                  <c:v>1762454.7284057108</c:v>
                </c:pt>
                <c:pt idx="36" formatCode="&quot;$&quot;#,##0.00_);[Red]\(&quot;$&quot;#,##0.00\)">
                  <c:v>1844830.1043371814</c:v>
                </c:pt>
                <c:pt idx="37" formatCode="&quot;$&quot;#,##0.00_);[Red]\(&quot;$&quot;#,##0.00\)">
                  <c:v>1929264.8646669388</c:v>
                </c:pt>
                <c:pt idx="38" formatCode="&quot;$&quot;#,##0.00_);[Red]\(&quot;$&quot;#,##0.00\)">
                  <c:v>2015810.4940049401</c:v>
                </c:pt>
              </c:numCache>
            </c:numRef>
          </c:val>
          <c:smooth val="0"/>
          <c:extLst>
            <c:ext xmlns:c16="http://schemas.microsoft.com/office/drawing/2014/chart" uri="{C3380CC4-5D6E-409C-BE32-E72D297353CC}">
              <c16:uniqueId val="{00000001-934F-420C-9B66-D7B20766A26E}"/>
            </c:ext>
          </c:extLst>
        </c:ser>
        <c:ser>
          <c:idx val="2"/>
          <c:order val="2"/>
          <c:tx>
            <c:v>Start @ 70</c:v>
          </c:tx>
          <c:spPr>
            <a:ln w="28575" cap="rnd">
              <a:solidFill>
                <a:schemeClr val="accent3"/>
              </a:solidFill>
              <a:round/>
            </a:ln>
            <a:effectLst/>
          </c:spPr>
          <c:marker>
            <c:symbol val="none"/>
          </c:marker>
          <c:cat>
            <c:numRef>
              <c:f>Main!$A$78:$A$116</c:f>
              <c:numCache>
                <c:formatCode>General</c:formatCode>
                <c:ptCount val="39"/>
                <c:pt idx="0">
                  <c:v>62</c:v>
                </c:pt>
                <c:pt idx="1">
                  <c:v>63</c:v>
                </c:pt>
                <c:pt idx="2">
                  <c:v>64</c:v>
                </c:pt>
                <c:pt idx="3">
                  <c:v>65</c:v>
                </c:pt>
                <c:pt idx="4">
                  <c:v>66</c:v>
                </c:pt>
                <c:pt idx="5">
                  <c:v>67</c:v>
                </c:pt>
                <c:pt idx="6">
                  <c:v>68</c:v>
                </c:pt>
                <c:pt idx="7">
                  <c:v>69</c:v>
                </c:pt>
                <c:pt idx="8">
                  <c:v>70</c:v>
                </c:pt>
                <c:pt idx="9">
                  <c:v>71</c:v>
                </c:pt>
                <c:pt idx="10">
                  <c:v>72</c:v>
                </c:pt>
                <c:pt idx="11">
                  <c:v>73</c:v>
                </c:pt>
                <c:pt idx="12">
                  <c:v>74</c:v>
                </c:pt>
                <c:pt idx="13">
                  <c:v>75</c:v>
                </c:pt>
                <c:pt idx="14">
                  <c:v>76</c:v>
                </c:pt>
                <c:pt idx="15">
                  <c:v>77</c:v>
                </c:pt>
                <c:pt idx="16">
                  <c:v>78</c:v>
                </c:pt>
                <c:pt idx="17">
                  <c:v>79</c:v>
                </c:pt>
                <c:pt idx="18">
                  <c:v>80</c:v>
                </c:pt>
                <c:pt idx="19">
                  <c:v>81</c:v>
                </c:pt>
                <c:pt idx="20">
                  <c:v>82</c:v>
                </c:pt>
                <c:pt idx="21">
                  <c:v>83</c:v>
                </c:pt>
                <c:pt idx="22">
                  <c:v>84</c:v>
                </c:pt>
                <c:pt idx="23">
                  <c:v>85</c:v>
                </c:pt>
                <c:pt idx="24">
                  <c:v>86</c:v>
                </c:pt>
                <c:pt idx="25">
                  <c:v>87</c:v>
                </c:pt>
                <c:pt idx="26">
                  <c:v>88</c:v>
                </c:pt>
                <c:pt idx="27">
                  <c:v>89</c:v>
                </c:pt>
                <c:pt idx="28">
                  <c:v>90</c:v>
                </c:pt>
                <c:pt idx="29">
                  <c:v>91</c:v>
                </c:pt>
                <c:pt idx="30">
                  <c:v>92</c:v>
                </c:pt>
                <c:pt idx="31">
                  <c:v>93</c:v>
                </c:pt>
                <c:pt idx="32">
                  <c:v>94</c:v>
                </c:pt>
                <c:pt idx="33">
                  <c:v>95</c:v>
                </c:pt>
                <c:pt idx="34">
                  <c:v>96</c:v>
                </c:pt>
                <c:pt idx="35">
                  <c:v>97</c:v>
                </c:pt>
                <c:pt idx="36">
                  <c:v>98</c:v>
                </c:pt>
                <c:pt idx="37">
                  <c:v>99</c:v>
                </c:pt>
                <c:pt idx="38">
                  <c:v>100</c:v>
                </c:pt>
              </c:numCache>
            </c:numRef>
          </c:cat>
          <c:val>
            <c:numRef>
              <c:f>Main!$G$78:$G$116</c:f>
              <c:numCache>
                <c:formatCode>General</c:formatCode>
                <c:ptCount val="39"/>
                <c:pt idx="0">
                  <c:v>0</c:v>
                </c:pt>
                <c:pt idx="1">
                  <c:v>0</c:v>
                </c:pt>
                <c:pt idx="2">
                  <c:v>0</c:v>
                </c:pt>
                <c:pt idx="3">
                  <c:v>0</c:v>
                </c:pt>
                <c:pt idx="4">
                  <c:v>0</c:v>
                </c:pt>
                <c:pt idx="5">
                  <c:v>0</c:v>
                </c:pt>
                <c:pt idx="6">
                  <c:v>0</c:v>
                </c:pt>
                <c:pt idx="7">
                  <c:v>0</c:v>
                </c:pt>
                <c:pt idx="8" formatCode="&quot;$&quot;#,##0.00_);[Red]\(&quot;$&quot;#,##0.00\)">
                  <c:v>51162.394694382063</c:v>
                </c:pt>
                <c:pt idx="9" formatCode="&quot;$&quot;#,##0.00_);[Red]\(&quot;$&quot;#,##0.00\)">
                  <c:v>103603.84925612368</c:v>
                </c:pt>
                <c:pt idx="10" formatCode="&quot;$&quot;#,##0.00_);[Red]\(&quot;$&quot;#,##0.00\)">
                  <c:v>157356.3401819088</c:v>
                </c:pt>
                <c:pt idx="11" formatCode="&quot;$&quot;#,##0.00_);[Red]\(&quot;$&quot;#,##0.00\)">
                  <c:v>212452.64338083856</c:v>
                </c:pt>
                <c:pt idx="12" formatCode="&quot;$&quot;#,##0.00_);[Red]\(&quot;$&quot;#,##0.00\)">
                  <c:v>268926.35415974155</c:v>
                </c:pt>
                <c:pt idx="13" formatCode="&quot;$&quot;#,##0.00_);[Red]\(&quot;$&quot;#,##0.00\)">
                  <c:v>326811.9077081171</c:v>
                </c:pt>
                <c:pt idx="14" formatCode="&quot;$&quot;#,##0.00_);[Red]\(&quot;$&quot;#,##0.00\)">
                  <c:v>386144.60009520204</c:v>
                </c:pt>
                <c:pt idx="15" formatCode="&quot;$&quot;#,##0.00_);[Red]\(&quot;$&quot;#,##0.00\)">
                  <c:v>446960.60979196412</c:v>
                </c:pt>
                <c:pt idx="16" formatCode="&quot;$&quot;#,##0.00_);[Red]\(&quot;$&quot;#,##0.00\)">
                  <c:v>509297.01973114524</c:v>
                </c:pt>
                <c:pt idx="17" formatCode="&quot;$&quot;#,##0.00_);[Red]\(&quot;$&quot;#,##0.00\)">
                  <c:v>573191.83991880587</c:v>
                </c:pt>
                <c:pt idx="18" formatCode="&quot;$&quot;#,##0.00_);[Red]\(&quot;$&quot;#,##0.00\)">
                  <c:v>638684.030611158</c:v>
                </c:pt>
                <c:pt idx="19" formatCode="&quot;$&quot;#,##0.00_);[Red]\(&quot;$&quot;#,##0.00\)">
                  <c:v>705813.526070819</c:v>
                </c:pt>
                <c:pt idx="20" formatCode="&quot;$&quot;#,##0.00_);[Red]\(&quot;$&quot;#,##0.00\)">
                  <c:v>774621.25891697151</c:v>
                </c:pt>
                <c:pt idx="21" formatCode="&quot;$&quot;#,##0.00_);[Red]\(&quot;$&quot;#,##0.00\)">
                  <c:v>845149.18508427776</c:v>
                </c:pt>
                <c:pt idx="22" formatCode="&quot;$&quot;#,##0.00_);[Red]\(&quot;$&quot;#,##0.00\)">
                  <c:v>917440.30940576666</c:v>
                </c:pt>
                <c:pt idx="23" formatCode="&quot;$&quot;#,##0.00_);[Red]\(&quot;$&quot;#,##0.00\)">
                  <c:v>991538.71183529275</c:v>
                </c:pt>
                <c:pt idx="24" formatCode="&quot;$&quot;#,##0.00_);[Red]\(&quot;$&quot;#,##0.00\)">
                  <c:v>1067489.5743255571</c:v>
                </c:pt>
                <c:pt idx="25" formatCode="&quot;$&quot;#,##0.00_);[Red]\(&quot;$&quot;#,##0.00\)">
                  <c:v>1145339.208378078</c:v>
                </c:pt>
                <c:pt idx="26" formatCode="&quot;$&quot;#,##0.00_);[Red]\(&quot;$&quot;#,##0.00\)">
                  <c:v>1225135.0832819119</c:v>
                </c:pt>
                <c:pt idx="27" formatCode="&quot;$&quot;#,##0.00_);[Red]\(&quot;$&quot;#,##0.00\)">
                  <c:v>1306925.8550583418</c:v>
                </c:pt>
                <c:pt idx="28" formatCode="&quot;$&quot;#,##0.00_);[Red]\(&quot;$&quot;#,##0.00\)">
                  <c:v>1390761.3961291823</c:v>
                </c:pt>
                <c:pt idx="29" formatCode="&quot;$&quot;#,##0.00_);[Red]\(&quot;$&quot;#,##0.00\)">
                  <c:v>1476692.8257267938</c:v>
                </c:pt>
                <c:pt idx="30" formatCode="&quot;$&quot;#,##0.00_);[Red]\(&quot;$&quot;#,##0.00\)">
                  <c:v>1564772.5410643455</c:v>
                </c:pt>
                <c:pt idx="31" formatCode="&quot;$&quot;#,##0.00_);[Red]\(&quot;$&quot;#,##0.00\)">
                  <c:v>1655054.2492853361</c:v>
                </c:pt>
                <c:pt idx="32" formatCode="&quot;$&quot;#,##0.00_);[Red]\(&quot;$&quot;#,##0.00\)">
                  <c:v>1747593.0002118514</c:v>
                </c:pt>
                <c:pt idx="33" formatCode="&quot;$&quot;#,##0.00_);[Red]\(&quot;$&quot;#,##0.00\)">
                  <c:v>1842445.2199115297</c:v>
                </c:pt>
                <c:pt idx="34" formatCode="&quot;$&quot;#,##0.00_);[Red]\(&quot;$&quot;#,##0.00\)">
                  <c:v>1939668.7451036999</c:v>
                </c:pt>
                <c:pt idx="35" formatCode="&quot;$&quot;#,##0.00_);[Red]\(&quot;$&quot;#,##0.00\)">
                  <c:v>2039322.8584256743</c:v>
                </c:pt>
                <c:pt idx="36" formatCode="&quot;$&quot;#,##0.00_);[Red]\(&quot;$&quot;#,##0.00\)">
                  <c:v>2141468.3245806978</c:v>
                </c:pt>
                <c:pt idx="37" formatCode="&quot;$&quot;#,##0.00_);[Red]\(&quot;$&quot;#,##0.00\)">
                  <c:v>2246167.4273895971</c:v>
                </c:pt>
                <c:pt idx="38" formatCode="&quot;$&quot;#,##0.00_);[Red]\(&quot;$&quot;#,##0.00\)">
                  <c:v>2353484.007768719</c:v>
                </c:pt>
              </c:numCache>
            </c:numRef>
          </c:val>
          <c:smooth val="0"/>
          <c:extLst>
            <c:ext xmlns:c16="http://schemas.microsoft.com/office/drawing/2014/chart" uri="{C3380CC4-5D6E-409C-BE32-E72D297353CC}">
              <c16:uniqueId val="{00000002-934F-420C-9B66-D7B20766A26E}"/>
            </c:ext>
          </c:extLst>
        </c:ser>
        <c:dLbls>
          <c:showLegendKey val="0"/>
          <c:showVal val="0"/>
          <c:showCatName val="0"/>
          <c:showSerName val="0"/>
          <c:showPercent val="0"/>
          <c:showBubbleSize val="0"/>
        </c:dLbls>
        <c:smooth val="0"/>
        <c:axId val="919402608"/>
        <c:axId val="919416048"/>
      </c:lineChart>
      <c:catAx>
        <c:axId val="919402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416048"/>
        <c:crosses val="autoZero"/>
        <c:auto val="1"/>
        <c:lblAlgn val="ctr"/>
        <c:lblOffset val="100"/>
        <c:noMultiLvlLbl val="0"/>
      </c:catAx>
      <c:valAx>
        <c:axId val="919416048"/>
        <c:scaling>
          <c:orientation val="minMax"/>
          <c:max val="2000000"/>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4026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Main!$L$118</c:f>
          <c:strCache>
            <c:ptCount val="1"/>
            <c:pt idx="0">
              <c:v>Total payout with yearly cost of delaying, Cola of 2.5%  Rate of Return = 0 %, Breakeven Age 85</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Take @ 62</c:v>
          </c:tx>
          <c:spPr>
            <a:ln w="28575" cap="rnd">
              <a:solidFill>
                <a:schemeClr val="accent1"/>
              </a:solidFill>
              <a:round/>
            </a:ln>
            <a:effectLst/>
          </c:spPr>
          <c:marker>
            <c:symbol val="none"/>
          </c:marker>
          <c:cat>
            <c:numRef>
              <c:f>Main!$A$123:$A$161</c:f>
              <c:numCache>
                <c:formatCode>General</c:formatCode>
                <c:ptCount val="39"/>
                <c:pt idx="0">
                  <c:v>62</c:v>
                </c:pt>
                <c:pt idx="1">
                  <c:v>63</c:v>
                </c:pt>
                <c:pt idx="2">
                  <c:v>64</c:v>
                </c:pt>
                <c:pt idx="3">
                  <c:v>65</c:v>
                </c:pt>
                <c:pt idx="4">
                  <c:v>66</c:v>
                </c:pt>
                <c:pt idx="5">
                  <c:v>67</c:v>
                </c:pt>
                <c:pt idx="6">
                  <c:v>68</c:v>
                </c:pt>
                <c:pt idx="7">
                  <c:v>69</c:v>
                </c:pt>
                <c:pt idx="8">
                  <c:v>70</c:v>
                </c:pt>
                <c:pt idx="9">
                  <c:v>71</c:v>
                </c:pt>
                <c:pt idx="10">
                  <c:v>72</c:v>
                </c:pt>
                <c:pt idx="11">
                  <c:v>73</c:v>
                </c:pt>
                <c:pt idx="12">
                  <c:v>74</c:v>
                </c:pt>
                <c:pt idx="13">
                  <c:v>75</c:v>
                </c:pt>
                <c:pt idx="14">
                  <c:v>76</c:v>
                </c:pt>
                <c:pt idx="15">
                  <c:v>77</c:v>
                </c:pt>
                <c:pt idx="16">
                  <c:v>78</c:v>
                </c:pt>
                <c:pt idx="17">
                  <c:v>79</c:v>
                </c:pt>
                <c:pt idx="18">
                  <c:v>80</c:v>
                </c:pt>
                <c:pt idx="19">
                  <c:v>81</c:v>
                </c:pt>
                <c:pt idx="20">
                  <c:v>82</c:v>
                </c:pt>
                <c:pt idx="21">
                  <c:v>83</c:v>
                </c:pt>
                <c:pt idx="22">
                  <c:v>84</c:v>
                </c:pt>
                <c:pt idx="23">
                  <c:v>85</c:v>
                </c:pt>
                <c:pt idx="24">
                  <c:v>86</c:v>
                </c:pt>
                <c:pt idx="25">
                  <c:v>87</c:v>
                </c:pt>
                <c:pt idx="26">
                  <c:v>88</c:v>
                </c:pt>
                <c:pt idx="27">
                  <c:v>89</c:v>
                </c:pt>
                <c:pt idx="28">
                  <c:v>90</c:v>
                </c:pt>
                <c:pt idx="29">
                  <c:v>91</c:v>
                </c:pt>
                <c:pt idx="30">
                  <c:v>92</c:v>
                </c:pt>
                <c:pt idx="31">
                  <c:v>93</c:v>
                </c:pt>
                <c:pt idx="32">
                  <c:v>94</c:v>
                </c:pt>
                <c:pt idx="33">
                  <c:v>95</c:v>
                </c:pt>
                <c:pt idx="34">
                  <c:v>96</c:v>
                </c:pt>
                <c:pt idx="35">
                  <c:v>97</c:v>
                </c:pt>
                <c:pt idx="36">
                  <c:v>98</c:v>
                </c:pt>
                <c:pt idx="37">
                  <c:v>99</c:v>
                </c:pt>
                <c:pt idx="38">
                  <c:v>100</c:v>
                </c:pt>
              </c:numCache>
            </c:numRef>
          </c:cat>
          <c:val>
            <c:numRef>
              <c:f>Main!$C$123:$C$161</c:f>
              <c:numCache>
                <c:formatCode>"$"#,##0.00_);[Red]\("$"#,##0.00\)</c:formatCode>
                <c:ptCount val="39"/>
                <c:pt idx="0">
                  <c:v>23704.799999999999</c:v>
                </c:pt>
                <c:pt idx="1">
                  <c:v>48002.219999999994</c:v>
                </c:pt>
                <c:pt idx="2">
                  <c:v>72907.075499999977</c:v>
                </c:pt>
                <c:pt idx="3">
                  <c:v>98434.552387499964</c:v>
                </c:pt>
                <c:pt idx="4">
                  <c:v>124600.21619718744</c:v>
                </c:pt>
                <c:pt idx="5">
                  <c:v>151420.02160211711</c:v>
                </c:pt>
                <c:pt idx="6">
                  <c:v>178910.32214217001</c:v>
                </c:pt>
                <c:pt idx="7">
                  <c:v>207087.88019572425</c:v>
                </c:pt>
                <c:pt idx="8">
                  <c:v>235969.87720061734</c:v>
                </c:pt>
                <c:pt idx="9">
                  <c:v>265573.92413063277</c:v>
                </c:pt>
                <c:pt idx="10">
                  <c:v>295918.07223389857</c:v>
                </c:pt>
                <c:pt idx="11">
                  <c:v>327020.82403974602</c:v>
                </c:pt>
                <c:pt idx="12">
                  <c:v>358901.14464073966</c:v>
                </c:pt>
                <c:pt idx="13">
                  <c:v>391578.47325675812</c:v>
                </c:pt>
                <c:pt idx="14">
                  <c:v>425072.73508817703</c:v>
                </c:pt>
                <c:pt idx="15">
                  <c:v>459404.35346538143</c:v>
                </c:pt>
                <c:pt idx="16">
                  <c:v>494594.26230201591</c:v>
                </c:pt>
                <c:pt idx="17">
                  <c:v>530663.91885956621</c:v>
                </c:pt>
                <c:pt idx="18">
                  <c:v>567635.31683105533</c:v>
                </c:pt>
                <c:pt idx="19">
                  <c:v>605530.99975183164</c:v>
                </c:pt>
                <c:pt idx="20">
                  <c:v>644374.07474562735</c:v>
                </c:pt>
                <c:pt idx="21">
                  <c:v>684188.22661426803</c:v>
                </c:pt>
                <c:pt idx="22">
                  <c:v>724997.73227962467</c:v>
                </c:pt>
                <c:pt idx="23">
                  <c:v>766827.47558661527</c:v>
                </c:pt>
                <c:pt idx="24">
                  <c:v>809702.96247628063</c:v>
                </c:pt>
                <c:pt idx="25">
                  <c:v>853650.33653818758</c:v>
                </c:pt>
                <c:pt idx="26">
                  <c:v>898696.39495164214</c:v>
                </c:pt>
                <c:pt idx="27">
                  <c:v>944868.60482543311</c:v>
                </c:pt>
                <c:pt idx="28">
                  <c:v>992195.11994606885</c:v>
                </c:pt>
                <c:pt idx="29">
                  <c:v>1040704.7979447205</c:v>
                </c:pt>
                <c:pt idx="30">
                  <c:v>1090427.2178933383</c:v>
                </c:pt>
                <c:pt idx="31">
                  <c:v>1141392.6983406716</c:v>
                </c:pt>
                <c:pt idx="32">
                  <c:v>1193632.3157991883</c:v>
                </c:pt>
                <c:pt idx="33">
                  <c:v>1247177.923694168</c:v>
                </c:pt>
                <c:pt idx="34">
                  <c:v>1302062.171786522</c:v>
                </c:pt>
                <c:pt idx="35">
                  <c:v>1358318.5260811851</c:v>
                </c:pt>
                <c:pt idx="36">
                  <c:v>1415981.2892332147</c:v>
                </c:pt>
                <c:pt idx="37">
                  <c:v>1475085.621464045</c:v>
                </c:pt>
                <c:pt idx="38">
                  <c:v>1535667.562000646</c:v>
                </c:pt>
              </c:numCache>
            </c:numRef>
          </c:val>
          <c:smooth val="0"/>
          <c:extLst>
            <c:ext xmlns:c16="http://schemas.microsoft.com/office/drawing/2014/chart" uri="{C3380CC4-5D6E-409C-BE32-E72D297353CC}">
              <c16:uniqueId val="{00000000-1CF5-4DA4-947B-995ECB70F619}"/>
            </c:ext>
          </c:extLst>
        </c:ser>
        <c:ser>
          <c:idx val="1"/>
          <c:order val="1"/>
          <c:tx>
            <c:v>Take @ 67</c:v>
          </c:tx>
          <c:spPr>
            <a:ln w="28575" cap="rnd">
              <a:solidFill>
                <a:schemeClr val="accent2"/>
              </a:solidFill>
              <a:round/>
            </a:ln>
            <a:effectLst/>
          </c:spPr>
          <c:marker>
            <c:symbol val="none"/>
          </c:marker>
          <c:cat>
            <c:numRef>
              <c:f>Main!$A$123:$A$161</c:f>
              <c:numCache>
                <c:formatCode>General</c:formatCode>
                <c:ptCount val="39"/>
                <c:pt idx="0">
                  <c:v>62</c:v>
                </c:pt>
                <c:pt idx="1">
                  <c:v>63</c:v>
                </c:pt>
                <c:pt idx="2">
                  <c:v>64</c:v>
                </c:pt>
                <c:pt idx="3">
                  <c:v>65</c:v>
                </c:pt>
                <c:pt idx="4">
                  <c:v>66</c:v>
                </c:pt>
                <c:pt idx="5">
                  <c:v>67</c:v>
                </c:pt>
                <c:pt idx="6">
                  <c:v>68</c:v>
                </c:pt>
                <c:pt idx="7">
                  <c:v>69</c:v>
                </c:pt>
                <c:pt idx="8">
                  <c:v>70</c:v>
                </c:pt>
                <c:pt idx="9">
                  <c:v>71</c:v>
                </c:pt>
                <c:pt idx="10">
                  <c:v>72</c:v>
                </c:pt>
                <c:pt idx="11">
                  <c:v>73</c:v>
                </c:pt>
                <c:pt idx="12">
                  <c:v>74</c:v>
                </c:pt>
                <c:pt idx="13">
                  <c:v>75</c:v>
                </c:pt>
                <c:pt idx="14">
                  <c:v>76</c:v>
                </c:pt>
                <c:pt idx="15">
                  <c:v>77</c:v>
                </c:pt>
                <c:pt idx="16">
                  <c:v>78</c:v>
                </c:pt>
                <c:pt idx="17">
                  <c:v>79</c:v>
                </c:pt>
                <c:pt idx="18">
                  <c:v>80</c:v>
                </c:pt>
                <c:pt idx="19">
                  <c:v>81</c:v>
                </c:pt>
                <c:pt idx="20">
                  <c:v>82</c:v>
                </c:pt>
                <c:pt idx="21">
                  <c:v>83</c:v>
                </c:pt>
                <c:pt idx="22">
                  <c:v>84</c:v>
                </c:pt>
                <c:pt idx="23">
                  <c:v>85</c:v>
                </c:pt>
                <c:pt idx="24">
                  <c:v>86</c:v>
                </c:pt>
                <c:pt idx="25">
                  <c:v>87</c:v>
                </c:pt>
                <c:pt idx="26">
                  <c:v>88</c:v>
                </c:pt>
                <c:pt idx="27">
                  <c:v>89</c:v>
                </c:pt>
                <c:pt idx="28">
                  <c:v>90</c:v>
                </c:pt>
                <c:pt idx="29">
                  <c:v>91</c:v>
                </c:pt>
                <c:pt idx="30">
                  <c:v>92</c:v>
                </c:pt>
                <c:pt idx="31">
                  <c:v>93</c:v>
                </c:pt>
                <c:pt idx="32">
                  <c:v>94</c:v>
                </c:pt>
                <c:pt idx="33">
                  <c:v>95</c:v>
                </c:pt>
                <c:pt idx="34">
                  <c:v>96</c:v>
                </c:pt>
                <c:pt idx="35">
                  <c:v>97</c:v>
                </c:pt>
                <c:pt idx="36">
                  <c:v>98</c:v>
                </c:pt>
                <c:pt idx="37">
                  <c:v>99</c:v>
                </c:pt>
                <c:pt idx="38">
                  <c:v>100</c:v>
                </c:pt>
              </c:numCache>
            </c:numRef>
          </c:cat>
          <c:val>
            <c:numRef>
              <c:f>Main!$D$123:$D$161</c:f>
              <c:numCache>
                <c:formatCode>"$"#,##0.00_);[Red]\("$"#,##0.00\)</c:formatCode>
                <c:ptCount val="39"/>
                <c:pt idx="0">
                  <c:v>-23704.799999999999</c:v>
                </c:pt>
                <c:pt idx="1">
                  <c:v>-48002.219999999994</c:v>
                </c:pt>
                <c:pt idx="2">
                  <c:v>-72907.075499999977</c:v>
                </c:pt>
                <c:pt idx="3">
                  <c:v>-98434.552387499964</c:v>
                </c:pt>
                <c:pt idx="4">
                  <c:v>-124600.21619718744</c:v>
                </c:pt>
                <c:pt idx="5">
                  <c:v>-86286.208475859341</c:v>
                </c:pt>
                <c:pt idx="6">
                  <c:v>-47014.350561498031</c:v>
                </c:pt>
                <c:pt idx="7">
                  <c:v>-6760.6961992776924</c:v>
                </c:pt>
                <c:pt idx="8">
                  <c:v>34499.299521998153</c:v>
                </c:pt>
                <c:pt idx="9">
                  <c:v>76790.795136305882</c:v>
                </c:pt>
                <c:pt idx="10">
                  <c:v>120139.57814097131</c:v>
                </c:pt>
                <c:pt idx="11">
                  <c:v>164572.08072075335</c:v>
                </c:pt>
                <c:pt idx="12">
                  <c:v>210115.39586502995</c:v>
                </c:pt>
                <c:pt idx="13">
                  <c:v>256797.29388791346</c:v>
                </c:pt>
                <c:pt idx="14">
                  <c:v>304646.23936136905</c:v>
                </c:pt>
                <c:pt idx="15">
                  <c:v>353691.40847166104</c:v>
                </c:pt>
                <c:pt idx="16">
                  <c:v>403962.7068097103</c:v>
                </c:pt>
                <c:pt idx="17">
                  <c:v>455490.7876062108</c:v>
                </c:pt>
                <c:pt idx="18">
                  <c:v>508307.07042262377</c:v>
                </c:pt>
                <c:pt idx="19">
                  <c:v>562443.76030944707</c:v>
                </c:pt>
                <c:pt idx="20">
                  <c:v>617933.86744344095</c:v>
                </c:pt>
                <c:pt idx="21">
                  <c:v>674811.22725578467</c:v>
                </c:pt>
                <c:pt idx="22">
                  <c:v>733110.52106343699</c:v>
                </c:pt>
                <c:pt idx="23">
                  <c:v>792867.2972162806</c:v>
                </c:pt>
                <c:pt idx="24">
                  <c:v>854117.99277294532</c:v>
                </c:pt>
                <c:pt idx="25">
                  <c:v>916899.95571852662</c:v>
                </c:pt>
                <c:pt idx="26">
                  <c:v>981251.46773774747</c:v>
                </c:pt>
                <c:pt idx="27">
                  <c:v>1047211.7675574488</c:v>
                </c:pt>
                <c:pt idx="28">
                  <c:v>1114821.0748726428</c:v>
                </c:pt>
                <c:pt idx="29">
                  <c:v>1184120.6148707166</c:v>
                </c:pt>
                <c:pt idx="30">
                  <c:v>1255152.6433687422</c:v>
                </c:pt>
                <c:pt idx="31">
                  <c:v>1327960.4725792184</c:v>
                </c:pt>
                <c:pt idx="32">
                  <c:v>1402588.4975199567</c:v>
                </c:pt>
                <c:pt idx="33">
                  <c:v>1479082.2230842132</c:v>
                </c:pt>
                <c:pt idx="34">
                  <c:v>1557488.2917875762</c:v>
                </c:pt>
                <c:pt idx="35">
                  <c:v>1637854.5122085232</c:v>
                </c:pt>
                <c:pt idx="36">
                  <c:v>1720229.8881399939</c:v>
                </c:pt>
                <c:pt idx="37">
                  <c:v>1804664.6484697512</c:v>
                </c:pt>
                <c:pt idx="38">
                  <c:v>1891210.2778077526</c:v>
                </c:pt>
              </c:numCache>
            </c:numRef>
          </c:val>
          <c:smooth val="0"/>
          <c:extLst>
            <c:ext xmlns:c16="http://schemas.microsoft.com/office/drawing/2014/chart" uri="{C3380CC4-5D6E-409C-BE32-E72D297353CC}">
              <c16:uniqueId val="{00000001-1CF5-4DA4-947B-995ECB70F619}"/>
            </c:ext>
          </c:extLst>
        </c:ser>
        <c:ser>
          <c:idx val="2"/>
          <c:order val="2"/>
          <c:tx>
            <c:v>take @70</c:v>
          </c:tx>
          <c:spPr>
            <a:ln w="28575" cap="rnd">
              <a:solidFill>
                <a:schemeClr val="accent3"/>
              </a:solidFill>
              <a:round/>
            </a:ln>
            <a:effectLst/>
          </c:spPr>
          <c:marker>
            <c:symbol val="none"/>
          </c:marker>
          <c:cat>
            <c:numRef>
              <c:f>Main!$A$123:$A$161</c:f>
              <c:numCache>
                <c:formatCode>General</c:formatCode>
                <c:ptCount val="39"/>
                <c:pt idx="0">
                  <c:v>62</c:v>
                </c:pt>
                <c:pt idx="1">
                  <c:v>63</c:v>
                </c:pt>
                <c:pt idx="2">
                  <c:v>64</c:v>
                </c:pt>
                <c:pt idx="3">
                  <c:v>65</c:v>
                </c:pt>
                <c:pt idx="4">
                  <c:v>66</c:v>
                </c:pt>
                <c:pt idx="5">
                  <c:v>67</c:v>
                </c:pt>
                <c:pt idx="6">
                  <c:v>68</c:v>
                </c:pt>
                <c:pt idx="7">
                  <c:v>69</c:v>
                </c:pt>
                <c:pt idx="8">
                  <c:v>70</c:v>
                </c:pt>
                <c:pt idx="9">
                  <c:v>71</c:v>
                </c:pt>
                <c:pt idx="10">
                  <c:v>72</c:v>
                </c:pt>
                <c:pt idx="11">
                  <c:v>73</c:v>
                </c:pt>
                <c:pt idx="12">
                  <c:v>74</c:v>
                </c:pt>
                <c:pt idx="13">
                  <c:v>75</c:v>
                </c:pt>
                <c:pt idx="14">
                  <c:v>76</c:v>
                </c:pt>
                <c:pt idx="15">
                  <c:v>77</c:v>
                </c:pt>
                <c:pt idx="16">
                  <c:v>78</c:v>
                </c:pt>
                <c:pt idx="17">
                  <c:v>79</c:v>
                </c:pt>
                <c:pt idx="18">
                  <c:v>80</c:v>
                </c:pt>
                <c:pt idx="19">
                  <c:v>81</c:v>
                </c:pt>
                <c:pt idx="20">
                  <c:v>82</c:v>
                </c:pt>
                <c:pt idx="21">
                  <c:v>83</c:v>
                </c:pt>
                <c:pt idx="22">
                  <c:v>84</c:v>
                </c:pt>
                <c:pt idx="23">
                  <c:v>85</c:v>
                </c:pt>
                <c:pt idx="24">
                  <c:v>86</c:v>
                </c:pt>
                <c:pt idx="25">
                  <c:v>87</c:v>
                </c:pt>
                <c:pt idx="26">
                  <c:v>88</c:v>
                </c:pt>
                <c:pt idx="27">
                  <c:v>89</c:v>
                </c:pt>
                <c:pt idx="28">
                  <c:v>90</c:v>
                </c:pt>
                <c:pt idx="29">
                  <c:v>91</c:v>
                </c:pt>
                <c:pt idx="30">
                  <c:v>92</c:v>
                </c:pt>
                <c:pt idx="31">
                  <c:v>93</c:v>
                </c:pt>
                <c:pt idx="32">
                  <c:v>94</c:v>
                </c:pt>
                <c:pt idx="33">
                  <c:v>95</c:v>
                </c:pt>
                <c:pt idx="34">
                  <c:v>96</c:v>
                </c:pt>
                <c:pt idx="35">
                  <c:v>97</c:v>
                </c:pt>
                <c:pt idx="36">
                  <c:v>98</c:v>
                </c:pt>
                <c:pt idx="37">
                  <c:v>99</c:v>
                </c:pt>
                <c:pt idx="38">
                  <c:v>100</c:v>
                </c:pt>
              </c:numCache>
            </c:numRef>
          </c:cat>
          <c:val>
            <c:numRef>
              <c:f>Main!$E$123:$E$161</c:f>
              <c:numCache>
                <c:formatCode>"$"#,##0.00_);[Red]\("$"#,##0.00\)</c:formatCode>
                <c:ptCount val="39"/>
                <c:pt idx="0">
                  <c:v>-23704.799999999999</c:v>
                </c:pt>
                <c:pt idx="1">
                  <c:v>-48002.219999999994</c:v>
                </c:pt>
                <c:pt idx="2">
                  <c:v>-72907.075499999977</c:v>
                </c:pt>
                <c:pt idx="3">
                  <c:v>-98434.552387499964</c:v>
                </c:pt>
                <c:pt idx="4">
                  <c:v>-124600.21619718744</c:v>
                </c:pt>
                <c:pt idx="5">
                  <c:v>-151420.02160211711</c:v>
                </c:pt>
                <c:pt idx="6">
                  <c:v>-178910.32214217001</c:v>
                </c:pt>
                <c:pt idx="7">
                  <c:v>-207087.88019572425</c:v>
                </c:pt>
                <c:pt idx="8">
                  <c:v>-155925.48550134219</c:v>
                </c:pt>
                <c:pt idx="9">
                  <c:v>-103484.03093960058</c:v>
                </c:pt>
                <c:pt idx="10">
                  <c:v>-49731.540013815436</c:v>
                </c:pt>
                <c:pt idx="11">
                  <c:v>5364.7631851143233</c:v>
                </c:pt>
                <c:pt idx="12">
                  <c:v>61838.473964017321</c:v>
                </c:pt>
                <c:pt idx="13">
                  <c:v>119724.02751239289</c:v>
                </c:pt>
                <c:pt idx="14">
                  <c:v>179056.71989947784</c:v>
                </c:pt>
                <c:pt idx="15">
                  <c:v>239872.72959623992</c:v>
                </c:pt>
                <c:pt idx="16">
                  <c:v>302209.13953542104</c:v>
                </c:pt>
                <c:pt idx="17">
                  <c:v>366103.95972308167</c:v>
                </c:pt>
                <c:pt idx="18">
                  <c:v>431596.1504154338</c:v>
                </c:pt>
                <c:pt idx="19">
                  <c:v>498725.64587509475</c:v>
                </c:pt>
                <c:pt idx="20">
                  <c:v>567533.37872124719</c:v>
                </c:pt>
                <c:pt idx="21">
                  <c:v>638061.30488855345</c:v>
                </c:pt>
                <c:pt idx="22">
                  <c:v>710352.42921004235</c:v>
                </c:pt>
                <c:pt idx="23">
                  <c:v>784450.83163956844</c:v>
                </c:pt>
                <c:pt idx="24">
                  <c:v>860401.69412983267</c:v>
                </c:pt>
                <c:pt idx="25">
                  <c:v>938251.32818235352</c:v>
                </c:pt>
                <c:pt idx="26">
                  <c:v>1018047.2030861874</c:v>
                </c:pt>
                <c:pt idx="27">
                  <c:v>1099837.974862617</c:v>
                </c:pt>
                <c:pt idx="28">
                  <c:v>1183673.5159334575</c:v>
                </c:pt>
                <c:pt idx="29">
                  <c:v>1269604.9455310691</c:v>
                </c:pt>
                <c:pt idx="30">
                  <c:v>1357684.6608686207</c:v>
                </c:pt>
                <c:pt idx="31">
                  <c:v>1447966.3690896113</c:v>
                </c:pt>
                <c:pt idx="32">
                  <c:v>1540505.1200161267</c:v>
                </c:pt>
                <c:pt idx="33">
                  <c:v>1635357.3397158049</c:v>
                </c:pt>
                <c:pt idx="34">
                  <c:v>1732580.8649079751</c:v>
                </c:pt>
                <c:pt idx="35">
                  <c:v>1832234.9782299495</c:v>
                </c:pt>
                <c:pt idx="36">
                  <c:v>1934380.4443849733</c:v>
                </c:pt>
                <c:pt idx="37">
                  <c:v>2039079.5471938725</c:v>
                </c:pt>
                <c:pt idx="38">
                  <c:v>2146396.1275729942</c:v>
                </c:pt>
              </c:numCache>
            </c:numRef>
          </c:val>
          <c:smooth val="0"/>
          <c:extLst>
            <c:ext xmlns:c16="http://schemas.microsoft.com/office/drawing/2014/chart" uri="{C3380CC4-5D6E-409C-BE32-E72D297353CC}">
              <c16:uniqueId val="{00000002-1CF5-4DA4-947B-995ECB70F619}"/>
            </c:ext>
          </c:extLst>
        </c:ser>
        <c:dLbls>
          <c:showLegendKey val="0"/>
          <c:showVal val="0"/>
          <c:showCatName val="0"/>
          <c:showSerName val="0"/>
          <c:showPercent val="0"/>
          <c:showBubbleSize val="0"/>
        </c:dLbls>
        <c:smooth val="0"/>
        <c:axId val="919429488"/>
        <c:axId val="919424208"/>
      </c:lineChart>
      <c:catAx>
        <c:axId val="919429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424208"/>
        <c:crosses val="autoZero"/>
        <c:auto val="1"/>
        <c:lblAlgn val="ctr"/>
        <c:lblOffset val="100"/>
        <c:noMultiLvlLbl val="0"/>
      </c:catAx>
      <c:valAx>
        <c:axId val="9194242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429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Frank</a:t>
            </a:r>
            <a:r>
              <a:rPr lang="en-US" baseline="0"/>
              <a:t> and Bill pass on at 84</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614884062725864"/>
          <c:y val="0.1636894386950975"/>
          <c:w val="0.79056984895192195"/>
          <c:h val="0.64492582723751224"/>
        </c:manualLayout>
      </c:layout>
      <c:lineChart>
        <c:grouping val="standard"/>
        <c:varyColors val="0"/>
        <c:ser>
          <c:idx val="0"/>
          <c:order val="0"/>
          <c:tx>
            <c:v>Frank</c:v>
          </c:tx>
          <c:spPr>
            <a:ln w="28575" cap="rnd">
              <a:solidFill>
                <a:schemeClr val="accent1"/>
              </a:solidFill>
              <a:round/>
            </a:ln>
            <a:effectLst/>
          </c:spPr>
          <c:marker>
            <c:symbol val="none"/>
          </c:marker>
          <c:cat>
            <c:numRef>
              <c:f>'Frank and Bill'!$A$126:$A$164</c:f>
              <c:numCache>
                <c:formatCode>General</c:formatCode>
                <c:ptCount val="39"/>
                <c:pt idx="0">
                  <c:v>62</c:v>
                </c:pt>
                <c:pt idx="1">
                  <c:v>63</c:v>
                </c:pt>
                <c:pt idx="2">
                  <c:v>64</c:v>
                </c:pt>
                <c:pt idx="3">
                  <c:v>65</c:v>
                </c:pt>
                <c:pt idx="4">
                  <c:v>66</c:v>
                </c:pt>
                <c:pt idx="5">
                  <c:v>67</c:v>
                </c:pt>
                <c:pt idx="6">
                  <c:v>68</c:v>
                </c:pt>
                <c:pt idx="7">
                  <c:v>69</c:v>
                </c:pt>
                <c:pt idx="8">
                  <c:v>70</c:v>
                </c:pt>
                <c:pt idx="9">
                  <c:v>71</c:v>
                </c:pt>
                <c:pt idx="10">
                  <c:v>72</c:v>
                </c:pt>
                <c:pt idx="11">
                  <c:v>73</c:v>
                </c:pt>
                <c:pt idx="12">
                  <c:v>74</c:v>
                </c:pt>
                <c:pt idx="13">
                  <c:v>75</c:v>
                </c:pt>
                <c:pt idx="14">
                  <c:v>76</c:v>
                </c:pt>
                <c:pt idx="15">
                  <c:v>77</c:v>
                </c:pt>
                <c:pt idx="16">
                  <c:v>78</c:v>
                </c:pt>
                <c:pt idx="17">
                  <c:v>79</c:v>
                </c:pt>
                <c:pt idx="18">
                  <c:v>80</c:v>
                </c:pt>
                <c:pt idx="19">
                  <c:v>81</c:v>
                </c:pt>
                <c:pt idx="20">
                  <c:v>82</c:v>
                </c:pt>
                <c:pt idx="21">
                  <c:v>83</c:v>
                </c:pt>
                <c:pt idx="22">
                  <c:v>84</c:v>
                </c:pt>
                <c:pt idx="23">
                  <c:v>85</c:v>
                </c:pt>
                <c:pt idx="24">
                  <c:v>86</c:v>
                </c:pt>
                <c:pt idx="25">
                  <c:v>87</c:v>
                </c:pt>
                <c:pt idx="26">
                  <c:v>88</c:v>
                </c:pt>
                <c:pt idx="27">
                  <c:v>89</c:v>
                </c:pt>
                <c:pt idx="28">
                  <c:v>90</c:v>
                </c:pt>
                <c:pt idx="29">
                  <c:v>91</c:v>
                </c:pt>
                <c:pt idx="30">
                  <c:v>92</c:v>
                </c:pt>
                <c:pt idx="31">
                  <c:v>93</c:v>
                </c:pt>
                <c:pt idx="32">
                  <c:v>94</c:v>
                </c:pt>
                <c:pt idx="33">
                  <c:v>95</c:v>
                </c:pt>
                <c:pt idx="34">
                  <c:v>96</c:v>
                </c:pt>
                <c:pt idx="35">
                  <c:v>97</c:v>
                </c:pt>
                <c:pt idx="36">
                  <c:v>98</c:v>
                </c:pt>
                <c:pt idx="37">
                  <c:v>99</c:v>
                </c:pt>
                <c:pt idx="38">
                  <c:v>100</c:v>
                </c:pt>
              </c:numCache>
            </c:numRef>
          </c:cat>
          <c:val>
            <c:numRef>
              <c:f>'Frank and Bill'!$I$126:$I$164</c:f>
              <c:numCache>
                <c:formatCode>"$"#,##0.00</c:formatCode>
                <c:ptCount val="39"/>
                <c:pt idx="0">
                  <c:v>286010.8</c:v>
                </c:pt>
                <c:pt idx="1">
                  <c:v>324112.30200000003</c:v>
                </c:pt>
                <c:pt idx="2">
                  <c:v>364404.39082999999</c:v>
                </c:pt>
                <c:pt idx="3">
                  <c:v>406991.35313195002</c:v>
                </c:pt>
                <c:pt idx="4">
                  <c:v>451982.06359269674</c:v>
                </c:pt>
                <c:pt idx="5">
                  <c:v>499490.17888026003</c:v>
                </c:pt>
                <c:pt idx="6">
                  <c:v>549634.33959792228</c:v>
                </c:pt>
                <c:pt idx="7">
                  <c:v>602538.38058335229</c:v>
                </c:pt>
                <c:pt idx="8">
                  <c:v>658331.5498932373</c:v>
                </c:pt>
                <c:pt idx="9">
                  <c:v>717148.73682768154</c:v>
                </c:pt>
                <c:pt idx="10">
                  <c:v>779130.70936297136</c:v>
                </c:pt>
                <c:pt idx="11">
                  <c:v>844424.36137622746</c:v>
                </c:pt>
                <c:pt idx="12">
                  <c:v>913182.97006098216</c:v>
                </c:pt>
                <c:pt idx="13">
                  <c:v>985566.46394886973</c:v>
                </c:pt>
                <c:pt idx="14">
                  <c:v>1061741.7019694089</c:v>
                </c:pt>
                <c:pt idx="15">
                  <c:v>1141882.7639973343</c:v>
                </c:pt>
                <c:pt idx="16">
                  <c:v>1226171.2533551056</c:v>
                </c:pt>
                <c:pt idx="17">
                  <c:v>1314796.6117571348</c:v>
                </c:pt>
                <c:pt idx="18">
                  <c:v>1407956.4472019405</c:v>
                </c:pt>
                <c:pt idx="19">
                  <c:v>1467961.1924181252</c:v>
                </c:pt>
                <c:pt idx="20">
                  <c:v>1530458.2896261599</c:v>
                </c:pt>
                <c:pt idx="21">
                  <c:v>1595549.7369602986</c:v>
                </c:pt>
                <c:pt idx="22">
                  <c:v>1663341.6700815305</c:v>
                </c:pt>
                <c:pt idx="23">
                  <c:v>1733944.529118682</c:v>
                </c:pt>
                <c:pt idx="24">
                  <c:v>1807473.2323231669</c:v>
                </c:pt>
                <c:pt idx="25">
                  <c:v>1884047.3567068246</c:v>
                </c:pt>
                <c:pt idx="26">
                  <c:v>1963791.325943097</c:v>
                </c:pt>
                <c:pt idx="27">
                  <c:v>2046834.60582302</c:v>
                </c:pt>
                <c:pt idx="28">
                  <c:v>2133311.9075691951</c:v>
                </c:pt>
                <c:pt idx="29">
                  <c:v>2223363.3993230485</c:v>
                </c:pt>
                <c:pt idx="30">
                  <c:v>2317134.9261333332</c:v>
                </c:pt>
                <c:pt idx="31">
                  <c:v>2414778.2387869633</c:v>
                </c:pt>
                <c:pt idx="32">
                  <c:v>2516451.2318369462</c:v>
                </c:pt>
                <c:pt idx="33">
                  <c:v>2622318.1911963909</c:v>
                </c:pt>
                <c:pt idx="34">
                  <c:v>2732550.0516823628</c:v>
                </c:pt>
                <c:pt idx="35">
                  <c:v>2847324.6649087262</c:v>
                </c:pt>
                <c:pt idx="36">
                  <c:v>2966827.0779431211</c:v>
                </c:pt>
                <c:pt idx="37">
                  <c:v>3091249.8231598428</c:v>
                </c:pt>
                <c:pt idx="38">
                  <c:v>3220793.2197377081</c:v>
                </c:pt>
              </c:numCache>
            </c:numRef>
          </c:val>
          <c:smooth val="0"/>
          <c:extLst>
            <c:ext xmlns:c16="http://schemas.microsoft.com/office/drawing/2014/chart" uri="{C3380CC4-5D6E-409C-BE32-E72D297353CC}">
              <c16:uniqueId val="{00000000-1E90-4A13-8EB4-B9316B84713F}"/>
            </c:ext>
          </c:extLst>
        </c:ser>
        <c:ser>
          <c:idx val="1"/>
          <c:order val="1"/>
          <c:tx>
            <c:v>Bill</c:v>
          </c:tx>
          <c:spPr>
            <a:ln w="28575" cap="rnd">
              <a:solidFill>
                <a:schemeClr val="accent2"/>
              </a:solidFill>
              <a:round/>
            </a:ln>
            <a:effectLst/>
          </c:spPr>
          <c:marker>
            <c:symbol val="none"/>
          </c:marker>
          <c:cat>
            <c:numRef>
              <c:f>'Frank and Bill'!$A$126:$A$164</c:f>
              <c:numCache>
                <c:formatCode>General</c:formatCode>
                <c:ptCount val="39"/>
                <c:pt idx="0">
                  <c:v>62</c:v>
                </c:pt>
                <c:pt idx="1">
                  <c:v>63</c:v>
                </c:pt>
                <c:pt idx="2">
                  <c:v>64</c:v>
                </c:pt>
                <c:pt idx="3">
                  <c:v>65</c:v>
                </c:pt>
                <c:pt idx="4">
                  <c:v>66</c:v>
                </c:pt>
                <c:pt idx="5">
                  <c:v>67</c:v>
                </c:pt>
                <c:pt idx="6">
                  <c:v>68</c:v>
                </c:pt>
                <c:pt idx="7">
                  <c:v>69</c:v>
                </c:pt>
                <c:pt idx="8">
                  <c:v>70</c:v>
                </c:pt>
                <c:pt idx="9">
                  <c:v>71</c:v>
                </c:pt>
                <c:pt idx="10">
                  <c:v>72</c:v>
                </c:pt>
                <c:pt idx="11">
                  <c:v>73</c:v>
                </c:pt>
                <c:pt idx="12">
                  <c:v>74</c:v>
                </c:pt>
                <c:pt idx="13">
                  <c:v>75</c:v>
                </c:pt>
                <c:pt idx="14">
                  <c:v>76</c:v>
                </c:pt>
                <c:pt idx="15">
                  <c:v>77</c:v>
                </c:pt>
                <c:pt idx="16">
                  <c:v>78</c:v>
                </c:pt>
                <c:pt idx="17">
                  <c:v>79</c:v>
                </c:pt>
                <c:pt idx="18">
                  <c:v>80</c:v>
                </c:pt>
                <c:pt idx="19">
                  <c:v>81</c:v>
                </c:pt>
                <c:pt idx="20">
                  <c:v>82</c:v>
                </c:pt>
                <c:pt idx="21">
                  <c:v>83</c:v>
                </c:pt>
                <c:pt idx="22">
                  <c:v>84</c:v>
                </c:pt>
                <c:pt idx="23">
                  <c:v>85</c:v>
                </c:pt>
                <c:pt idx="24">
                  <c:v>86</c:v>
                </c:pt>
                <c:pt idx="25">
                  <c:v>87</c:v>
                </c:pt>
                <c:pt idx="26">
                  <c:v>88</c:v>
                </c:pt>
                <c:pt idx="27">
                  <c:v>89</c:v>
                </c:pt>
                <c:pt idx="28">
                  <c:v>90</c:v>
                </c:pt>
                <c:pt idx="29">
                  <c:v>91</c:v>
                </c:pt>
                <c:pt idx="30">
                  <c:v>92</c:v>
                </c:pt>
                <c:pt idx="31">
                  <c:v>93</c:v>
                </c:pt>
                <c:pt idx="32">
                  <c:v>94</c:v>
                </c:pt>
                <c:pt idx="33">
                  <c:v>95</c:v>
                </c:pt>
                <c:pt idx="34">
                  <c:v>96</c:v>
                </c:pt>
                <c:pt idx="35">
                  <c:v>97</c:v>
                </c:pt>
                <c:pt idx="36">
                  <c:v>98</c:v>
                </c:pt>
                <c:pt idx="37">
                  <c:v>99</c:v>
                </c:pt>
                <c:pt idx="38">
                  <c:v>100</c:v>
                </c:pt>
              </c:numCache>
            </c:numRef>
          </c:cat>
          <c:val>
            <c:numRef>
              <c:f>'Frank and Bill'!$S$126:$S$164</c:f>
              <c:numCache>
                <c:formatCode>"$"#,##0.00</c:formatCode>
                <c:ptCount val="39"/>
                <c:pt idx="0">
                  <c:v>264611.20000000001</c:v>
                </c:pt>
                <c:pt idx="1">
                  <c:v>277559.29800000007</c:v>
                </c:pt>
                <c:pt idx="2">
                  <c:v>291084.41117000009</c:v>
                </c:pt>
                <c:pt idx="3">
                  <c:v>305211.09739805013</c:v>
                </c:pt>
                <c:pt idx="4">
                  <c:v>319964.93381975341</c:v>
                </c:pt>
                <c:pt idx="5">
                  <c:v>335372.55851146928</c:v>
                </c:pt>
                <c:pt idx="6">
                  <c:v>351461.71387432696</c:v>
                </c:pt>
                <c:pt idx="7">
                  <c:v>368261.29177725891</c:v>
                </c:pt>
                <c:pt idx="8">
                  <c:v>427792.74053000717</c:v>
                </c:pt>
                <c:pt idx="9">
                  <c:v>490825.47215990676</c:v>
                </c:pt>
                <c:pt idx="10">
                  <c:v>557527.5386052198</c:v>
                </c:pt>
                <c:pt idx="11">
                  <c:v>628074.4138973183</c:v>
                </c:pt>
                <c:pt idx="12">
                  <c:v>702649.30854479794</c:v>
                </c:pt>
                <c:pt idx="13">
                  <c:v>781443.4969304665</c:v>
                </c:pt>
                <c:pt idx="14">
                  <c:v>864656.65825265879</c:v>
                </c:pt>
                <c:pt idx="15">
                  <c:v>952497.23156386311</c:v>
                </c:pt>
                <c:pt idx="16">
                  <c:v>1045182.7854820429</c:v>
                </c:pt>
                <c:pt idx="17">
                  <c:v>1142940.4031733405</c:v>
                </c:pt>
                <c:pt idx="18">
                  <c:v>1246007.0832290903</c:v>
                </c:pt>
                <c:pt idx="19">
                  <c:v>1307539.6354366629</c:v>
                </c:pt>
                <c:pt idx="20">
                  <c:v>1371825.7964544985</c:v>
                </c:pt>
                <c:pt idx="21">
                  <c:v>1438983.0183030569</c:v>
                </c:pt>
                <c:pt idx="22">
                  <c:v>1509133.6337753171</c:v>
                </c:pt>
                <c:pt idx="23">
                  <c:v>1582405.0562349712</c:v>
                </c:pt>
                <c:pt idx="24">
                  <c:v>1658929.9875207273</c:v>
                </c:pt>
                <c:pt idx="25">
                  <c:v>1738846.6342838227</c:v>
                </c:pt>
                <c:pt idx="26">
                  <c:v>1822298.9330989986</c:v>
                </c:pt>
                <c:pt idx="27">
                  <c:v>1909436.784702877</c:v>
                </c:pt>
                <c:pt idx="28">
                  <c:v>2000416.2977279087</c:v>
                </c:pt>
                <c:pt idx="29">
                  <c:v>2095400.0423148645</c:v>
                </c:pt>
                <c:pt idx="30">
                  <c:v>2194557.3140022447</c:v>
                </c:pt>
                <c:pt idx="31">
                  <c:v>2298064.4083069894</c:v>
                </c:pt>
                <c:pt idx="32">
                  <c:v>2406104.9064275404</c:v>
                </c:pt>
                <c:pt idx="33">
                  <c:v>2518869.9725176203</c:v>
                </c:pt>
                <c:pt idx="34">
                  <c:v>2636558.6629971275</c:v>
                </c:pt>
                <c:pt idx="35">
                  <c:v>2759378.2483852855</c:v>
                </c:pt>
                <c:pt idx="36">
                  <c:v>2887544.5481606768</c:v>
                </c:pt>
                <c:pt idx="37">
                  <c:v>3021282.2791730827</c:v>
                </c:pt>
                <c:pt idx="38">
                  <c:v>3160825.4181531346</c:v>
                </c:pt>
              </c:numCache>
            </c:numRef>
          </c:val>
          <c:smooth val="0"/>
          <c:extLst>
            <c:ext xmlns:c16="http://schemas.microsoft.com/office/drawing/2014/chart" uri="{C3380CC4-5D6E-409C-BE32-E72D297353CC}">
              <c16:uniqueId val="{00000001-1E90-4A13-8EB4-B9316B84713F}"/>
            </c:ext>
          </c:extLst>
        </c:ser>
        <c:dLbls>
          <c:showLegendKey val="0"/>
          <c:showVal val="0"/>
          <c:showCatName val="0"/>
          <c:showSerName val="0"/>
          <c:showPercent val="0"/>
          <c:showBubbleSize val="0"/>
        </c:dLbls>
        <c:smooth val="0"/>
        <c:axId val="309419840"/>
        <c:axId val="309420320"/>
      </c:lineChart>
      <c:catAx>
        <c:axId val="30941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420320"/>
        <c:crosses val="autoZero"/>
        <c:auto val="1"/>
        <c:lblAlgn val="ctr"/>
        <c:lblOffset val="100"/>
        <c:noMultiLvlLbl val="0"/>
      </c:catAx>
      <c:valAx>
        <c:axId val="3094203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419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'Frank and Bill'!$L$12</c:f>
          <c:strCache>
            <c:ptCount val="1"/>
            <c:pt idx="0">
              <c:v>Compare Saving of single Frank and Bill at rate of return of 4% and Cola of 2.5% Initial Yearly Expenses = $23704</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784678892740822"/>
          <c:y val="0.17162759818420584"/>
          <c:w val="0.77613756184605398"/>
          <c:h val="0.60489326798391507"/>
        </c:manualLayout>
      </c:layout>
      <c:lineChart>
        <c:grouping val="standard"/>
        <c:varyColors val="0"/>
        <c:ser>
          <c:idx val="0"/>
          <c:order val="0"/>
          <c:tx>
            <c:v>Franks Total</c:v>
          </c:tx>
          <c:spPr>
            <a:ln w="28575" cap="rnd">
              <a:solidFill>
                <a:schemeClr val="accent1"/>
              </a:solidFill>
              <a:round/>
            </a:ln>
            <a:effectLst/>
          </c:spPr>
          <c:marker>
            <c:symbol val="none"/>
          </c:marker>
          <c:cat>
            <c:numRef>
              <c:f>'Frank and Bill'!$M$26:$M$64</c:f>
              <c:numCache>
                <c:formatCode>General</c:formatCode>
                <c:ptCount val="39"/>
                <c:pt idx="0">
                  <c:v>62</c:v>
                </c:pt>
                <c:pt idx="1">
                  <c:v>63</c:v>
                </c:pt>
                <c:pt idx="2">
                  <c:v>64</c:v>
                </c:pt>
                <c:pt idx="3">
                  <c:v>65</c:v>
                </c:pt>
                <c:pt idx="4">
                  <c:v>66</c:v>
                </c:pt>
                <c:pt idx="5">
                  <c:v>67</c:v>
                </c:pt>
                <c:pt idx="6">
                  <c:v>68</c:v>
                </c:pt>
                <c:pt idx="7">
                  <c:v>69</c:v>
                </c:pt>
                <c:pt idx="8">
                  <c:v>70</c:v>
                </c:pt>
                <c:pt idx="9">
                  <c:v>71</c:v>
                </c:pt>
                <c:pt idx="10">
                  <c:v>72</c:v>
                </c:pt>
                <c:pt idx="11">
                  <c:v>73</c:v>
                </c:pt>
                <c:pt idx="12">
                  <c:v>74</c:v>
                </c:pt>
                <c:pt idx="13">
                  <c:v>75</c:v>
                </c:pt>
                <c:pt idx="14">
                  <c:v>76</c:v>
                </c:pt>
                <c:pt idx="15">
                  <c:v>77</c:v>
                </c:pt>
                <c:pt idx="16">
                  <c:v>78</c:v>
                </c:pt>
                <c:pt idx="17">
                  <c:v>79</c:v>
                </c:pt>
                <c:pt idx="18">
                  <c:v>80</c:v>
                </c:pt>
                <c:pt idx="19">
                  <c:v>81</c:v>
                </c:pt>
                <c:pt idx="20">
                  <c:v>82</c:v>
                </c:pt>
                <c:pt idx="21">
                  <c:v>83</c:v>
                </c:pt>
                <c:pt idx="22">
                  <c:v>84</c:v>
                </c:pt>
                <c:pt idx="23">
                  <c:v>85</c:v>
                </c:pt>
                <c:pt idx="24">
                  <c:v>86</c:v>
                </c:pt>
                <c:pt idx="25">
                  <c:v>87</c:v>
                </c:pt>
                <c:pt idx="26">
                  <c:v>88</c:v>
                </c:pt>
                <c:pt idx="27">
                  <c:v>89</c:v>
                </c:pt>
                <c:pt idx="28">
                  <c:v>90</c:v>
                </c:pt>
                <c:pt idx="29">
                  <c:v>91</c:v>
                </c:pt>
                <c:pt idx="30">
                  <c:v>92</c:v>
                </c:pt>
                <c:pt idx="31">
                  <c:v>93</c:v>
                </c:pt>
                <c:pt idx="32">
                  <c:v>94</c:v>
                </c:pt>
                <c:pt idx="33">
                  <c:v>95</c:v>
                </c:pt>
                <c:pt idx="34">
                  <c:v>96</c:v>
                </c:pt>
                <c:pt idx="35">
                  <c:v>97</c:v>
                </c:pt>
                <c:pt idx="36">
                  <c:v>98</c:v>
                </c:pt>
                <c:pt idx="37">
                  <c:v>99</c:v>
                </c:pt>
                <c:pt idx="38">
                  <c:v>100</c:v>
                </c:pt>
              </c:numCache>
            </c:numRef>
          </c:cat>
          <c:val>
            <c:numRef>
              <c:f>'Frank and Bill'!$N$26:$N$64</c:f>
              <c:numCache>
                <c:formatCode>"$"#,##0.00_);[Red]\("$"#,##0.00\)</c:formatCode>
                <c:ptCount val="39"/>
                <c:pt idx="0">
                  <c:v>260000</c:v>
                </c:pt>
                <c:pt idx="1">
                  <c:v>270400.82</c:v>
                </c:pt>
                <c:pt idx="2">
                  <c:v>281217.69329999998</c:v>
                </c:pt>
                <c:pt idx="3">
                  <c:v>292467.26254449994</c:v>
                </c:pt>
                <c:pt idx="4">
                  <c:v>304166.83609659242</c:v>
                </c:pt>
                <c:pt idx="5">
                  <c:v>316334.41466702643</c:v>
                </c:pt>
                <c:pt idx="6">
                  <c:v>328988.71900844207</c:v>
                </c:pt>
                <c:pt idx="7">
                  <c:v>342149.2187173827</c:v>
                </c:pt>
                <c:pt idx="8">
                  <c:v>355836.16218839603</c:v>
                </c:pt>
                <c:pt idx="9">
                  <c:v>370070.60776630783</c:v>
                </c:pt>
                <c:pt idx="10">
                  <c:v>384874.45614459552</c:v>
                </c:pt>
                <c:pt idx="11">
                  <c:v>400270.48405970557</c:v>
                </c:pt>
                <c:pt idx="12">
                  <c:v>416282.37933315319</c:v>
                </c:pt>
                <c:pt idx="13">
                  <c:v>432934.77731531521</c:v>
                </c:pt>
                <c:pt idx="14">
                  <c:v>450253.29878698464</c:v>
                </c:pt>
                <c:pt idx="15">
                  <c:v>468264.58937699726</c:v>
                </c:pt>
                <c:pt idx="16">
                  <c:v>486996.36055657372</c:v>
                </c:pt>
                <c:pt idx="17">
                  <c:v>506477.43227344565</c:v>
                </c:pt>
                <c:pt idx="18">
                  <c:v>526737.77729135763</c:v>
                </c:pt>
                <c:pt idx="19">
                  <c:v>547808.56730316044</c:v>
                </c:pt>
                <c:pt idx="20">
                  <c:v>569722.2208884391</c:v>
                </c:pt>
                <c:pt idx="21">
                  <c:v>592512.45338945778</c:v>
                </c:pt>
                <c:pt idx="22">
                  <c:v>616214.32878215425</c:v>
                </c:pt>
                <c:pt idx="23">
                  <c:v>640864.31362198654</c:v>
                </c:pt>
                <c:pt idx="24">
                  <c:v>666500.33314762567</c:v>
                </c:pt>
                <c:pt idx="25">
                  <c:v>693161.82962880936</c:v>
                </c:pt>
                <c:pt idx="26">
                  <c:v>720889.82304812234</c:v>
                </c:pt>
                <c:pt idx="27">
                  <c:v>749726.97421006183</c:v>
                </c:pt>
                <c:pt idx="28">
                  <c:v>779717.65037447936</c:v>
                </c:pt>
                <c:pt idx="29">
                  <c:v>810907.99351537391</c:v>
                </c:pt>
                <c:pt idx="30">
                  <c:v>843345.99131005211</c:v>
                </c:pt>
                <c:pt idx="31">
                  <c:v>877081.55096786912</c:v>
                </c:pt>
                <c:pt idx="32">
                  <c:v>912166.5760121342</c:v>
                </c:pt>
                <c:pt idx="33">
                  <c:v>948655.04613330855</c:v>
                </c:pt>
                <c:pt idx="34">
                  <c:v>986603.10023634718</c:v>
                </c:pt>
                <c:pt idx="35">
                  <c:v>1026069.12280995</c:v>
                </c:pt>
                <c:pt idx="36">
                  <c:v>1067113.8337506007</c:v>
                </c:pt>
                <c:pt idx="37">
                  <c:v>1109800.3817795839</c:v>
                </c:pt>
                <c:pt idx="38">
                  <c:v>1154194.4415967001</c:v>
                </c:pt>
              </c:numCache>
            </c:numRef>
          </c:val>
          <c:smooth val="0"/>
          <c:extLst>
            <c:ext xmlns:c16="http://schemas.microsoft.com/office/drawing/2014/chart" uri="{C3380CC4-5D6E-409C-BE32-E72D297353CC}">
              <c16:uniqueId val="{00000000-865A-43D7-A5C8-235710CD3336}"/>
            </c:ext>
          </c:extLst>
        </c:ser>
        <c:ser>
          <c:idx val="1"/>
          <c:order val="1"/>
          <c:tx>
            <c:v>Bills Total</c:v>
          </c:tx>
          <c:spPr>
            <a:ln w="28575" cap="rnd">
              <a:solidFill>
                <a:schemeClr val="accent2"/>
              </a:solidFill>
              <a:round/>
            </a:ln>
            <a:effectLst/>
          </c:spPr>
          <c:marker>
            <c:symbol val="none"/>
          </c:marker>
          <c:cat>
            <c:numRef>
              <c:f>'Frank and Bill'!$M$26:$M$64</c:f>
              <c:numCache>
                <c:formatCode>General</c:formatCode>
                <c:ptCount val="39"/>
                <c:pt idx="0">
                  <c:v>62</c:v>
                </c:pt>
                <c:pt idx="1">
                  <c:v>63</c:v>
                </c:pt>
                <c:pt idx="2">
                  <c:v>64</c:v>
                </c:pt>
                <c:pt idx="3">
                  <c:v>65</c:v>
                </c:pt>
                <c:pt idx="4">
                  <c:v>66</c:v>
                </c:pt>
                <c:pt idx="5">
                  <c:v>67</c:v>
                </c:pt>
                <c:pt idx="6">
                  <c:v>68</c:v>
                </c:pt>
                <c:pt idx="7">
                  <c:v>69</c:v>
                </c:pt>
                <c:pt idx="8">
                  <c:v>70</c:v>
                </c:pt>
                <c:pt idx="9">
                  <c:v>71</c:v>
                </c:pt>
                <c:pt idx="10">
                  <c:v>72</c:v>
                </c:pt>
                <c:pt idx="11">
                  <c:v>73</c:v>
                </c:pt>
                <c:pt idx="12">
                  <c:v>74</c:v>
                </c:pt>
                <c:pt idx="13">
                  <c:v>75</c:v>
                </c:pt>
                <c:pt idx="14">
                  <c:v>76</c:v>
                </c:pt>
                <c:pt idx="15">
                  <c:v>77</c:v>
                </c:pt>
                <c:pt idx="16">
                  <c:v>78</c:v>
                </c:pt>
                <c:pt idx="17">
                  <c:v>79</c:v>
                </c:pt>
                <c:pt idx="18">
                  <c:v>80</c:v>
                </c:pt>
                <c:pt idx="19">
                  <c:v>81</c:v>
                </c:pt>
                <c:pt idx="20">
                  <c:v>82</c:v>
                </c:pt>
                <c:pt idx="21">
                  <c:v>83</c:v>
                </c:pt>
                <c:pt idx="22">
                  <c:v>84</c:v>
                </c:pt>
                <c:pt idx="23">
                  <c:v>85</c:v>
                </c:pt>
                <c:pt idx="24">
                  <c:v>86</c:v>
                </c:pt>
                <c:pt idx="25">
                  <c:v>87</c:v>
                </c:pt>
                <c:pt idx="26">
                  <c:v>88</c:v>
                </c:pt>
                <c:pt idx="27">
                  <c:v>89</c:v>
                </c:pt>
                <c:pt idx="28">
                  <c:v>90</c:v>
                </c:pt>
                <c:pt idx="29">
                  <c:v>91</c:v>
                </c:pt>
                <c:pt idx="30">
                  <c:v>92</c:v>
                </c:pt>
                <c:pt idx="31">
                  <c:v>93</c:v>
                </c:pt>
                <c:pt idx="32">
                  <c:v>94</c:v>
                </c:pt>
                <c:pt idx="33">
                  <c:v>95</c:v>
                </c:pt>
                <c:pt idx="34">
                  <c:v>96</c:v>
                </c:pt>
                <c:pt idx="35">
                  <c:v>97</c:v>
                </c:pt>
                <c:pt idx="36">
                  <c:v>98</c:v>
                </c:pt>
                <c:pt idx="37">
                  <c:v>99</c:v>
                </c:pt>
                <c:pt idx="38">
                  <c:v>100</c:v>
                </c:pt>
              </c:numCache>
            </c:numRef>
          </c:cat>
          <c:val>
            <c:numRef>
              <c:f>'Frank and Bill'!$O$26:$O$64</c:f>
              <c:numCache>
                <c:formatCode>"$"#,##0.00_);[Red]\("$"#,##0.00\)</c:formatCode>
                <c:ptCount val="39"/>
                <c:pt idx="0">
                  <c:v>236296</c:v>
                </c:pt>
                <c:pt idx="1">
                  <c:v>221451.24</c:v>
                </c:pt>
                <c:pt idx="2">
                  <c:v>205405.2746</c:v>
                </c:pt>
                <c:pt idx="3">
                  <c:v>188094.87020900002</c:v>
                </c:pt>
                <c:pt idx="4">
                  <c:v>169453.88425798505</c:v>
                </c:pt>
                <c:pt idx="5">
                  <c:v>149413.13934994509</c:v>
                </c:pt>
                <c:pt idx="6">
                  <c:v>127900.29213862456</c:v>
                </c:pt>
                <c:pt idx="7">
                  <c:v>104839.69671921823</c:v>
                </c:pt>
                <c:pt idx="8">
                  <c:v>131314.65699979395</c:v>
                </c:pt>
                <c:pt idx="9">
                  <c:v>159405.65000188784</c:v>
                </c:pt>
                <c:pt idx="10">
                  <c:v>189191.24289211805</c:v>
                </c:pt>
                <c:pt idx="11">
                  <c:v>220753.49367021135</c:v>
                </c:pt>
                <c:pt idx="12">
                  <c:v>254178.09950598859</c:v>
                </c:pt>
                <c:pt idx="13">
                  <c:v>289554.55122742115</c:v>
                </c:pt>
                <c:pt idx="14">
                  <c:v>326976.29421124083</c:v>
                </c:pt>
                <c:pt idx="15">
                  <c:v>366540.89593778137</c:v>
                </c:pt>
                <c:pt idx="16">
                  <c:v>408350.22048233578</c:v>
                </c:pt>
                <c:pt idx="17">
                  <c:v>452510.61022634845</c:v>
                </c:pt>
                <c:pt idx="18">
                  <c:v>499133.07508323959</c:v>
                </c:pt>
                <c:pt idx="19">
                  <c:v>548333.48954560235</c:v>
                </c:pt>
                <c:pt idx="20">
                  <c:v>600232.79787293542</c:v>
                </c:pt>
                <c:pt idx="21">
                  <c:v>654957.22775199951</c:v>
                </c:pt>
                <c:pt idx="22">
                  <c:v>712638.51277532987</c:v>
                </c:pt>
                <c:pt idx="23">
                  <c:v>773414.12409742468</c:v>
                </c:pt>
                <c:pt idx="24">
                  <c:v>837427.51164268027</c:v>
                </c:pt>
                <c:pt idx="25">
                  <c:v>904828.35525428015</c:v>
                </c:pt>
                <c:pt idx="26">
                  <c:v>975772.82618899131</c:v>
                </c:pt>
                <c:pt idx="27">
                  <c:v>1050423.8593792045</c:v>
                </c:pt>
                <c:pt idx="28">
                  <c:v>1128951.4369005924</c:v>
                </c:pt>
                <c:pt idx="29">
                  <c:v>1211532.8831014913</c:v>
                </c:pt>
                <c:pt idx="30">
                  <c:v>1298353.171868548</c:v>
                </c:pt>
                <c:pt idx="31">
                  <c:v>1389605.2465223619</c:v>
                </c:pt>
                <c:pt idx="32">
                  <c:v>1485490.3528568053</c:v>
                </c:pt>
                <c:pt idx="33">
                  <c:v>1586218.385856465</c:v>
                </c:pt>
                <c:pt idx="34">
                  <c:v>1692008.2506482457</c:v>
                </c:pt>
                <c:pt idx="35">
                  <c:v>1803088.2382656359</c:v>
                </c:pt>
                <c:pt idx="36">
                  <c:v>1919696.4168275082</c:v>
                </c:pt>
                <c:pt idx="37">
                  <c:v>2042081.0387576367</c:v>
                </c:pt>
                <c:pt idx="38">
                  <c:v>2170500.9646963957</c:v>
                </c:pt>
              </c:numCache>
            </c:numRef>
          </c:val>
          <c:smooth val="0"/>
          <c:extLst>
            <c:ext xmlns:c16="http://schemas.microsoft.com/office/drawing/2014/chart" uri="{C3380CC4-5D6E-409C-BE32-E72D297353CC}">
              <c16:uniqueId val="{00000001-865A-43D7-A5C8-235710CD3336}"/>
            </c:ext>
          </c:extLst>
        </c:ser>
        <c:dLbls>
          <c:showLegendKey val="0"/>
          <c:showVal val="0"/>
          <c:showCatName val="0"/>
          <c:showSerName val="0"/>
          <c:showPercent val="0"/>
          <c:showBubbleSize val="0"/>
        </c:dLbls>
        <c:smooth val="0"/>
        <c:axId val="940587136"/>
        <c:axId val="940579936"/>
      </c:lineChart>
      <c:catAx>
        <c:axId val="940587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579936"/>
        <c:crosses val="autoZero"/>
        <c:auto val="1"/>
        <c:lblAlgn val="ctr"/>
        <c:lblOffset val="100"/>
        <c:noMultiLvlLbl val="0"/>
      </c:catAx>
      <c:valAx>
        <c:axId val="9405799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587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'Frank and Bill'!$X$77</c:f>
          <c:strCache>
            <c:ptCount val="1"/>
            <c:pt idx="0">
              <c:v>Compare Saving of Married Frank and Bill at rate of return of 4% and Cola of 2.5% Yearly Expenses = $23704</c:v>
            </c:pt>
          </c:strCache>
        </c:strRef>
      </c:tx>
      <c:layout>
        <c:manualLayout>
          <c:xMode val="edge"/>
          <c:yMode val="edge"/>
          <c:x val="0.12119779161447015"/>
          <c:y val="2.163368176873045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Frank and spouse</c:v>
          </c:tx>
          <c:spPr>
            <a:ln w="28575" cap="rnd">
              <a:solidFill>
                <a:schemeClr val="accent1"/>
              </a:solidFill>
              <a:round/>
            </a:ln>
            <a:effectLst/>
          </c:spPr>
          <c:marker>
            <c:symbol val="none"/>
          </c:marker>
          <c:cat>
            <c:numRef>
              <c:f>'Frank and Bill'!$A$77:$A$115</c:f>
              <c:numCache>
                <c:formatCode>General</c:formatCode>
                <c:ptCount val="39"/>
                <c:pt idx="0">
                  <c:v>62</c:v>
                </c:pt>
                <c:pt idx="1">
                  <c:v>63</c:v>
                </c:pt>
                <c:pt idx="2">
                  <c:v>64</c:v>
                </c:pt>
                <c:pt idx="3">
                  <c:v>65</c:v>
                </c:pt>
                <c:pt idx="4">
                  <c:v>66</c:v>
                </c:pt>
                <c:pt idx="5">
                  <c:v>67</c:v>
                </c:pt>
                <c:pt idx="6">
                  <c:v>68</c:v>
                </c:pt>
                <c:pt idx="7">
                  <c:v>69</c:v>
                </c:pt>
                <c:pt idx="8">
                  <c:v>70</c:v>
                </c:pt>
                <c:pt idx="9">
                  <c:v>71</c:v>
                </c:pt>
                <c:pt idx="10">
                  <c:v>72</c:v>
                </c:pt>
                <c:pt idx="11">
                  <c:v>73</c:v>
                </c:pt>
                <c:pt idx="12">
                  <c:v>74</c:v>
                </c:pt>
                <c:pt idx="13">
                  <c:v>75</c:v>
                </c:pt>
                <c:pt idx="14">
                  <c:v>76</c:v>
                </c:pt>
                <c:pt idx="15">
                  <c:v>77</c:v>
                </c:pt>
                <c:pt idx="16">
                  <c:v>78</c:v>
                </c:pt>
                <c:pt idx="17">
                  <c:v>79</c:v>
                </c:pt>
                <c:pt idx="18">
                  <c:v>80</c:v>
                </c:pt>
                <c:pt idx="19">
                  <c:v>81</c:v>
                </c:pt>
                <c:pt idx="20">
                  <c:v>82</c:v>
                </c:pt>
                <c:pt idx="21">
                  <c:v>83</c:v>
                </c:pt>
                <c:pt idx="22">
                  <c:v>84</c:v>
                </c:pt>
                <c:pt idx="23">
                  <c:v>85</c:v>
                </c:pt>
                <c:pt idx="24">
                  <c:v>86</c:v>
                </c:pt>
                <c:pt idx="25">
                  <c:v>87</c:v>
                </c:pt>
                <c:pt idx="26">
                  <c:v>88</c:v>
                </c:pt>
                <c:pt idx="27">
                  <c:v>89</c:v>
                </c:pt>
                <c:pt idx="28">
                  <c:v>90</c:v>
                </c:pt>
                <c:pt idx="29">
                  <c:v>91</c:v>
                </c:pt>
                <c:pt idx="30">
                  <c:v>92</c:v>
                </c:pt>
                <c:pt idx="31">
                  <c:v>93</c:v>
                </c:pt>
                <c:pt idx="32">
                  <c:v>94</c:v>
                </c:pt>
                <c:pt idx="33">
                  <c:v>95</c:v>
                </c:pt>
                <c:pt idx="34">
                  <c:v>96</c:v>
                </c:pt>
                <c:pt idx="35">
                  <c:v>97</c:v>
                </c:pt>
                <c:pt idx="36">
                  <c:v>98</c:v>
                </c:pt>
                <c:pt idx="37">
                  <c:v>99</c:v>
                </c:pt>
                <c:pt idx="38">
                  <c:v>100</c:v>
                </c:pt>
              </c:numCache>
            </c:numRef>
          </c:cat>
          <c:val>
            <c:numRef>
              <c:f>'Frank and Bill'!$H$77:$H$115</c:f>
              <c:numCache>
                <c:formatCode>"$"#,##0.00</c:formatCode>
                <c:ptCount val="39"/>
                <c:pt idx="0">
                  <c:v>286010.8</c:v>
                </c:pt>
                <c:pt idx="1">
                  <c:v>324112.30200000003</c:v>
                </c:pt>
                <c:pt idx="2">
                  <c:v>364404.39082999999</c:v>
                </c:pt>
                <c:pt idx="3">
                  <c:v>406991.35313195002</c:v>
                </c:pt>
                <c:pt idx="4">
                  <c:v>451982.06359269674</c:v>
                </c:pt>
                <c:pt idx="5">
                  <c:v>499490.17888026003</c:v>
                </c:pt>
                <c:pt idx="6">
                  <c:v>549634.33959792228</c:v>
                </c:pt>
                <c:pt idx="7">
                  <c:v>602538.38058335229</c:v>
                </c:pt>
                <c:pt idx="8">
                  <c:v>658331.5498932373</c:v>
                </c:pt>
                <c:pt idx="9">
                  <c:v>717148.73682768154</c:v>
                </c:pt>
                <c:pt idx="10">
                  <c:v>779130.70936297136</c:v>
                </c:pt>
                <c:pt idx="11">
                  <c:v>844424.36137622746</c:v>
                </c:pt>
                <c:pt idx="12">
                  <c:v>913182.97006098216</c:v>
                </c:pt>
                <c:pt idx="13">
                  <c:v>985566.46394886973</c:v>
                </c:pt>
                <c:pt idx="14">
                  <c:v>1061741.7019694089</c:v>
                </c:pt>
                <c:pt idx="15">
                  <c:v>1141882.7639973343</c:v>
                </c:pt>
                <c:pt idx="16">
                  <c:v>1226171.2533551056</c:v>
                </c:pt>
                <c:pt idx="17">
                  <c:v>1314796.6117571348</c:v>
                </c:pt>
                <c:pt idx="18">
                  <c:v>1407956.4472019405</c:v>
                </c:pt>
                <c:pt idx="19">
                  <c:v>1505856.8753389015</c:v>
                </c:pt>
                <c:pt idx="20">
                  <c:v>1608712.8748575628</c:v>
                </c:pt>
                <c:pt idx="21">
                  <c:v>1716748.6574695983</c:v>
                </c:pt>
                <c:pt idx="22">
                  <c:v>1830198.0530765587</c:v>
                </c:pt>
                <c:pt idx="23">
                  <c:v>1949304.9107405019</c:v>
                </c:pt>
                <c:pt idx="24">
                  <c:v>2074323.5160995247</c:v>
                </c:pt>
                <c:pt idx="25">
                  <c:v>2205519.0258961436</c:v>
                </c:pt>
                <c:pt idx="26">
                  <c:v>2343167.9203134431</c:v>
                </c:pt>
                <c:pt idx="27">
                  <c:v>2487558.4738419713</c:v>
                </c:pt>
                <c:pt idx="28">
                  <c:v>2638991.2454295401</c:v>
                </c:pt>
                <c:pt idx="29">
                  <c:v>2797779.5886964588</c:v>
                </c:pt>
                <c:pt idx="30">
                  <c:v>2964250.183030298</c:v>
                </c:pt>
                <c:pt idx="31">
                  <c:v>3138743.5864071399</c:v>
                </c:pt>
                <c:pt idx="32">
                  <c:v>3321614.8108204468</c:v>
                </c:pt>
                <c:pt idx="33">
                  <c:v>3513233.921234211</c:v>
                </c:pt>
                <c:pt idx="34">
                  <c:v>3713986.6590140495</c:v>
                </c:pt>
                <c:pt idx="35">
                  <c:v>3924275.0908283433</c:v>
                </c:pt>
                <c:pt idx="36">
                  <c:v>4144518.2840515524</c:v>
                </c:pt>
                <c:pt idx="37">
                  <c:v>4375153.0097434418</c:v>
                </c:pt>
                <c:pt idx="38">
                  <c:v>4616634.4743212527</c:v>
                </c:pt>
              </c:numCache>
            </c:numRef>
          </c:val>
          <c:smooth val="0"/>
          <c:extLst>
            <c:ext xmlns:c16="http://schemas.microsoft.com/office/drawing/2014/chart" uri="{C3380CC4-5D6E-409C-BE32-E72D297353CC}">
              <c16:uniqueId val="{00000000-6803-4675-905D-313936A35BD7}"/>
            </c:ext>
          </c:extLst>
        </c:ser>
        <c:ser>
          <c:idx val="1"/>
          <c:order val="1"/>
          <c:tx>
            <c:v>Bill and spouse</c:v>
          </c:tx>
          <c:spPr>
            <a:ln w="28575" cap="rnd">
              <a:solidFill>
                <a:schemeClr val="accent2"/>
              </a:solidFill>
              <a:round/>
            </a:ln>
            <a:effectLst/>
          </c:spPr>
          <c:marker>
            <c:symbol val="none"/>
          </c:marker>
          <c:cat>
            <c:numRef>
              <c:f>'Frank and Bill'!$A$77:$A$115</c:f>
              <c:numCache>
                <c:formatCode>General</c:formatCode>
                <c:ptCount val="39"/>
                <c:pt idx="0">
                  <c:v>62</c:v>
                </c:pt>
                <c:pt idx="1">
                  <c:v>63</c:v>
                </c:pt>
                <c:pt idx="2">
                  <c:v>64</c:v>
                </c:pt>
                <c:pt idx="3">
                  <c:v>65</c:v>
                </c:pt>
                <c:pt idx="4">
                  <c:v>66</c:v>
                </c:pt>
                <c:pt idx="5">
                  <c:v>67</c:v>
                </c:pt>
                <c:pt idx="6">
                  <c:v>68</c:v>
                </c:pt>
                <c:pt idx="7">
                  <c:v>69</c:v>
                </c:pt>
                <c:pt idx="8">
                  <c:v>70</c:v>
                </c:pt>
                <c:pt idx="9">
                  <c:v>71</c:v>
                </c:pt>
                <c:pt idx="10">
                  <c:v>72</c:v>
                </c:pt>
                <c:pt idx="11">
                  <c:v>73</c:v>
                </c:pt>
                <c:pt idx="12">
                  <c:v>74</c:v>
                </c:pt>
                <c:pt idx="13">
                  <c:v>75</c:v>
                </c:pt>
                <c:pt idx="14">
                  <c:v>76</c:v>
                </c:pt>
                <c:pt idx="15">
                  <c:v>77</c:v>
                </c:pt>
                <c:pt idx="16">
                  <c:v>78</c:v>
                </c:pt>
                <c:pt idx="17">
                  <c:v>79</c:v>
                </c:pt>
                <c:pt idx="18">
                  <c:v>80</c:v>
                </c:pt>
                <c:pt idx="19">
                  <c:v>81</c:v>
                </c:pt>
                <c:pt idx="20">
                  <c:v>82</c:v>
                </c:pt>
                <c:pt idx="21">
                  <c:v>83</c:v>
                </c:pt>
                <c:pt idx="22">
                  <c:v>84</c:v>
                </c:pt>
                <c:pt idx="23">
                  <c:v>85</c:v>
                </c:pt>
                <c:pt idx="24">
                  <c:v>86</c:v>
                </c:pt>
                <c:pt idx="25">
                  <c:v>87</c:v>
                </c:pt>
                <c:pt idx="26">
                  <c:v>88</c:v>
                </c:pt>
                <c:pt idx="27">
                  <c:v>89</c:v>
                </c:pt>
                <c:pt idx="28">
                  <c:v>90</c:v>
                </c:pt>
                <c:pt idx="29">
                  <c:v>91</c:v>
                </c:pt>
                <c:pt idx="30">
                  <c:v>92</c:v>
                </c:pt>
                <c:pt idx="31">
                  <c:v>93</c:v>
                </c:pt>
                <c:pt idx="32">
                  <c:v>94</c:v>
                </c:pt>
                <c:pt idx="33">
                  <c:v>95</c:v>
                </c:pt>
                <c:pt idx="34">
                  <c:v>96</c:v>
                </c:pt>
                <c:pt idx="35">
                  <c:v>97</c:v>
                </c:pt>
                <c:pt idx="36">
                  <c:v>98</c:v>
                </c:pt>
                <c:pt idx="37">
                  <c:v>99</c:v>
                </c:pt>
                <c:pt idx="38">
                  <c:v>100</c:v>
                </c:pt>
              </c:numCache>
            </c:numRef>
          </c:cat>
          <c:val>
            <c:numRef>
              <c:f>'Frank and Bill'!$Q$77:$Q$115</c:f>
              <c:numCache>
                <c:formatCode>"$"#,##0.00</c:formatCode>
                <c:ptCount val="39"/>
                <c:pt idx="0">
                  <c:v>264611.20000000001</c:v>
                </c:pt>
                <c:pt idx="1">
                  <c:v>277559.29800000007</c:v>
                </c:pt>
                <c:pt idx="2">
                  <c:v>291084.41117000009</c:v>
                </c:pt>
                <c:pt idx="3">
                  <c:v>305211.09739805013</c:v>
                </c:pt>
                <c:pt idx="4">
                  <c:v>319964.93381975341</c:v>
                </c:pt>
                <c:pt idx="5">
                  <c:v>335372.55851146928</c:v>
                </c:pt>
                <c:pt idx="6">
                  <c:v>351461.71387432696</c:v>
                </c:pt>
                <c:pt idx="7">
                  <c:v>368261.29177725891</c:v>
                </c:pt>
                <c:pt idx="8">
                  <c:v>427792.74053000717</c:v>
                </c:pt>
                <c:pt idx="9">
                  <c:v>490825.47215990676</c:v>
                </c:pt>
                <c:pt idx="10">
                  <c:v>557527.5386052198</c:v>
                </c:pt>
                <c:pt idx="11">
                  <c:v>628074.4138973183</c:v>
                </c:pt>
                <c:pt idx="12">
                  <c:v>702649.30854479794</c:v>
                </c:pt>
                <c:pt idx="13">
                  <c:v>781443.4969304665</c:v>
                </c:pt>
                <c:pt idx="14">
                  <c:v>864656.65825265879</c:v>
                </c:pt>
                <c:pt idx="15">
                  <c:v>952497.23156386311</c:v>
                </c:pt>
                <c:pt idx="16">
                  <c:v>1045182.7854820429</c:v>
                </c:pt>
                <c:pt idx="17">
                  <c:v>1142940.4031733405</c:v>
                </c:pt>
                <c:pt idx="18">
                  <c:v>1246007.0832290903</c:v>
                </c:pt>
                <c:pt idx="19">
                  <c:v>1354630.1570852906</c:v>
                </c:pt>
                <c:pt idx="20">
                  <c:v>1469067.7236589149</c:v>
                </c:pt>
                <c:pt idx="21">
                  <c:v>1589589.1019027394</c:v>
                </c:pt>
                <c:pt idx="22">
                  <c:v>1716475.3020087536</c:v>
                </c:pt>
                <c:pt idx="23">
                  <c:v>1850019.516019756</c:v>
                </c:pt>
                <c:pt idx="24">
                  <c:v>1990527.6286394647</c:v>
                </c:pt>
                <c:pt idx="25">
                  <c:v>2138318.749063435</c:v>
                </c:pt>
                <c:pt idx="26">
                  <c:v>2293725.7646863237</c:v>
                </c:pt>
                <c:pt idx="27">
                  <c:v>2457095.9175756369</c:v>
                </c:pt>
                <c:pt idx="28">
                  <c:v>2628791.4046380692</c:v>
                </c:pt>
                <c:pt idx="29">
                  <c:v>2809190.0024419837</c:v>
                </c:pt>
                <c:pt idx="30">
                  <c:v>2998685.7176985149</c:v>
                </c:pt>
                <c:pt idx="31">
                  <c:v>3197689.4644442783</c:v>
                </c:pt>
                <c:pt idx="32">
                  <c:v>3406629.7690108181</c:v>
                </c:pt>
                <c:pt idx="33">
                  <c:v>3625953.5039097383</c:v>
                </c:pt>
                <c:pt idx="34">
                  <c:v>3856126.6518080775</c:v>
                </c:pt>
                <c:pt idx="35">
                  <c:v>4097635.1008158992</c:v>
                </c:pt>
                <c:pt idx="36">
                  <c:v>4350985.4723574212</c:v>
                </c:pt>
                <c:pt idx="37">
                  <c:v>4616705.9829483265</c:v>
                </c:pt>
                <c:pt idx="38">
                  <c:v>4895347.341255283</c:v>
                </c:pt>
              </c:numCache>
            </c:numRef>
          </c:val>
          <c:smooth val="0"/>
          <c:extLst>
            <c:ext xmlns:c16="http://schemas.microsoft.com/office/drawing/2014/chart" uri="{C3380CC4-5D6E-409C-BE32-E72D297353CC}">
              <c16:uniqueId val="{00000001-6803-4675-905D-313936A35BD7}"/>
            </c:ext>
          </c:extLst>
        </c:ser>
        <c:dLbls>
          <c:showLegendKey val="0"/>
          <c:showVal val="0"/>
          <c:showCatName val="0"/>
          <c:showSerName val="0"/>
          <c:showPercent val="0"/>
          <c:showBubbleSize val="0"/>
        </c:dLbls>
        <c:smooth val="0"/>
        <c:axId val="72521967"/>
        <c:axId val="72517647"/>
      </c:lineChart>
      <c:catAx>
        <c:axId val="72521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17647"/>
        <c:crosses val="autoZero"/>
        <c:auto val="1"/>
        <c:lblAlgn val="ctr"/>
        <c:lblOffset val="100"/>
        <c:noMultiLvlLbl val="0"/>
      </c:catAx>
      <c:valAx>
        <c:axId val="725176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219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'Frank and Bill'!$Y$138</c:f>
          <c:strCache>
            <c:ptCount val="1"/>
            <c:pt idx="0">
              <c:v>Compare Saving of Married Frank and Bill at rate of return of 4% and Cola of 2.5% Yearly Expenses = $23704 Frank and Bill pass at age 80</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Frank's household savings</c:v>
          </c:tx>
          <c:spPr>
            <a:ln w="28575" cap="rnd">
              <a:solidFill>
                <a:schemeClr val="accent1"/>
              </a:solidFill>
              <a:round/>
            </a:ln>
            <a:effectLst/>
          </c:spPr>
          <c:marker>
            <c:symbol val="none"/>
          </c:marker>
          <c:cat>
            <c:numRef>
              <c:f>'Frank and Bill'!$A$126:$A$164</c:f>
              <c:numCache>
                <c:formatCode>General</c:formatCode>
                <c:ptCount val="39"/>
                <c:pt idx="0">
                  <c:v>62</c:v>
                </c:pt>
                <c:pt idx="1">
                  <c:v>63</c:v>
                </c:pt>
                <c:pt idx="2">
                  <c:v>64</c:v>
                </c:pt>
                <c:pt idx="3">
                  <c:v>65</c:v>
                </c:pt>
                <c:pt idx="4">
                  <c:v>66</c:v>
                </c:pt>
                <c:pt idx="5">
                  <c:v>67</c:v>
                </c:pt>
                <c:pt idx="6">
                  <c:v>68</c:v>
                </c:pt>
                <c:pt idx="7">
                  <c:v>69</c:v>
                </c:pt>
                <c:pt idx="8">
                  <c:v>70</c:v>
                </c:pt>
                <c:pt idx="9">
                  <c:v>71</c:v>
                </c:pt>
                <c:pt idx="10">
                  <c:v>72</c:v>
                </c:pt>
                <c:pt idx="11">
                  <c:v>73</c:v>
                </c:pt>
                <c:pt idx="12">
                  <c:v>74</c:v>
                </c:pt>
                <c:pt idx="13">
                  <c:v>75</c:v>
                </c:pt>
                <c:pt idx="14">
                  <c:v>76</c:v>
                </c:pt>
                <c:pt idx="15">
                  <c:v>77</c:v>
                </c:pt>
                <c:pt idx="16">
                  <c:v>78</c:v>
                </c:pt>
                <c:pt idx="17">
                  <c:v>79</c:v>
                </c:pt>
                <c:pt idx="18">
                  <c:v>80</c:v>
                </c:pt>
                <c:pt idx="19">
                  <c:v>81</c:v>
                </c:pt>
                <c:pt idx="20">
                  <c:v>82</c:v>
                </c:pt>
                <c:pt idx="21">
                  <c:v>83</c:v>
                </c:pt>
                <c:pt idx="22">
                  <c:v>84</c:v>
                </c:pt>
                <c:pt idx="23">
                  <c:v>85</c:v>
                </c:pt>
                <c:pt idx="24">
                  <c:v>86</c:v>
                </c:pt>
                <c:pt idx="25">
                  <c:v>87</c:v>
                </c:pt>
                <c:pt idx="26">
                  <c:v>88</c:v>
                </c:pt>
                <c:pt idx="27">
                  <c:v>89</c:v>
                </c:pt>
                <c:pt idx="28">
                  <c:v>90</c:v>
                </c:pt>
                <c:pt idx="29">
                  <c:v>91</c:v>
                </c:pt>
                <c:pt idx="30">
                  <c:v>92</c:v>
                </c:pt>
                <c:pt idx="31">
                  <c:v>93</c:v>
                </c:pt>
                <c:pt idx="32">
                  <c:v>94</c:v>
                </c:pt>
                <c:pt idx="33">
                  <c:v>95</c:v>
                </c:pt>
                <c:pt idx="34">
                  <c:v>96</c:v>
                </c:pt>
                <c:pt idx="35">
                  <c:v>97</c:v>
                </c:pt>
                <c:pt idx="36">
                  <c:v>98</c:v>
                </c:pt>
                <c:pt idx="37">
                  <c:v>99</c:v>
                </c:pt>
                <c:pt idx="38">
                  <c:v>100</c:v>
                </c:pt>
              </c:numCache>
            </c:numRef>
          </c:cat>
          <c:val>
            <c:numRef>
              <c:f>'Frank and Bill'!$I$126:$I$164</c:f>
              <c:numCache>
                <c:formatCode>"$"#,##0.00</c:formatCode>
                <c:ptCount val="39"/>
                <c:pt idx="0">
                  <c:v>286010.8</c:v>
                </c:pt>
                <c:pt idx="1">
                  <c:v>324112.30200000003</c:v>
                </c:pt>
                <c:pt idx="2">
                  <c:v>364404.39082999999</c:v>
                </c:pt>
                <c:pt idx="3">
                  <c:v>406991.35313195002</c:v>
                </c:pt>
                <c:pt idx="4">
                  <c:v>451982.06359269674</c:v>
                </c:pt>
                <c:pt idx="5">
                  <c:v>499490.17888026003</c:v>
                </c:pt>
                <c:pt idx="6">
                  <c:v>549634.33959792228</c:v>
                </c:pt>
                <c:pt idx="7">
                  <c:v>602538.38058335229</c:v>
                </c:pt>
                <c:pt idx="8">
                  <c:v>658331.5498932373</c:v>
                </c:pt>
                <c:pt idx="9">
                  <c:v>717148.73682768154</c:v>
                </c:pt>
                <c:pt idx="10">
                  <c:v>779130.70936297136</c:v>
                </c:pt>
                <c:pt idx="11">
                  <c:v>844424.36137622746</c:v>
                </c:pt>
                <c:pt idx="12">
                  <c:v>913182.97006098216</c:v>
                </c:pt>
                <c:pt idx="13">
                  <c:v>985566.46394886973</c:v>
                </c:pt>
                <c:pt idx="14">
                  <c:v>1061741.7019694089</c:v>
                </c:pt>
                <c:pt idx="15">
                  <c:v>1141882.7639973343</c:v>
                </c:pt>
                <c:pt idx="16">
                  <c:v>1226171.2533551056</c:v>
                </c:pt>
                <c:pt idx="17">
                  <c:v>1314796.6117571348</c:v>
                </c:pt>
                <c:pt idx="18">
                  <c:v>1407956.4472019405</c:v>
                </c:pt>
                <c:pt idx="19">
                  <c:v>1467961.1924181252</c:v>
                </c:pt>
                <c:pt idx="20">
                  <c:v>1530458.2896261599</c:v>
                </c:pt>
                <c:pt idx="21">
                  <c:v>1595549.7369602986</c:v>
                </c:pt>
                <c:pt idx="22">
                  <c:v>1663341.6700815305</c:v>
                </c:pt>
                <c:pt idx="23">
                  <c:v>1733944.529118682</c:v>
                </c:pt>
                <c:pt idx="24">
                  <c:v>1807473.2323231669</c:v>
                </c:pt>
                <c:pt idx="25">
                  <c:v>1884047.3567068246</c:v>
                </c:pt>
                <c:pt idx="26">
                  <c:v>1963791.325943097</c:v>
                </c:pt>
                <c:pt idx="27">
                  <c:v>2046834.60582302</c:v>
                </c:pt>
                <c:pt idx="28">
                  <c:v>2133311.9075691951</c:v>
                </c:pt>
                <c:pt idx="29">
                  <c:v>2223363.3993230485</c:v>
                </c:pt>
                <c:pt idx="30">
                  <c:v>2317134.9261333332</c:v>
                </c:pt>
                <c:pt idx="31">
                  <c:v>2414778.2387869633</c:v>
                </c:pt>
                <c:pt idx="32">
                  <c:v>2516451.2318369462</c:v>
                </c:pt>
                <c:pt idx="33">
                  <c:v>2622318.1911963909</c:v>
                </c:pt>
                <c:pt idx="34">
                  <c:v>2732550.0516823628</c:v>
                </c:pt>
                <c:pt idx="35">
                  <c:v>2847324.6649087262</c:v>
                </c:pt>
                <c:pt idx="36">
                  <c:v>2966827.0779431211</c:v>
                </c:pt>
                <c:pt idx="37">
                  <c:v>3091249.8231598428</c:v>
                </c:pt>
                <c:pt idx="38">
                  <c:v>3220793.2197377081</c:v>
                </c:pt>
              </c:numCache>
            </c:numRef>
          </c:val>
          <c:smooth val="0"/>
          <c:extLst>
            <c:ext xmlns:c16="http://schemas.microsoft.com/office/drawing/2014/chart" uri="{C3380CC4-5D6E-409C-BE32-E72D297353CC}">
              <c16:uniqueId val="{00000000-61B0-4DDE-988A-474E1C899FFC}"/>
            </c:ext>
          </c:extLst>
        </c:ser>
        <c:ser>
          <c:idx val="1"/>
          <c:order val="1"/>
          <c:tx>
            <c:v>Bill's Household savings</c:v>
          </c:tx>
          <c:spPr>
            <a:ln w="28575" cap="rnd">
              <a:solidFill>
                <a:schemeClr val="accent2"/>
              </a:solidFill>
              <a:round/>
            </a:ln>
            <a:effectLst/>
          </c:spPr>
          <c:marker>
            <c:symbol val="none"/>
          </c:marker>
          <c:cat>
            <c:numRef>
              <c:f>'Frank and Bill'!$A$126:$A$164</c:f>
              <c:numCache>
                <c:formatCode>General</c:formatCode>
                <c:ptCount val="39"/>
                <c:pt idx="0">
                  <c:v>62</c:v>
                </c:pt>
                <c:pt idx="1">
                  <c:v>63</c:v>
                </c:pt>
                <c:pt idx="2">
                  <c:v>64</c:v>
                </c:pt>
                <c:pt idx="3">
                  <c:v>65</c:v>
                </c:pt>
                <c:pt idx="4">
                  <c:v>66</c:v>
                </c:pt>
                <c:pt idx="5">
                  <c:v>67</c:v>
                </c:pt>
                <c:pt idx="6">
                  <c:v>68</c:v>
                </c:pt>
                <c:pt idx="7">
                  <c:v>69</c:v>
                </c:pt>
                <c:pt idx="8">
                  <c:v>70</c:v>
                </c:pt>
                <c:pt idx="9">
                  <c:v>71</c:v>
                </c:pt>
                <c:pt idx="10">
                  <c:v>72</c:v>
                </c:pt>
                <c:pt idx="11">
                  <c:v>73</c:v>
                </c:pt>
                <c:pt idx="12">
                  <c:v>74</c:v>
                </c:pt>
                <c:pt idx="13">
                  <c:v>75</c:v>
                </c:pt>
                <c:pt idx="14">
                  <c:v>76</c:v>
                </c:pt>
                <c:pt idx="15">
                  <c:v>77</c:v>
                </c:pt>
                <c:pt idx="16">
                  <c:v>78</c:v>
                </c:pt>
                <c:pt idx="17">
                  <c:v>79</c:v>
                </c:pt>
                <c:pt idx="18">
                  <c:v>80</c:v>
                </c:pt>
                <c:pt idx="19">
                  <c:v>81</c:v>
                </c:pt>
                <c:pt idx="20">
                  <c:v>82</c:v>
                </c:pt>
                <c:pt idx="21">
                  <c:v>83</c:v>
                </c:pt>
                <c:pt idx="22">
                  <c:v>84</c:v>
                </c:pt>
                <c:pt idx="23">
                  <c:v>85</c:v>
                </c:pt>
                <c:pt idx="24">
                  <c:v>86</c:v>
                </c:pt>
                <c:pt idx="25">
                  <c:v>87</c:v>
                </c:pt>
                <c:pt idx="26">
                  <c:v>88</c:v>
                </c:pt>
                <c:pt idx="27">
                  <c:v>89</c:v>
                </c:pt>
                <c:pt idx="28">
                  <c:v>90</c:v>
                </c:pt>
                <c:pt idx="29">
                  <c:v>91</c:v>
                </c:pt>
                <c:pt idx="30">
                  <c:v>92</c:v>
                </c:pt>
                <c:pt idx="31">
                  <c:v>93</c:v>
                </c:pt>
                <c:pt idx="32">
                  <c:v>94</c:v>
                </c:pt>
                <c:pt idx="33">
                  <c:v>95</c:v>
                </c:pt>
                <c:pt idx="34">
                  <c:v>96</c:v>
                </c:pt>
                <c:pt idx="35">
                  <c:v>97</c:v>
                </c:pt>
                <c:pt idx="36">
                  <c:v>98</c:v>
                </c:pt>
                <c:pt idx="37">
                  <c:v>99</c:v>
                </c:pt>
                <c:pt idx="38">
                  <c:v>100</c:v>
                </c:pt>
              </c:numCache>
            </c:numRef>
          </c:cat>
          <c:val>
            <c:numRef>
              <c:f>'Frank and Bill'!$S$126:$S$164</c:f>
              <c:numCache>
                <c:formatCode>"$"#,##0.00</c:formatCode>
                <c:ptCount val="39"/>
                <c:pt idx="0">
                  <c:v>264611.20000000001</c:v>
                </c:pt>
                <c:pt idx="1">
                  <c:v>277559.29800000007</c:v>
                </c:pt>
                <c:pt idx="2">
                  <c:v>291084.41117000009</c:v>
                </c:pt>
                <c:pt idx="3">
                  <c:v>305211.09739805013</c:v>
                </c:pt>
                <c:pt idx="4">
                  <c:v>319964.93381975341</c:v>
                </c:pt>
                <c:pt idx="5">
                  <c:v>335372.55851146928</c:v>
                </c:pt>
                <c:pt idx="6">
                  <c:v>351461.71387432696</c:v>
                </c:pt>
                <c:pt idx="7">
                  <c:v>368261.29177725891</c:v>
                </c:pt>
                <c:pt idx="8">
                  <c:v>427792.74053000717</c:v>
                </c:pt>
                <c:pt idx="9">
                  <c:v>490825.47215990676</c:v>
                </c:pt>
                <c:pt idx="10">
                  <c:v>557527.5386052198</c:v>
                </c:pt>
                <c:pt idx="11">
                  <c:v>628074.4138973183</c:v>
                </c:pt>
                <c:pt idx="12">
                  <c:v>702649.30854479794</c:v>
                </c:pt>
                <c:pt idx="13">
                  <c:v>781443.4969304665</c:v>
                </c:pt>
                <c:pt idx="14">
                  <c:v>864656.65825265879</c:v>
                </c:pt>
                <c:pt idx="15">
                  <c:v>952497.23156386311</c:v>
                </c:pt>
                <c:pt idx="16">
                  <c:v>1045182.7854820429</c:v>
                </c:pt>
                <c:pt idx="17">
                  <c:v>1142940.4031733405</c:v>
                </c:pt>
                <c:pt idx="18">
                  <c:v>1246007.0832290903</c:v>
                </c:pt>
                <c:pt idx="19">
                  <c:v>1307539.6354366629</c:v>
                </c:pt>
                <c:pt idx="20">
                  <c:v>1371825.7964544985</c:v>
                </c:pt>
                <c:pt idx="21">
                  <c:v>1438983.0183030569</c:v>
                </c:pt>
                <c:pt idx="22">
                  <c:v>1509133.6337753171</c:v>
                </c:pt>
                <c:pt idx="23">
                  <c:v>1582405.0562349712</c:v>
                </c:pt>
                <c:pt idx="24">
                  <c:v>1658929.9875207273</c:v>
                </c:pt>
                <c:pt idx="25">
                  <c:v>1738846.6342838227</c:v>
                </c:pt>
                <c:pt idx="26">
                  <c:v>1822298.9330989986</c:v>
                </c:pt>
                <c:pt idx="27">
                  <c:v>1909436.784702877</c:v>
                </c:pt>
                <c:pt idx="28">
                  <c:v>2000416.2977279087</c:v>
                </c:pt>
                <c:pt idx="29">
                  <c:v>2095400.0423148645</c:v>
                </c:pt>
                <c:pt idx="30">
                  <c:v>2194557.3140022447</c:v>
                </c:pt>
                <c:pt idx="31">
                  <c:v>2298064.4083069894</c:v>
                </c:pt>
                <c:pt idx="32">
                  <c:v>2406104.9064275404</c:v>
                </c:pt>
                <c:pt idx="33">
                  <c:v>2518869.9725176203</c:v>
                </c:pt>
                <c:pt idx="34">
                  <c:v>2636558.6629971275</c:v>
                </c:pt>
                <c:pt idx="35">
                  <c:v>2759378.2483852855</c:v>
                </c:pt>
                <c:pt idx="36">
                  <c:v>2887544.5481606768</c:v>
                </c:pt>
                <c:pt idx="37">
                  <c:v>3021282.2791730827</c:v>
                </c:pt>
                <c:pt idx="38">
                  <c:v>3160825.4181531346</c:v>
                </c:pt>
              </c:numCache>
            </c:numRef>
          </c:val>
          <c:smooth val="0"/>
          <c:extLst>
            <c:ext xmlns:c16="http://schemas.microsoft.com/office/drawing/2014/chart" uri="{C3380CC4-5D6E-409C-BE32-E72D297353CC}">
              <c16:uniqueId val="{00000001-61B0-4DDE-988A-474E1C899FFC}"/>
            </c:ext>
          </c:extLst>
        </c:ser>
        <c:dLbls>
          <c:showLegendKey val="0"/>
          <c:showVal val="0"/>
          <c:showCatName val="0"/>
          <c:showSerName val="0"/>
          <c:showPercent val="0"/>
          <c:showBubbleSize val="0"/>
        </c:dLbls>
        <c:smooth val="0"/>
        <c:axId val="35153295"/>
        <c:axId val="35173455"/>
      </c:lineChart>
      <c:catAx>
        <c:axId val="351532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73455"/>
        <c:crosses val="autoZero"/>
        <c:auto val="1"/>
        <c:lblAlgn val="ctr"/>
        <c:lblOffset val="100"/>
        <c:noMultiLvlLbl val="0"/>
      </c:catAx>
      <c:valAx>
        <c:axId val="351734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532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1202871</xdr:colOff>
      <xdr:row>116</xdr:row>
      <xdr:rowOff>105228</xdr:rowOff>
    </xdr:from>
    <xdr:to>
      <xdr:col>5</xdr:col>
      <xdr:colOff>550333</xdr:colOff>
      <xdr:row>120</xdr:row>
      <xdr:rowOff>114905</xdr:rowOff>
    </xdr:to>
    <xdr:sp macro="" textlink="">
      <xdr:nvSpPr>
        <xdr:cNvPr id="2" name="TextBox 1">
          <a:extLst>
            <a:ext uri="{FF2B5EF4-FFF2-40B4-BE49-F238E27FC236}">
              <a16:creationId xmlns:a16="http://schemas.microsoft.com/office/drawing/2014/main" id="{0CA29996-7BEE-9FE9-5500-48C94FB5EFDD}"/>
            </a:ext>
          </a:extLst>
        </xdr:cNvPr>
        <xdr:cNvSpPr txBox="1"/>
      </xdr:nvSpPr>
      <xdr:spPr>
        <a:xfrm>
          <a:off x="2285395" y="27319514"/>
          <a:ext cx="3979938" cy="7353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a:t>
          </a:r>
          <a:r>
            <a:rPr lang="en-US" sz="1100" baseline="0"/>
            <a:t> this example the cost of living is equal to the yearly benefit at 62. The person who does not defer takes nothing out of saving.  The person who does defer must dig into savings. This other rate of return is caluculated. This compares when the person who defers catches up</a:t>
          </a:r>
          <a:endParaRPr lang="en-US" sz="1100"/>
        </a:p>
      </xdr:txBody>
    </xdr:sp>
    <xdr:clientData/>
  </xdr:twoCellAnchor>
  <xdr:twoCellAnchor>
    <xdr:from>
      <xdr:col>4</xdr:col>
      <xdr:colOff>1140818</xdr:colOff>
      <xdr:row>17</xdr:row>
      <xdr:rowOff>158567</xdr:rowOff>
    </xdr:from>
    <xdr:to>
      <xdr:col>11</xdr:col>
      <xdr:colOff>964754</xdr:colOff>
      <xdr:row>40</xdr:row>
      <xdr:rowOff>162203</xdr:rowOff>
    </xdr:to>
    <xdr:graphicFrame macro="">
      <xdr:nvGraphicFramePr>
        <xdr:cNvPr id="3" name="Chart 2">
          <a:extLst>
            <a:ext uri="{FF2B5EF4-FFF2-40B4-BE49-F238E27FC236}">
              <a16:creationId xmlns:a16="http://schemas.microsoft.com/office/drawing/2014/main" id="{955103F5-5BFF-8FFE-7CFB-1BFF30315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2563</xdr:colOff>
      <xdr:row>18</xdr:row>
      <xdr:rowOff>8354</xdr:rowOff>
    </xdr:from>
    <xdr:to>
      <xdr:col>21</xdr:col>
      <xdr:colOff>485050</xdr:colOff>
      <xdr:row>42</xdr:row>
      <xdr:rowOff>132905</xdr:rowOff>
    </xdr:to>
    <xdr:graphicFrame macro="">
      <xdr:nvGraphicFramePr>
        <xdr:cNvPr id="5" name="Chart 4">
          <a:extLst>
            <a:ext uri="{FF2B5EF4-FFF2-40B4-BE49-F238E27FC236}">
              <a16:creationId xmlns:a16="http://schemas.microsoft.com/office/drawing/2014/main" id="{D76BD2E2-E93C-26DB-AFAD-0584D3A8FD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23156</xdr:colOff>
      <xdr:row>18</xdr:row>
      <xdr:rowOff>8592</xdr:rowOff>
    </xdr:from>
    <xdr:to>
      <xdr:col>37</xdr:col>
      <xdr:colOff>16933</xdr:colOff>
      <xdr:row>42</xdr:row>
      <xdr:rowOff>169333</xdr:rowOff>
    </xdr:to>
    <xdr:graphicFrame macro="">
      <xdr:nvGraphicFramePr>
        <xdr:cNvPr id="6" name="Chart 5">
          <a:extLst>
            <a:ext uri="{FF2B5EF4-FFF2-40B4-BE49-F238E27FC236}">
              <a16:creationId xmlns:a16="http://schemas.microsoft.com/office/drawing/2014/main" id="{24DECA7C-FEA8-5933-D443-5678DCF9FA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61940</xdr:rowOff>
    </xdr:from>
    <xdr:to>
      <xdr:col>2</xdr:col>
      <xdr:colOff>888999</xdr:colOff>
      <xdr:row>9</xdr:row>
      <xdr:rowOff>169333</xdr:rowOff>
    </xdr:to>
    <xdr:sp macro="" textlink="">
      <xdr:nvSpPr>
        <xdr:cNvPr id="9" name="TextBox 8">
          <a:extLst>
            <a:ext uri="{FF2B5EF4-FFF2-40B4-BE49-F238E27FC236}">
              <a16:creationId xmlns:a16="http://schemas.microsoft.com/office/drawing/2014/main" id="{36AE5F66-09AD-41F0-AE9D-713596819DAD}"/>
            </a:ext>
          </a:extLst>
        </xdr:cNvPr>
        <xdr:cNvSpPr txBox="1"/>
      </xdr:nvSpPr>
      <xdr:spPr>
        <a:xfrm>
          <a:off x="0" y="61940"/>
          <a:ext cx="3174999" cy="1783793"/>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Aptos Narrow" panose="02110004020202020204"/>
              <a:ea typeface="+mn-ea"/>
              <a:cs typeface="+mn-cs"/>
            </a:rPr>
            <a:t>Enter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Aptos Narrow" panose="02110004020202020204"/>
              <a:ea typeface="+mn-ea"/>
              <a:cs typeface="+mn-cs"/>
            </a:rPr>
            <a:t>Full Retirement Age Benefit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Aptos Narrow" panose="02110004020202020204"/>
              <a:ea typeface="+mn-ea"/>
              <a:cs typeface="+mn-cs"/>
            </a:rPr>
            <a:t>Life Expectancy</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Aptos Narrow" panose="02110004020202020204"/>
              <a:ea typeface="+mn-ea"/>
              <a:cs typeface="+mn-cs"/>
            </a:rPr>
            <a:t>Cola (Cost of Living Adjustment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Aptos Narrow" panose="02110004020202020204"/>
              <a:ea typeface="+mn-ea"/>
              <a:cs typeface="+mn-cs"/>
            </a:rPr>
            <a:t>Expected Rate of Return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Aptos Narrow" panose="02110004020202020204"/>
              <a:ea typeface="+mn-ea"/>
              <a:cs typeface="+mn-cs"/>
            </a:rPr>
            <a:t>Discount Rate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Aptos Narrow" panose="02110004020202020204"/>
              <a:ea typeface="+mn-ea"/>
              <a:cs typeface="+mn-cs"/>
            </a:rPr>
            <a:t>Retirement Funds to draw from</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Average montly SS payment in 2025 was about $1976. FRA of $2822  makes benefit at 62 equal $1975.</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552450</xdr:colOff>
      <xdr:row>66</xdr:row>
      <xdr:rowOff>49530</xdr:rowOff>
    </xdr:from>
    <xdr:to>
      <xdr:col>8</xdr:col>
      <xdr:colOff>824726</xdr:colOff>
      <xdr:row>71</xdr:row>
      <xdr:rowOff>162622</xdr:rowOff>
    </xdr:to>
    <xdr:sp macro="" textlink="">
      <xdr:nvSpPr>
        <xdr:cNvPr id="2" name="TextBox 1">
          <a:extLst>
            <a:ext uri="{FF2B5EF4-FFF2-40B4-BE49-F238E27FC236}">
              <a16:creationId xmlns:a16="http://schemas.microsoft.com/office/drawing/2014/main" id="{C793234D-27DC-A2E6-FDEE-FB193CEB0295}"/>
            </a:ext>
          </a:extLst>
        </xdr:cNvPr>
        <xdr:cNvSpPr txBox="1"/>
      </xdr:nvSpPr>
      <xdr:spPr>
        <a:xfrm>
          <a:off x="2457450" y="13198676"/>
          <a:ext cx="6149898" cy="10423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Frank</a:t>
          </a:r>
          <a:r>
            <a:rPr lang="en-US" sz="1400" b="1" baseline="0"/>
            <a:t> and Bill are mairred.  Their wifes are both the same age,65 at the age they (Bill and Frank)  are 62. Their wifes take early SS benefits at 65.</a:t>
          </a:r>
          <a:endParaRPr lang="en-US" sz="1400" b="1"/>
        </a:p>
      </xdr:txBody>
    </xdr:sp>
    <xdr:clientData/>
  </xdr:twoCellAnchor>
  <xdr:twoCellAnchor>
    <xdr:from>
      <xdr:col>2</xdr:col>
      <xdr:colOff>750570</xdr:colOff>
      <xdr:row>117</xdr:row>
      <xdr:rowOff>80010</xdr:rowOff>
    </xdr:from>
    <xdr:to>
      <xdr:col>5</xdr:col>
      <xdr:colOff>746760</xdr:colOff>
      <xdr:row>122</xdr:row>
      <xdr:rowOff>80010</xdr:rowOff>
    </xdr:to>
    <xdr:sp macro="" textlink="">
      <xdr:nvSpPr>
        <xdr:cNvPr id="3" name="TextBox 2">
          <a:extLst>
            <a:ext uri="{FF2B5EF4-FFF2-40B4-BE49-F238E27FC236}">
              <a16:creationId xmlns:a16="http://schemas.microsoft.com/office/drawing/2014/main" id="{1F2AA65B-A8A0-5237-21CE-DAE7DAD67B91}"/>
            </a:ext>
          </a:extLst>
        </xdr:cNvPr>
        <xdr:cNvSpPr txBox="1"/>
      </xdr:nvSpPr>
      <xdr:spPr>
        <a:xfrm>
          <a:off x="2708910" y="22475190"/>
          <a:ext cx="270891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Sadly Frank and Bill passed on too soon.</a:t>
          </a:r>
        </a:p>
        <a:p>
          <a:r>
            <a:rPr lang="en-US" sz="1100" baseline="0"/>
            <a:t>Select the age at the top. Their spouses started their SS benifits at 65 so they will recieve 90% of Frank or Bills Benefit.</a:t>
          </a:r>
          <a:endParaRPr lang="en-US" sz="1100"/>
        </a:p>
      </xdr:txBody>
    </xdr:sp>
    <xdr:clientData/>
  </xdr:twoCellAnchor>
  <xdr:twoCellAnchor>
    <xdr:from>
      <xdr:col>0</xdr:col>
      <xdr:colOff>0</xdr:colOff>
      <xdr:row>211</xdr:row>
      <xdr:rowOff>34708</xdr:rowOff>
    </xdr:from>
    <xdr:to>
      <xdr:col>9</xdr:col>
      <xdr:colOff>0</xdr:colOff>
      <xdr:row>244</xdr:row>
      <xdr:rowOff>129152</xdr:rowOff>
    </xdr:to>
    <xdr:graphicFrame macro="">
      <xdr:nvGraphicFramePr>
        <xdr:cNvPr id="6" name="Chart 5">
          <a:extLst>
            <a:ext uri="{FF2B5EF4-FFF2-40B4-BE49-F238E27FC236}">
              <a16:creationId xmlns:a16="http://schemas.microsoft.com/office/drawing/2014/main" id="{E5B157C9-6C8C-7E57-7B33-4ABF4EA47B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750190</xdr:colOff>
      <xdr:row>5</xdr:row>
      <xdr:rowOff>135762</xdr:rowOff>
    </xdr:from>
    <xdr:to>
      <xdr:col>5</xdr:col>
      <xdr:colOff>807302</xdr:colOff>
      <xdr:row>8</xdr:row>
      <xdr:rowOff>180530</xdr:rowOff>
    </xdr:to>
    <xdr:sp macro="" textlink="">
      <xdr:nvSpPr>
        <xdr:cNvPr id="5" name="TextBox 4">
          <a:extLst>
            <a:ext uri="{FF2B5EF4-FFF2-40B4-BE49-F238E27FC236}">
              <a16:creationId xmlns:a16="http://schemas.microsoft.com/office/drawing/2014/main" id="{B2D9C577-D7D8-D00A-9A12-008097D1A850}"/>
            </a:ext>
          </a:extLst>
        </xdr:cNvPr>
        <xdr:cNvSpPr txBox="1"/>
      </xdr:nvSpPr>
      <xdr:spPr>
        <a:xfrm>
          <a:off x="2655190" y="1683575"/>
          <a:ext cx="2696331" cy="9972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Averag</a:t>
          </a:r>
          <a:r>
            <a:rPr lang="en-US" sz="1100" b="1" baseline="0"/>
            <a:t>e montly SS payment in 2025 was about $1976. FRA of $2822  makes benefit at 62 equal $1975.</a:t>
          </a:r>
          <a:endParaRPr lang="en-US" sz="1100" b="1"/>
        </a:p>
      </xdr:txBody>
    </xdr:sp>
    <xdr:clientData/>
  </xdr:twoCellAnchor>
  <xdr:twoCellAnchor>
    <xdr:from>
      <xdr:col>15</xdr:col>
      <xdr:colOff>710890</xdr:colOff>
      <xdr:row>21</xdr:row>
      <xdr:rowOff>95250</xdr:rowOff>
    </xdr:from>
    <xdr:to>
      <xdr:col>24</xdr:col>
      <xdr:colOff>171450</xdr:colOff>
      <xdr:row>47</xdr:row>
      <xdr:rowOff>13025</xdr:rowOff>
    </xdr:to>
    <xdr:graphicFrame macro="">
      <xdr:nvGraphicFramePr>
        <xdr:cNvPr id="4" name="Chart 3">
          <a:extLst>
            <a:ext uri="{FF2B5EF4-FFF2-40B4-BE49-F238E27FC236}">
              <a16:creationId xmlns:a16="http://schemas.microsoft.com/office/drawing/2014/main" id="{0CDC9F60-1AB2-9D5E-2093-2A47D6CDEE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502782</xdr:colOff>
      <xdr:row>82</xdr:row>
      <xdr:rowOff>97970</xdr:rowOff>
    </xdr:from>
    <xdr:to>
      <xdr:col>33</xdr:col>
      <xdr:colOff>533400</xdr:colOff>
      <xdr:row>120</xdr:row>
      <xdr:rowOff>85725</xdr:rowOff>
    </xdr:to>
    <xdr:graphicFrame macro="">
      <xdr:nvGraphicFramePr>
        <xdr:cNvPr id="8" name="Chart 7">
          <a:extLst>
            <a:ext uri="{FF2B5EF4-FFF2-40B4-BE49-F238E27FC236}">
              <a16:creationId xmlns:a16="http://schemas.microsoft.com/office/drawing/2014/main" id="{278B2BFC-C69E-869D-DC29-02A7AFFE8F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215986</xdr:colOff>
      <xdr:row>139</xdr:row>
      <xdr:rowOff>117520</xdr:rowOff>
    </xdr:from>
    <xdr:to>
      <xdr:col>38</xdr:col>
      <xdr:colOff>590281</xdr:colOff>
      <xdr:row>172</xdr:row>
      <xdr:rowOff>80493</xdr:rowOff>
    </xdr:to>
    <xdr:graphicFrame macro="">
      <xdr:nvGraphicFramePr>
        <xdr:cNvPr id="9" name="Chart 8">
          <a:extLst>
            <a:ext uri="{FF2B5EF4-FFF2-40B4-BE49-F238E27FC236}">
              <a16:creationId xmlns:a16="http://schemas.microsoft.com/office/drawing/2014/main" id="{5500C8DE-06D0-CDFD-FDF5-483C28DCC4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2</xdr:col>
      <xdr:colOff>965200</xdr:colOff>
      <xdr:row>48</xdr:row>
      <xdr:rowOff>38100</xdr:rowOff>
    </xdr:from>
    <xdr:ext cx="184731" cy="264560"/>
    <xdr:sp macro="" textlink="">
      <xdr:nvSpPr>
        <xdr:cNvPr id="3" name="TextBox 2">
          <a:extLst>
            <a:ext uri="{FF2B5EF4-FFF2-40B4-BE49-F238E27FC236}">
              <a16:creationId xmlns:a16="http://schemas.microsoft.com/office/drawing/2014/main" id="{6F1D077E-038E-EE57-116B-146F3C0CA091}"/>
            </a:ext>
          </a:extLst>
        </xdr:cNvPr>
        <xdr:cNvSpPr txBox="1"/>
      </xdr:nvSpPr>
      <xdr:spPr>
        <a:xfrm>
          <a:off x="2559050" y="9239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3</xdr:col>
      <xdr:colOff>158750</xdr:colOff>
      <xdr:row>49</xdr:row>
      <xdr:rowOff>107950</xdr:rowOff>
    </xdr:from>
    <xdr:to>
      <xdr:col>7</xdr:col>
      <xdr:colOff>88900</xdr:colOff>
      <xdr:row>53</xdr:row>
      <xdr:rowOff>76200</xdr:rowOff>
    </xdr:to>
    <xdr:sp macro="" textlink="">
      <xdr:nvSpPr>
        <xdr:cNvPr id="4" name="TextBox 3">
          <a:extLst>
            <a:ext uri="{FF2B5EF4-FFF2-40B4-BE49-F238E27FC236}">
              <a16:creationId xmlns:a16="http://schemas.microsoft.com/office/drawing/2014/main" id="{1BFA2444-7626-A12D-DA8C-AEA39DF80CED}"/>
            </a:ext>
          </a:extLst>
        </xdr:cNvPr>
        <xdr:cNvSpPr txBox="1"/>
      </xdr:nvSpPr>
      <xdr:spPr>
        <a:xfrm>
          <a:off x="2774950" y="9493250"/>
          <a:ext cx="3524250" cy="704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Survior benefits,</a:t>
          </a:r>
        </a:p>
        <a:p>
          <a:pPr algn="ctr"/>
          <a:r>
            <a:rPr lang="en-US" sz="1100" b="1"/>
            <a:t> The</a:t>
          </a:r>
          <a:r>
            <a:rPr lang="en-US" sz="1100" b="1" baseline="0"/>
            <a:t> l</a:t>
          </a:r>
          <a:r>
            <a:rPr lang="en-US" sz="1100" b="1"/>
            <a:t>ower income spouse</a:t>
          </a:r>
          <a:r>
            <a:rPr lang="en-US" sz="1100" b="1" baseline="0"/>
            <a:t> takes at 65.</a:t>
          </a:r>
        </a:p>
        <a:p>
          <a:pPr algn="ctr"/>
          <a:r>
            <a:rPr lang="en-US" sz="1100" b="1" baseline="0"/>
            <a:t>What should the higher income spouse do?</a:t>
          </a:r>
        </a:p>
        <a:p>
          <a:pPr algn="ctr"/>
          <a:r>
            <a:rPr lang="en-US" sz="1100" b="1" baseline="0"/>
            <a:t>Take at 62, 67 or 70</a:t>
          </a:r>
          <a:endParaRPr lang="en-US" sz="1100" b="1"/>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9BAADD4-EA81-4A60-885B-ED29FF403188}" autoFormatId="16" applyNumberFormats="0" applyBorderFormats="0" applyFontFormats="0" applyPatternFormats="0" applyAlignmentFormats="0" applyWidthHeightFormats="0">
  <queryTableRefresh nextId="7">
    <queryTableFields count="6">
      <queryTableField id="1" name="Series ID" tableColumnId="1"/>
      <queryTableField id="2" name="Year" tableColumnId="2"/>
      <queryTableField id="3" name="Period" tableColumnId="3"/>
      <queryTableField id="4" name="Label" tableColumnId="4"/>
      <queryTableField id="5" name="Value" tableColumnId="5"/>
      <queryTableField id="6" name="12-Month % Change"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FC62D7EC-FFB2-4E42-B5E2-2DCAE34A5293}"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0F81682-FF81-43B6-8506-4A3C8F35221C}" name="Table3" displayName="Table3" ref="A10:L49" totalsRowShown="0" headerRowDxfId="40" headerRowBorderDxfId="53" tableBorderDxfId="54">
  <autoFilter ref="A10:L49" xr:uid="{B0F81682-FF81-43B6-8506-4A3C8F35221C}"/>
  <tableColumns count="12">
    <tableColumn id="1" xr3:uid="{91F9657F-76AF-49E5-9FAA-1EC906CE3976}" name="Age" dataDxfId="52"/>
    <tableColumn id="2" xr3:uid="{D1DC4DAB-E810-4A02-91B5-1CD2CC842A9E}" name="Year" dataDxfId="51"/>
    <tableColumn id="3" xr3:uid="{87EDFE76-68F6-4482-AB0B-A10004CE1953}" name="Desired Annual Spending" dataDxfId="50">
      <calculatedColumnFormula>C10*(1+$B$5)</calculatedColumnFormula>
    </tableColumn>
    <tableColumn id="4" xr3:uid="{84B24CC3-B916-45FC-9C7E-45FFF2CD781E}" name="Social Security at 62" dataDxfId="49">
      <calculatedColumnFormula>Main!B78</calculatedColumnFormula>
    </tableColumn>
    <tableColumn id="5" xr3:uid="{5BEF51CD-9225-41BA-A793-D29A2BD1362A}" name="Portfolio withdrawal if claiming at 62" dataDxfId="48">
      <calculatedColumnFormula>MAX(0,C11-D11)</calculatedColumnFormula>
    </tableColumn>
    <tableColumn id="6" xr3:uid="{3C8AC011-AA63-45B5-A34F-DBDD0054282B}" name="Portfolio balance if claiming at 62" dataDxfId="47">
      <calculatedColumnFormula>F10*(1+$B$3)-E11</calculatedColumnFormula>
    </tableColumn>
    <tableColumn id="7" xr3:uid="{176E9BE2-CE64-40CA-AF6B-0D12BB832E37}" name="Social Security at 67" dataDxfId="46">
      <calculatedColumnFormula>Main!D78</calculatedColumnFormula>
    </tableColumn>
    <tableColumn id="8" xr3:uid="{A2254E6F-0D0A-4A9F-ABF3-278B8DAA7620}" name="Portfoilo withdrawal if claiming at 67" dataDxfId="45">
      <calculatedColumnFormula>C11-G11</calculatedColumnFormula>
    </tableColumn>
    <tableColumn id="9" xr3:uid="{1E21D14F-9BEB-47BA-8A7A-D630B2A3C790}" name="Portfolio Balance if claiming at 67" dataDxfId="44">
      <calculatedColumnFormula>I10*(1+$B$3)-H11</calculatedColumnFormula>
    </tableColumn>
    <tableColumn id="10" xr3:uid="{DE9BB7C3-9897-4E76-A0AB-B2E8505BA9A1}" name="Social Security at 70" dataDxfId="43">
      <calculatedColumnFormula>Main!F78</calculatedColumnFormula>
    </tableColumn>
    <tableColumn id="11" xr3:uid="{4B07BF70-5301-45DB-AC5F-05CD2CBBFD92}" name="Portfolio withdrawal if claiing at 70" dataDxfId="42">
      <calculatedColumnFormula>C11-J11</calculatedColumnFormula>
    </tableColumn>
    <tableColumn id="12" xr3:uid="{14664249-5503-46C0-A54B-6181A18F7A58}" name="Portfoilo balace if claiming at 70" dataDxfId="41">
      <calculatedColumnFormula>L10*(1+$B$3)-K11</calculatedColumnFormula>
    </tableColumn>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746A155-5BA6-4AEF-8769-48F68FF9FD20}" name="Table5" displayName="Table5" ref="A32:D71" totalsRowShown="0" headerRowDxfId="33" headerRowBorderDxfId="38" tableBorderDxfId="39">
  <autoFilter ref="A32:D71" xr:uid="{6746A155-5BA6-4AEF-8769-48F68FF9FD20}"/>
  <tableColumns count="4">
    <tableColumn id="1" xr3:uid="{E38FE92B-0EF2-4FB6-910D-49E18AB270EA}" name="AGE" dataDxfId="37"/>
    <tableColumn id="2" xr3:uid="{F35199B2-E01F-4B72-A48F-56ECD3539D56}" name="Monthy Benefit taken at 62 (Cola)" dataDxfId="36">
      <calculatedColumnFormula>B32*(1+$B$13)</calculatedColumnFormula>
    </tableColumn>
    <tableColumn id="3" xr3:uid="{03DF8C23-BA45-4F91-8833-C88D608E057A}" name="Monthly Benefit taken at 67 (cola)" dataDxfId="35">
      <calculatedColumnFormula>C32*(1+$B$13)</calculatedColumnFormula>
    </tableColumn>
    <tableColumn id="4" xr3:uid="{07886920-E92F-4924-95B4-2BBEA813BD1B}" name="Monthly Benefit taken at 70 (cola)" dataDxfId="34">
      <calculatedColumnFormula>D32*(1+$B$13)</calculatedColumnFormula>
    </tableColumn>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92A9C24-8D21-49F6-8578-74E8587CA171}" name="Table6" displayName="Table6" ref="A77:O116" totalsRowShown="0" headerRowDxfId="16" tableBorderDxfId="32">
  <autoFilter ref="A77:O116" xr:uid="{A92A9C24-8D21-49F6-8578-74E8587CA171}"/>
  <tableColumns count="15">
    <tableColumn id="1" xr3:uid="{70732427-FC9E-4B97-BC46-FB9C0B0F4D76}" name="Age" dataDxfId="31"/>
    <tableColumn id="2" xr3:uid="{D709109F-2108-46B5-859B-1B46AA48FC7E}" name="62 yearly benefit" dataDxfId="30">
      <calculatedColumnFormula>B33*12</calculatedColumnFormula>
    </tableColumn>
    <tableColumn id="3" xr3:uid="{7B74FD5E-487A-46DC-AA64-8B5BAFBEF5DC}" name="62 total with Cola" dataDxfId="29">
      <calculatedColumnFormula>C77+B78</calculatedColumnFormula>
    </tableColumn>
    <tableColumn id="4" xr3:uid="{AF01B65E-BB07-4939-A3F6-B020A1679B3A}" name="67 yearly benefit w Cola" dataDxfId="28">
      <calculatedColumnFormula>C33*12</calculatedColumnFormula>
    </tableColumn>
    <tableColumn id="5" xr3:uid="{E0FB19D2-B2AA-43E1-83EF-585F0760339C}" name="67 total with Cola" dataDxfId="27">
      <calculatedColumnFormula>E77+D78</calculatedColumnFormula>
    </tableColumn>
    <tableColumn id="6" xr3:uid="{A2CE204E-119C-4602-A262-343673F2D1BF}" name="70 yearly benefit w Cola" dataDxfId="26">
      <calculatedColumnFormula>D33*12</calculatedColumnFormula>
    </tableColumn>
    <tableColumn id="7" xr3:uid="{EE98B66A-FCE3-4FFB-A178-D31A21759BE0}" name="70 total w cola" dataDxfId="25">
      <calculatedColumnFormula>G77+F78</calculatedColumnFormula>
    </tableColumn>
    <tableColumn id="8" xr3:uid="{E9BED623-193B-4B57-BC6F-BA36A4FBF5D0}" name="62 yearly todays $'s" dataDxfId="24">
      <calculatedColumnFormula>B78/(1+$B$15)^(A78-$A$78)</calculatedColumnFormula>
    </tableColumn>
    <tableColumn id="9" xr3:uid="{6B5C893C-0696-4717-BCAA-79C3F3462DCE}" name="67 yearly in todays $" dataDxfId="23">
      <calculatedColumnFormula>D78/(1+$B$15)^(A78-$A$78)</calculatedColumnFormula>
    </tableColumn>
    <tableColumn id="10" xr3:uid="{CFC9E749-6C6C-47BC-9F16-1F191B01AF11}" name="70 yearly in todays $" dataDxfId="22">
      <calculatedColumnFormula>F78/(1+$B$15)^(A78-$A$78)</calculatedColumnFormula>
    </tableColumn>
    <tableColumn id="11" xr3:uid="{EC419AD3-C0C4-4FB0-B00F-EB3426C039A4}" name="62 total in todays $" dataDxfId="21">
      <calculatedColumnFormula>K77+H78</calculatedColumnFormula>
    </tableColumn>
    <tableColumn id="12" xr3:uid="{ED0AE73D-F1B8-4EA9-A5AF-99AD4B4B73A9}" name="67 total in todays $" dataDxfId="20">
      <calculatedColumnFormula>L77+I78</calculatedColumnFormula>
    </tableColumn>
    <tableColumn id="13" xr3:uid="{2785A7CD-15B2-4F13-B2E3-74AA12B1994B}" name="70 total in todays $'S" dataDxfId="19">
      <calculatedColumnFormula>M77+J78</calculatedColumnFormula>
    </tableColumn>
    <tableColumn id="14" xr3:uid="{4060FF4F-AA38-4951-AB5B-DFE4261F06B8}" name="Discount rate = 4 %" dataDxfId="18">
      <calculatedColumnFormula>$N$78/(1+$B$15)^(A78-$A$78)</calculatedColumnFormula>
    </tableColumn>
    <tableColumn id="15" xr3:uid="{AB26B88E-7C88-4BA3-B3CC-14BD9417C382}" name="Rate of return = 4 %" dataDxfId="17">
      <calculatedColumnFormula>$O$78*(1+$B$14)^(A78-$A$78)</calculatedColumnFormula>
    </tableColumn>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3028C1A-4114-4687-A24B-27A1D5B1C377}" name="Table7" displayName="Table7" ref="A122:E161" totalsRowShown="0" headerRowDxfId="8" headerRowBorderDxfId="14" tableBorderDxfId="15">
  <autoFilter ref="A122:E161" xr:uid="{03028C1A-4114-4687-A24B-27A1D5B1C377}"/>
  <tableColumns count="5">
    <tableColumn id="1" xr3:uid="{EE41382E-18C0-4B8A-A98A-3701A4597069}" name="Age" dataDxfId="13"/>
    <tableColumn id="2" xr3:uid="{A26F3E4E-E81B-4E79-AFB9-A7DF00AFFD0C}" name="62, yearly benefit with cola" dataDxfId="12">
      <calculatedColumnFormula>B78</calculatedColumnFormula>
    </tableColumn>
    <tableColumn id="3" xr3:uid="{5E75AC77-C5A1-463D-A57D-315505498BBB}" name="62,  benefit-&gt;total" dataDxfId="11">
      <calculatedColumnFormula>C122+B123</calculatedColumnFormula>
    </tableColumn>
    <tableColumn id="4" xr3:uid="{186BCBE7-B29E-4511-85DC-026BBD39351B}" name="67, cola, total" dataDxfId="10">
      <calculatedColumnFormula>D78+D122</calculatedColumnFormula>
    </tableColumn>
    <tableColumn id="5" xr3:uid="{48578AA1-46F5-47F7-B533-0160F7D6DEC8}" name="70, cola, invest total" dataDxfId="9">
      <calculatedColumnFormula>E122+F78</calculatedColumnFormula>
    </tableColumn>
  </tableColumns>
  <tableStyleInfo name="TableStyleMedium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62CB041-B58D-45CF-A227-2991492A8F86}" name="Table8" displayName="Table8" ref="A166:E205" totalsRowShown="0" headerRowDxfId="0" headerRowBorderDxfId="6" tableBorderDxfId="7">
  <autoFilter ref="A166:E205" xr:uid="{262CB041-B58D-45CF-A227-2991492A8F86}"/>
  <tableColumns count="5">
    <tableColumn id="1" xr3:uid="{F2CD837F-BAB1-4C61-A988-7A7EF8BF09C4}" name="Age" dataDxfId="5"/>
    <tableColumn id="2" xr3:uid="{0A2E1D0E-D00B-4E0C-8D1C-83C0906BD833}" name="62, yearly benefit with cola" dataDxfId="4">
      <calculatedColumnFormula>B78</calculatedColumnFormula>
    </tableColumn>
    <tableColumn id="3" xr3:uid="{9ED6B9F8-3DDE-4AF3-90D0-F1C7FC01851D}" name="62,  benefit-&gt;total" dataDxfId="3">
      <calculatedColumnFormula>C166*(1+$B$14)</calculatedColumnFormula>
    </tableColumn>
    <tableColumn id="4" xr3:uid="{01EC0328-A390-44D7-BFC6-8FC6AD638A3C}" name="67, cola, total" dataDxfId="2">
      <calculatedColumnFormula>(D166)*(1+$B$14)+(D78-B167)</calculatedColumnFormula>
    </tableColumn>
    <tableColumn id="5" xr3:uid="{65CF7CEF-43B8-49B5-A682-6A2AF25BC990}" name="70, cola, invest total" dataDxfId="1">
      <calculatedColumnFormula>(E166)*(1+$B$14)+(F78-B167)</calculatedColumnFormula>
    </tableColumn>
  </tableColumns>
  <tableStyleInfo name="TableStyleMedium1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60DF8B-1B04-4B37-9349-34C8CFF29B26}" name="Cpi_index_inflation_montly_1925_2025" displayName="Cpi_index_inflation_montly_1925_2025" ref="A1:F1210" tableType="queryTable" totalsRowShown="0">
  <autoFilter ref="A1:F1210" xr:uid="{5560DF8B-1B04-4B37-9349-34C8CFF29B26}">
    <filterColumn colId="2">
      <filters>
        <filter val="M01"/>
      </filters>
    </filterColumn>
  </autoFilter>
  <tableColumns count="6">
    <tableColumn id="1" xr3:uid="{BAB9FE29-80AE-4ADC-9918-C8868E827848}" uniqueName="1" name="Series ID" queryTableFieldId="1" dataDxfId="60"/>
    <tableColumn id="2" xr3:uid="{88FDB5AE-37FC-4785-8BC1-B5B64E39D01B}" uniqueName="2" name="Year" queryTableFieldId="2"/>
    <tableColumn id="3" xr3:uid="{BB59CD75-1FA8-4B1B-ADF3-9E9468235A20}" uniqueName="3" name="Period" queryTableFieldId="3" dataDxfId="59"/>
    <tableColumn id="4" xr3:uid="{C147958E-460D-42E8-9F1B-70C8F7C25B62}" uniqueName="4" name="Label" queryTableFieldId="4" dataDxfId="58"/>
    <tableColumn id="5" xr3:uid="{D2D0A972-5698-4D60-8B46-BD745CC5010D}" uniqueName="5" name="Value" queryTableFieldId="5"/>
    <tableColumn id="6" xr3:uid="{A4665810-387F-4809-AE9B-5B4D6ECD076C}" uniqueName="6" name="12-Month % Change" queryTableFieldId="6"/>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D69DE5-2040-44E9-A9DA-415322DA561E}" name="s_p_returns" displayName="s_p_returns" ref="B2:C101" tableType="queryTable" totalsRowShown="0">
  <autoFilter ref="B2:C101" xr:uid="{71D69DE5-2040-44E9-A9DA-415322DA561E}"/>
  <tableColumns count="2">
    <tableColumn id="1" xr3:uid="{1E47CAFA-ABC7-4C94-B086-1D0A97E18AA6}" uniqueName="1" name="Column1" queryTableFieldId="1"/>
    <tableColumn id="2" xr3:uid="{3EB9DF86-F0C0-40A6-815E-DF98916F7409}" uniqueName="2" name="Column2"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bls.gov/oes/" TargetMode="Externa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5E65A-7F44-47A3-AE6D-2B77433DC973}">
  <dimension ref="A2:L49"/>
  <sheetViews>
    <sheetView topLeftCell="B1" workbookViewId="0">
      <selection activeCell="M18" sqref="M18"/>
    </sheetView>
  </sheetViews>
  <sheetFormatPr defaultRowHeight="14.4"/>
  <cols>
    <col min="1" max="1" width="13.33203125" customWidth="1"/>
    <col min="2" max="2" width="15.44140625" customWidth="1"/>
    <col min="3" max="12" width="15.77734375" customWidth="1"/>
  </cols>
  <sheetData>
    <row r="2" spans="1:12" ht="43.2">
      <c r="A2" s="141" t="s">
        <v>218</v>
      </c>
      <c r="B2" s="162">
        <v>1000000</v>
      </c>
    </row>
    <row r="3" spans="1:12" ht="29.4" thickBot="1">
      <c r="A3" s="142" t="s">
        <v>219</v>
      </c>
      <c r="B3" s="163">
        <f>Main!B14</f>
        <v>0.04</v>
      </c>
    </row>
    <row r="4" spans="1:12" ht="58.2" thickBot="1">
      <c r="A4" s="143" t="s">
        <v>220</v>
      </c>
      <c r="B4" s="162">
        <v>100000</v>
      </c>
    </row>
    <row r="5" spans="1:12" ht="15" thickBot="1">
      <c r="A5" s="143" t="s">
        <v>5</v>
      </c>
      <c r="B5" s="163">
        <f>Main!E12</f>
        <v>3.2639639639639652E-2</v>
      </c>
    </row>
    <row r="10" spans="1:12" ht="15" thickBot="1">
      <c r="A10" s="170" t="s">
        <v>129</v>
      </c>
      <c r="B10" s="171" t="s">
        <v>7</v>
      </c>
      <c r="C10" s="172" t="s">
        <v>208</v>
      </c>
      <c r="D10" s="173" t="s">
        <v>209</v>
      </c>
      <c r="E10" s="173" t="s">
        <v>210</v>
      </c>
      <c r="F10" s="173" t="s">
        <v>211</v>
      </c>
      <c r="G10" s="172" t="s">
        <v>214</v>
      </c>
      <c r="H10" s="173" t="s">
        <v>212</v>
      </c>
      <c r="I10" s="172" t="s">
        <v>213</v>
      </c>
      <c r="J10" s="172" t="s">
        <v>215</v>
      </c>
      <c r="K10" s="173" t="s">
        <v>216</v>
      </c>
      <c r="L10" s="174" t="s">
        <v>217</v>
      </c>
    </row>
    <row r="11" spans="1:12">
      <c r="A11" s="46">
        <v>62</v>
      </c>
      <c r="B11" s="46"/>
      <c r="C11" s="167">
        <f>B4</f>
        <v>100000</v>
      </c>
      <c r="D11" s="62">
        <f>Main!B78</f>
        <v>23704.799999999999</v>
      </c>
      <c r="E11" s="168">
        <f>MAX(0,C11-D11)</f>
        <v>76295.199999999997</v>
      </c>
      <c r="F11" s="45">
        <f>B2-E11</f>
        <v>923704.8</v>
      </c>
      <c r="G11" s="62">
        <v>0</v>
      </c>
      <c r="H11" s="45">
        <f>C11-G11</f>
        <v>100000</v>
      </c>
      <c r="I11" s="45">
        <f>B2-H11</f>
        <v>900000</v>
      </c>
      <c r="J11" s="169">
        <v>0</v>
      </c>
      <c r="K11" s="45">
        <f>C11-J11</f>
        <v>100000</v>
      </c>
      <c r="L11" s="45">
        <f>B2-K11</f>
        <v>900000</v>
      </c>
    </row>
    <row r="12" spans="1:12">
      <c r="A12" s="37">
        <v>63</v>
      </c>
      <c r="B12" s="37"/>
      <c r="C12" s="164">
        <f>C11*(1+$B$5)</f>
        <v>103263.96396396395</v>
      </c>
      <c r="D12" s="56">
        <f>Main!B79</f>
        <v>24297.419999999995</v>
      </c>
      <c r="E12" s="165">
        <f t="shared" ref="E12:E49" si="0">MAX(0,C12-D12)</f>
        <v>78966.543963963952</v>
      </c>
      <c r="F12" s="36">
        <f>F11*(1+$B$3)-E12</f>
        <v>881686.4480360361</v>
      </c>
      <c r="G12" s="56">
        <v>0</v>
      </c>
      <c r="H12" s="36">
        <f t="shared" ref="H12:H49" si="1">C12-G12</f>
        <v>103263.96396396395</v>
      </c>
      <c r="I12" s="36">
        <f>I11*(1+$B$3)-H12</f>
        <v>832736.03603603609</v>
      </c>
      <c r="J12" s="166">
        <v>0</v>
      </c>
      <c r="K12" s="36">
        <f t="shared" ref="K12:K49" si="2">C12-J12</f>
        <v>103263.96396396395</v>
      </c>
      <c r="L12" s="36">
        <f>L11*(1+$B$3)-K12</f>
        <v>832736.03603603609</v>
      </c>
    </row>
    <row r="13" spans="1:12">
      <c r="A13" s="37">
        <v>64</v>
      </c>
      <c r="B13" s="37"/>
      <c r="C13" s="164">
        <f t="shared" ref="C13:C49" si="3">C12*(1+$B$5)</f>
        <v>106634.46253550846</v>
      </c>
      <c r="D13" s="56">
        <f>Main!B80</f>
        <v>24904.855499999991</v>
      </c>
      <c r="E13" s="165">
        <f t="shared" si="0"/>
        <v>81729.607035508467</v>
      </c>
      <c r="F13" s="36">
        <f>F12*(1+$B$3)-E13</f>
        <v>835224.29892196914</v>
      </c>
      <c r="G13" s="56">
        <v>0</v>
      </c>
      <c r="H13" s="36">
        <f t="shared" si="1"/>
        <v>106634.46253550846</v>
      </c>
      <c r="I13" s="36">
        <f t="shared" ref="I13:I49" si="4">I12*(1+$B$3)-H13</f>
        <v>759411.01494196907</v>
      </c>
      <c r="J13" s="166">
        <v>0</v>
      </c>
      <c r="K13" s="36">
        <f t="shared" si="2"/>
        <v>106634.46253550846</v>
      </c>
      <c r="L13" s="36">
        <f t="shared" ref="L13:L49" si="5">L12*(1+$B$3)-K13</f>
        <v>759411.01494196907</v>
      </c>
    </row>
    <row r="14" spans="1:12">
      <c r="A14" s="37">
        <v>65</v>
      </c>
      <c r="B14" s="37"/>
      <c r="C14" s="164">
        <f t="shared" si="3"/>
        <v>110114.97296583409</v>
      </c>
      <c r="D14" s="56">
        <f>Main!B81</f>
        <v>25527.476887499986</v>
      </c>
      <c r="E14" s="165">
        <f t="shared" si="0"/>
        <v>84587.496078334108</v>
      </c>
      <c r="F14" s="36">
        <f>F13*(1+$B$3)-E14</f>
        <v>784045.77480051387</v>
      </c>
      <c r="G14" s="56">
        <v>0</v>
      </c>
      <c r="H14" s="36">
        <f t="shared" si="1"/>
        <v>110114.97296583409</v>
      </c>
      <c r="I14" s="36">
        <f t="shared" si="4"/>
        <v>679672.48257381376</v>
      </c>
      <c r="J14" s="166">
        <v>0</v>
      </c>
      <c r="K14" s="36">
        <f t="shared" si="2"/>
        <v>110114.97296583409</v>
      </c>
      <c r="L14" s="36">
        <f t="shared" si="5"/>
        <v>679672.48257381376</v>
      </c>
    </row>
    <row r="15" spans="1:12">
      <c r="A15" s="37">
        <v>66</v>
      </c>
      <c r="B15" s="37"/>
      <c r="C15" s="164">
        <f t="shared" si="3"/>
        <v>113709.08600236758</v>
      </c>
      <c r="D15" s="56">
        <f>Main!B82</f>
        <v>26165.663809687481</v>
      </c>
      <c r="E15" s="165">
        <f t="shared" si="0"/>
        <v>87543.422192680096</v>
      </c>
      <c r="F15" s="36">
        <f>F14*(1+$B$3)-E15</f>
        <v>727864.18359985435</v>
      </c>
      <c r="G15" s="56">
        <v>0</v>
      </c>
      <c r="H15" s="36">
        <f t="shared" si="1"/>
        <v>113709.08600236758</v>
      </c>
      <c r="I15" s="36">
        <f t="shared" si="4"/>
        <v>593150.29587439878</v>
      </c>
      <c r="J15" s="166">
        <v>0</v>
      </c>
      <c r="K15" s="36">
        <f t="shared" si="2"/>
        <v>113709.08600236758</v>
      </c>
      <c r="L15" s="36">
        <f t="shared" si="5"/>
        <v>593150.29587439878</v>
      </c>
    </row>
    <row r="16" spans="1:12">
      <c r="A16" s="37">
        <v>67</v>
      </c>
      <c r="B16" s="37"/>
      <c r="C16" s="164">
        <f t="shared" si="3"/>
        <v>117420.50959323764</v>
      </c>
      <c r="D16" s="56">
        <f>Main!B83</f>
        <v>26819.80540492967</v>
      </c>
      <c r="E16" s="165">
        <f t="shared" si="0"/>
        <v>90600.70418830798</v>
      </c>
      <c r="F16" s="36">
        <f>F15*(1+$B$3)-E16</f>
        <v>666378.04675554053</v>
      </c>
      <c r="G16" s="56">
        <f>Main!D83</f>
        <v>38314.007721328111</v>
      </c>
      <c r="H16" s="36">
        <f t="shared" si="1"/>
        <v>79106.501871909539</v>
      </c>
      <c r="I16" s="36">
        <f t="shared" si="4"/>
        <v>537769.80583746522</v>
      </c>
      <c r="J16" s="166">
        <v>0</v>
      </c>
      <c r="K16" s="36">
        <f t="shared" si="2"/>
        <v>117420.50959323764</v>
      </c>
      <c r="L16" s="36">
        <f t="shared" si="5"/>
        <v>499455.79811613716</v>
      </c>
    </row>
    <row r="17" spans="1:12">
      <c r="A17" s="37">
        <v>68</v>
      </c>
      <c r="B17" s="37"/>
      <c r="C17" s="164">
        <f t="shared" si="3"/>
        <v>121253.07271266376</v>
      </c>
      <c r="D17" s="56">
        <f>Main!B84</f>
        <v>27490.300540052911</v>
      </c>
      <c r="E17" s="165">
        <f t="shared" si="0"/>
        <v>93762.772172610858</v>
      </c>
      <c r="F17" s="36">
        <f>F16*(1+$B$3)-E17</f>
        <v>599270.39645315136</v>
      </c>
      <c r="G17" s="56">
        <f>Main!D84</f>
        <v>39271.85791436131</v>
      </c>
      <c r="H17" s="36">
        <f t="shared" si="1"/>
        <v>81981.214798302448</v>
      </c>
      <c r="I17" s="36">
        <f t="shared" si="4"/>
        <v>477299.38327266142</v>
      </c>
      <c r="J17" s="166">
        <v>0</v>
      </c>
      <c r="K17" s="36">
        <f t="shared" si="2"/>
        <v>121253.07271266376</v>
      </c>
      <c r="L17" s="36">
        <f t="shared" si="5"/>
        <v>398180.95732811885</v>
      </c>
    </row>
    <row r="18" spans="1:12">
      <c r="A18" s="37">
        <v>69</v>
      </c>
      <c r="B18" s="37"/>
      <c r="C18" s="164">
        <f t="shared" si="3"/>
        <v>125210.72931120412</v>
      </c>
      <c r="D18" s="56">
        <f>Main!B85</f>
        <v>28177.558053554232</v>
      </c>
      <c r="E18" s="165">
        <f t="shared" si="0"/>
        <v>97033.171257649898</v>
      </c>
      <c r="F18" s="36">
        <f>F17*(1+$B$3)-E18</f>
        <v>526208.0410536275</v>
      </c>
      <c r="G18" s="56">
        <f>Main!D85</f>
        <v>40253.654362220339</v>
      </c>
      <c r="H18" s="36">
        <f t="shared" si="1"/>
        <v>84957.074948983791</v>
      </c>
      <c r="I18" s="36">
        <f t="shared" si="4"/>
        <v>411434.28365458408</v>
      </c>
      <c r="J18" s="166">
        <v>0</v>
      </c>
      <c r="K18" s="36">
        <f t="shared" si="2"/>
        <v>125210.72931120412</v>
      </c>
      <c r="L18" s="36">
        <f t="shared" si="5"/>
        <v>288897.46631003951</v>
      </c>
    </row>
    <row r="19" spans="1:12">
      <c r="A19" s="37">
        <v>70</v>
      </c>
      <c r="B19" s="37"/>
      <c r="C19" s="164">
        <f t="shared" si="3"/>
        <v>129297.56239493829</v>
      </c>
      <c r="D19" s="56">
        <f>Main!B86</f>
        <v>28881.997004893092</v>
      </c>
      <c r="E19" s="165">
        <f t="shared" si="0"/>
        <v>100415.5653900452</v>
      </c>
      <c r="F19" s="36">
        <f>F18*(1+$B$3)-E19</f>
        <v>446840.79730572749</v>
      </c>
      <c r="G19" s="56">
        <f>Main!D86</f>
        <v>41259.995721275845</v>
      </c>
      <c r="H19" s="36">
        <f t="shared" si="1"/>
        <v>88037.566673662441</v>
      </c>
      <c r="I19" s="36">
        <f t="shared" si="4"/>
        <v>339854.08832710498</v>
      </c>
      <c r="J19" s="56">
        <f>Main!F86</f>
        <v>51162.394694382063</v>
      </c>
      <c r="K19" s="36">
        <f t="shared" si="2"/>
        <v>78135.167700556223</v>
      </c>
      <c r="L19" s="36">
        <f t="shared" si="5"/>
        <v>222318.19726188487</v>
      </c>
    </row>
    <row r="20" spans="1:12">
      <c r="A20" s="37">
        <v>71</v>
      </c>
      <c r="B20" s="37"/>
      <c r="C20" s="164">
        <f t="shared" si="3"/>
        <v>133517.78823779288</v>
      </c>
      <c r="D20" s="56">
        <f>Main!B87</f>
        <v>29604.046930015415</v>
      </c>
      <c r="E20" s="165">
        <f t="shared" si="0"/>
        <v>103913.74130777747</v>
      </c>
      <c r="F20" s="36">
        <f>F19*(1+$B$3)-E20</f>
        <v>360800.68789017916</v>
      </c>
      <c r="G20" s="56">
        <f>Main!D87</f>
        <v>42291.495614307736</v>
      </c>
      <c r="H20" s="36">
        <f t="shared" si="1"/>
        <v>91226.292623485147</v>
      </c>
      <c r="I20" s="36">
        <f t="shared" si="4"/>
        <v>262221.95923670405</v>
      </c>
      <c r="J20" s="56">
        <f>Main!F87</f>
        <v>52441.454561741608</v>
      </c>
      <c r="K20" s="36">
        <f t="shared" si="2"/>
        <v>81076.333676051261</v>
      </c>
      <c r="L20" s="36">
        <f t="shared" si="5"/>
        <v>150134.591476309</v>
      </c>
    </row>
    <row r="21" spans="1:12">
      <c r="A21" s="37">
        <v>72</v>
      </c>
      <c r="B21" s="37"/>
      <c r="C21" s="164">
        <f t="shared" si="3"/>
        <v>137875.76073135613</v>
      </c>
      <c r="D21" s="56">
        <f>Main!B88</f>
        <v>30344.148103265798</v>
      </c>
      <c r="E21" s="165">
        <f t="shared" si="0"/>
        <v>107531.61262809034</v>
      </c>
      <c r="F21" s="36">
        <f>F20*(1+$B$3)-E21</f>
        <v>267701.10277769598</v>
      </c>
      <c r="G21" s="56">
        <f>Main!D88</f>
        <v>43348.783004665427</v>
      </c>
      <c r="H21" s="36">
        <f t="shared" si="1"/>
        <v>94526.977726690704</v>
      </c>
      <c r="I21" s="36">
        <f t="shared" si="4"/>
        <v>178183.85987948149</v>
      </c>
      <c r="J21" s="56">
        <f>Main!F88</f>
        <v>53752.49092578514</v>
      </c>
      <c r="K21" s="36">
        <f t="shared" si="2"/>
        <v>84123.269805570992</v>
      </c>
      <c r="L21" s="36">
        <f t="shared" si="5"/>
        <v>72016.705329790377</v>
      </c>
    </row>
    <row r="22" spans="1:12">
      <c r="A22" s="37">
        <v>73</v>
      </c>
      <c r="B22" s="37"/>
      <c r="C22" s="164">
        <f t="shared" si="3"/>
        <v>142375.97587666876</v>
      </c>
      <c r="D22" s="56">
        <f>Main!B89</f>
        <v>31102.751805847438</v>
      </c>
      <c r="E22" s="165">
        <f t="shared" si="0"/>
        <v>111273.22407082132</v>
      </c>
      <c r="F22" s="36">
        <f>F21*(1+$B$3)-E22</f>
        <v>167135.9228179825</v>
      </c>
      <c r="G22" s="56">
        <f>Main!D89</f>
        <v>44432.502579782056</v>
      </c>
      <c r="H22" s="36">
        <f t="shared" si="1"/>
        <v>97943.473296886703</v>
      </c>
      <c r="I22" s="36">
        <f t="shared" si="4"/>
        <v>87367.740977774039</v>
      </c>
      <c r="J22" s="56">
        <f>Main!F89</f>
        <v>55096.30319892976</v>
      </c>
      <c r="K22" s="36">
        <f t="shared" si="2"/>
        <v>87279.672677738999</v>
      </c>
      <c r="L22" s="36">
        <f t="shared" si="5"/>
        <v>-12382.299134757006</v>
      </c>
    </row>
    <row r="23" spans="1:12">
      <c r="A23" s="37">
        <v>74</v>
      </c>
      <c r="B23" s="37"/>
      <c r="C23" s="164">
        <f t="shared" si="3"/>
        <v>147023.07642262525</v>
      </c>
      <c r="D23" s="56">
        <f>Main!B90</f>
        <v>31880.320600993618</v>
      </c>
      <c r="E23" s="165">
        <f t="shared" si="0"/>
        <v>115142.75582163164</v>
      </c>
      <c r="F23" s="36">
        <f>F22*(1+$B$3)-E23</f>
        <v>58678.603909070167</v>
      </c>
      <c r="G23" s="56">
        <f>Main!D90</f>
        <v>45543.315144276603</v>
      </c>
      <c r="H23" s="36">
        <f t="shared" si="1"/>
        <v>101479.76127834865</v>
      </c>
      <c r="I23" s="36">
        <f t="shared" si="4"/>
        <v>-10617.310661463649</v>
      </c>
      <c r="J23" s="56">
        <f>Main!F90</f>
        <v>56473.710778902998</v>
      </c>
      <c r="K23" s="36">
        <f t="shared" si="2"/>
        <v>90549.365643722253</v>
      </c>
      <c r="L23" s="36">
        <f t="shared" si="5"/>
        <v>-103426.95674386954</v>
      </c>
    </row>
    <row r="24" spans="1:12">
      <c r="A24" s="37">
        <v>75</v>
      </c>
      <c r="B24" s="37"/>
      <c r="C24" s="164">
        <f t="shared" si="3"/>
        <v>151821.85665577091</v>
      </c>
      <c r="D24" s="56">
        <f>Main!B91</f>
        <v>32677.328616018458</v>
      </c>
      <c r="E24" s="165">
        <f t="shared" si="0"/>
        <v>119144.52803975245</v>
      </c>
      <c r="F24" s="36">
        <f>F23*(1+$B$3)-E24</f>
        <v>-58118.77997431947</v>
      </c>
      <c r="G24" s="56">
        <f>Main!D91</f>
        <v>46681.898022883513</v>
      </c>
      <c r="H24" s="36">
        <f t="shared" si="1"/>
        <v>105139.9586328874</v>
      </c>
      <c r="I24" s="36">
        <f t="shared" si="4"/>
        <v>-116181.9617208096</v>
      </c>
      <c r="J24" s="56">
        <f>Main!F91</f>
        <v>57885.553548375567</v>
      </c>
      <c r="K24" s="36">
        <f t="shared" si="2"/>
        <v>93936.303107395346</v>
      </c>
      <c r="L24" s="36">
        <f t="shared" si="5"/>
        <v>-201500.33812101965</v>
      </c>
    </row>
    <row r="25" spans="1:12">
      <c r="A25" s="37">
        <v>76</v>
      </c>
      <c r="B25" s="37"/>
      <c r="C25" s="164">
        <f t="shared" si="3"/>
        <v>156777.26734643627</v>
      </c>
      <c r="D25" s="56">
        <f>Main!B92</f>
        <v>33494.261831418917</v>
      </c>
      <c r="E25" s="165">
        <f t="shared" si="0"/>
        <v>123283.00551501736</v>
      </c>
      <c r="F25" s="36">
        <f>F24*(1+$B$3)-E25</f>
        <v>-183726.5366883096</v>
      </c>
      <c r="G25" s="56">
        <f>Main!D92</f>
        <v>47848.945473455598</v>
      </c>
      <c r="H25" s="36">
        <f t="shared" si="1"/>
        <v>108928.32187298068</v>
      </c>
      <c r="I25" s="36">
        <f t="shared" si="4"/>
        <v>-229757.56206262269</v>
      </c>
      <c r="J25" s="56">
        <f>Main!F92</f>
        <v>59332.69238708495</v>
      </c>
      <c r="K25" s="36">
        <f t="shared" si="2"/>
        <v>97444.574959351332</v>
      </c>
      <c r="L25" s="36">
        <f t="shared" si="5"/>
        <v>-307004.9266052118</v>
      </c>
    </row>
    <row r="26" spans="1:12">
      <c r="A26" s="37">
        <v>77</v>
      </c>
      <c r="B26" s="37"/>
      <c r="C26" s="164">
        <f t="shared" si="3"/>
        <v>161894.42085631139</v>
      </c>
      <c r="D26" s="56">
        <f>Main!B93</f>
        <v>34331.618377204388</v>
      </c>
      <c r="E26" s="165">
        <f t="shared" si="0"/>
        <v>127562.80247910701</v>
      </c>
      <c r="F26" s="36">
        <f>F25*(1+$B$3)-E26</f>
        <v>-318638.40063494898</v>
      </c>
      <c r="G26" s="56">
        <f>Main!D93</f>
        <v>49045.169110291987</v>
      </c>
      <c r="H26" s="36">
        <f t="shared" si="1"/>
        <v>112849.25174601941</v>
      </c>
      <c r="I26" s="36">
        <f t="shared" si="4"/>
        <v>-351797.11629114702</v>
      </c>
      <c r="J26" s="56">
        <f>Main!F93</f>
        <v>60816.009696762063</v>
      </c>
      <c r="K26" s="36">
        <f t="shared" si="2"/>
        <v>101078.41115954933</v>
      </c>
      <c r="L26" s="36">
        <f t="shared" si="5"/>
        <v>-420363.53482896963</v>
      </c>
    </row>
    <row r="27" spans="1:12">
      <c r="A27" s="37">
        <v>78</v>
      </c>
      <c r="B27" s="37"/>
      <c r="C27" s="164">
        <f t="shared" si="3"/>
        <v>167178.59641272953</v>
      </c>
      <c r="D27" s="56">
        <f>Main!B94</f>
        <v>35189.908836634502</v>
      </c>
      <c r="E27" s="165">
        <f t="shared" si="0"/>
        <v>131988.68757609502</v>
      </c>
      <c r="F27" s="36">
        <f>F26*(1+$B$3)-E27</f>
        <v>-463372.62423644192</v>
      </c>
      <c r="G27" s="56">
        <f>Main!D94</f>
        <v>50271.298338049281</v>
      </c>
      <c r="H27" s="36">
        <f t="shared" si="1"/>
        <v>116907.29807468025</v>
      </c>
      <c r="I27" s="36">
        <f t="shared" si="4"/>
        <v>-482776.29901747318</v>
      </c>
      <c r="J27" s="56">
        <f>Main!F94</f>
        <v>62336.409939181103</v>
      </c>
      <c r="K27" s="36">
        <f t="shared" si="2"/>
        <v>104842.18647354843</v>
      </c>
      <c r="L27" s="36">
        <f t="shared" si="5"/>
        <v>-542020.26269567688</v>
      </c>
    </row>
    <row r="28" spans="1:12">
      <c r="A28" s="37">
        <v>79</v>
      </c>
      <c r="B28" s="37"/>
      <c r="C28" s="164">
        <f t="shared" si="3"/>
        <v>172635.24555510175</v>
      </c>
      <c r="D28" s="56">
        <f>Main!B95</f>
        <v>36069.656557550356</v>
      </c>
      <c r="E28" s="165">
        <f t="shared" si="0"/>
        <v>136565.58899755139</v>
      </c>
      <c r="F28" s="36">
        <f>F27*(1+$B$3)-E28</f>
        <v>-618473.11820345104</v>
      </c>
      <c r="G28" s="56">
        <f>Main!D95</f>
        <v>51528.080796500508</v>
      </c>
      <c r="H28" s="36">
        <f t="shared" si="1"/>
        <v>121107.16475860124</v>
      </c>
      <c r="I28" s="36">
        <f t="shared" si="4"/>
        <v>-623194.51573677338</v>
      </c>
      <c r="J28" s="56">
        <f>Main!F95</f>
        <v>63894.820187660633</v>
      </c>
      <c r="K28" s="36">
        <f t="shared" si="2"/>
        <v>108740.42536744112</v>
      </c>
      <c r="L28" s="36">
        <f t="shared" si="5"/>
        <v>-672441.49857094511</v>
      </c>
    </row>
    <row r="29" spans="1:12">
      <c r="A29" s="37">
        <v>80</v>
      </c>
      <c r="B29" s="37"/>
      <c r="C29" s="164">
        <f t="shared" si="3"/>
        <v>178269.99775912095</v>
      </c>
      <c r="D29" s="56">
        <f>Main!B96</f>
        <v>36971.39797148911</v>
      </c>
      <c r="E29" s="165">
        <f t="shared" si="0"/>
        <v>141298.59978763183</v>
      </c>
      <c r="F29" s="36">
        <f>F28*(1+$B$3)-E29</f>
        <v>-784510.64271922084</v>
      </c>
      <c r="G29" s="56">
        <f>Main!D96</f>
        <v>52816.282816413004</v>
      </c>
      <c r="H29" s="36">
        <f t="shared" si="1"/>
        <v>125453.71494270794</v>
      </c>
      <c r="I29" s="36">
        <f t="shared" si="4"/>
        <v>-773576.01130895223</v>
      </c>
      <c r="J29" s="56">
        <f>Main!F96</f>
        <v>65492.190692352146</v>
      </c>
      <c r="K29" s="36">
        <f t="shared" si="2"/>
        <v>112777.8070667688</v>
      </c>
      <c r="L29" s="36">
        <f t="shared" si="5"/>
        <v>-812116.96558055165</v>
      </c>
    </row>
    <row r="30" spans="1:12">
      <c r="A30" s="37">
        <v>81</v>
      </c>
      <c r="B30" s="37"/>
      <c r="C30" s="164">
        <f t="shared" si="3"/>
        <v>184088.66624453801</v>
      </c>
      <c r="D30" s="56">
        <f>Main!B97</f>
        <v>37895.682920776337</v>
      </c>
      <c r="E30" s="165">
        <f t="shared" si="0"/>
        <v>146192.98332376167</v>
      </c>
      <c r="F30" s="36">
        <f>F29*(1+$B$3)-E30</f>
        <v>-962084.05175175145</v>
      </c>
      <c r="G30" s="56">
        <f>Main!D97</f>
        <v>54136.689886823326</v>
      </c>
      <c r="H30" s="36">
        <f t="shared" si="1"/>
        <v>129951.97635771468</v>
      </c>
      <c r="I30" s="36">
        <f t="shared" si="4"/>
        <v>-934471.02811902505</v>
      </c>
      <c r="J30" s="56">
        <f>Main!F97</f>
        <v>67129.495459660946</v>
      </c>
      <c r="K30" s="36">
        <f t="shared" si="2"/>
        <v>116959.17078487706</v>
      </c>
      <c r="L30" s="36">
        <f t="shared" si="5"/>
        <v>-961560.81498865073</v>
      </c>
    </row>
    <row r="31" spans="1:12">
      <c r="A31" s="37">
        <v>82</v>
      </c>
      <c r="B31" s="37"/>
      <c r="C31" s="164">
        <f t="shared" si="3"/>
        <v>190097.25397250161</v>
      </c>
      <c r="D31" s="56">
        <f>Main!B98</f>
        <v>38843.074993795744</v>
      </c>
      <c r="E31" s="165">
        <f t="shared" si="0"/>
        <v>151254.17897870587</v>
      </c>
      <c r="F31" s="36">
        <f>F30*(1+$B$3)-E31</f>
        <v>-1151821.5928005273</v>
      </c>
      <c r="G31" s="56">
        <f>Main!D98</f>
        <v>55490.107133993908</v>
      </c>
      <c r="H31" s="36">
        <f t="shared" si="1"/>
        <v>134607.1468385077</v>
      </c>
      <c r="I31" s="36">
        <f t="shared" si="4"/>
        <v>-1106457.0160822938</v>
      </c>
      <c r="J31" s="56">
        <f>Main!F98</f>
        <v>68807.732846152459</v>
      </c>
      <c r="K31" s="36">
        <f t="shared" si="2"/>
        <v>121289.52112634915</v>
      </c>
      <c r="L31" s="36">
        <f t="shared" si="5"/>
        <v>-1121312.768714546</v>
      </c>
    </row>
    <row r="32" spans="1:12">
      <c r="A32" s="37">
        <v>83</v>
      </c>
      <c r="B32" s="37"/>
      <c r="C32" s="164">
        <f t="shared" si="3"/>
        <v>196301.95983864911</v>
      </c>
      <c r="D32" s="56">
        <f>Main!B99</f>
        <v>39814.151868640634</v>
      </c>
      <c r="E32" s="165">
        <f t="shared" si="0"/>
        <v>156487.80797000846</v>
      </c>
      <c r="F32" s="36">
        <f>F31*(1+$B$3)-E32</f>
        <v>-1354382.2644825568</v>
      </c>
      <c r="G32" s="56">
        <f>Main!D99</f>
        <v>56877.35981234374</v>
      </c>
      <c r="H32" s="36">
        <f t="shared" si="1"/>
        <v>139424.60002630536</v>
      </c>
      <c r="I32" s="36">
        <f t="shared" si="4"/>
        <v>-1290139.8967518909</v>
      </c>
      <c r="J32" s="56">
        <f>Main!F99</f>
        <v>70527.926167306257</v>
      </c>
      <c r="K32" s="36">
        <f t="shared" si="2"/>
        <v>125774.03367134286</v>
      </c>
      <c r="L32" s="36">
        <f t="shared" si="5"/>
        <v>-1291939.3131344707</v>
      </c>
    </row>
    <row r="33" spans="1:12">
      <c r="A33" s="37">
        <v>84</v>
      </c>
      <c r="B33" s="37"/>
      <c r="C33" s="164">
        <f t="shared" si="3"/>
        <v>202709.18506833763</v>
      </c>
      <c r="D33" s="56">
        <f>Main!B100</f>
        <v>40809.505665356643</v>
      </c>
      <c r="E33" s="165">
        <f t="shared" si="0"/>
        <v>161899.67940298098</v>
      </c>
      <c r="F33" s="36">
        <f>F32*(1+$B$3)-E33</f>
        <v>-1570457.23446484</v>
      </c>
      <c r="G33" s="56">
        <f>Main!D100</f>
        <v>58299.293807652328</v>
      </c>
      <c r="H33" s="36">
        <f t="shared" si="1"/>
        <v>144409.89126068528</v>
      </c>
      <c r="I33" s="36">
        <f t="shared" si="4"/>
        <v>-1486155.383882652</v>
      </c>
      <c r="J33" s="56">
        <f>Main!F100</f>
        <v>72291.124321488911</v>
      </c>
      <c r="K33" s="36">
        <f t="shared" si="2"/>
        <v>130418.06074684871</v>
      </c>
      <c r="L33" s="36">
        <f t="shared" si="5"/>
        <v>-1474034.9464066983</v>
      </c>
    </row>
    <row r="34" spans="1:12">
      <c r="A34" s="37">
        <v>85</v>
      </c>
      <c r="B34" s="37"/>
      <c r="C34" s="164">
        <f t="shared" si="3"/>
        <v>209325.53982061316</v>
      </c>
      <c r="D34" s="56">
        <f>Main!B101</f>
        <v>41829.743306990553</v>
      </c>
      <c r="E34" s="165">
        <f t="shared" si="0"/>
        <v>167495.79651362263</v>
      </c>
      <c r="F34" s="36">
        <f>F33*(1+$B$3)-E34</f>
        <v>-1800771.3203570563</v>
      </c>
      <c r="G34" s="56">
        <f>Main!D101</f>
        <v>59756.776152843631</v>
      </c>
      <c r="H34" s="36">
        <f t="shared" si="1"/>
        <v>149568.76366776953</v>
      </c>
      <c r="I34" s="36">
        <f t="shared" si="4"/>
        <v>-1695170.3629057277</v>
      </c>
      <c r="J34" s="56">
        <f>Main!F101</f>
        <v>74098.402429526133</v>
      </c>
      <c r="K34" s="36">
        <f t="shared" si="2"/>
        <v>135227.13739108702</v>
      </c>
      <c r="L34" s="36">
        <f t="shared" si="5"/>
        <v>-1668223.4816540536</v>
      </c>
    </row>
    <row r="35" spans="1:12">
      <c r="A35" s="37">
        <v>86</v>
      </c>
      <c r="B35" s="37"/>
      <c r="C35" s="164">
        <f t="shared" si="3"/>
        <v>216157.850007731</v>
      </c>
      <c r="D35" s="56">
        <f>Main!B102</f>
        <v>42875.486889665313</v>
      </c>
      <c r="E35" s="165">
        <f t="shared" si="0"/>
        <v>173282.3631180657</v>
      </c>
      <c r="F35" s="36">
        <f>F34*(1+$B$3)-E35</f>
        <v>-2046084.5362894044</v>
      </c>
      <c r="G35" s="56">
        <f>Main!D102</f>
        <v>61250.695556664723</v>
      </c>
      <c r="H35" s="36">
        <f t="shared" si="1"/>
        <v>154907.15445106628</v>
      </c>
      <c r="I35" s="36">
        <f t="shared" si="4"/>
        <v>-1917884.331873023</v>
      </c>
      <c r="J35" s="56">
        <f>Main!F102</f>
        <v>75950.862490264277</v>
      </c>
      <c r="K35" s="36">
        <f t="shared" si="2"/>
        <v>140206.98751746671</v>
      </c>
      <c r="L35" s="36">
        <f t="shared" si="5"/>
        <v>-1875159.4084376825</v>
      </c>
    </row>
    <row r="36" spans="1:12">
      <c r="A36" s="37">
        <v>87</v>
      </c>
      <c r="B36" s="37"/>
      <c r="C36" s="164">
        <f t="shared" si="3"/>
        <v>223213.1643372626</v>
      </c>
      <c r="D36" s="56">
        <f>Main!B103</f>
        <v>43947.374061906943</v>
      </c>
      <c r="E36" s="165">
        <f t="shared" si="0"/>
        <v>179265.79027535566</v>
      </c>
      <c r="F36" s="36">
        <f>F35*(1+$B$3)-E36</f>
        <v>-2307193.7080163364</v>
      </c>
      <c r="G36" s="56">
        <f>Main!D103</f>
        <v>62781.962945581334</v>
      </c>
      <c r="H36" s="36">
        <f t="shared" si="1"/>
        <v>160431.20139168127</v>
      </c>
      <c r="I36" s="36">
        <f t="shared" si="4"/>
        <v>-2155030.906539625</v>
      </c>
      <c r="J36" s="56">
        <f>Main!F103</f>
        <v>77849.63405252088</v>
      </c>
      <c r="K36" s="36">
        <f t="shared" si="2"/>
        <v>145363.53028474172</v>
      </c>
      <c r="L36" s="36">
        <f t="shared" si="5"/>
        <v>-2095529.3150599315</v>
      </c>
    </row>
    <row r="37" spans="1:12">
      <c r="A37" s="37">
        <v>88</v>
      </c>
      <c r="B37" s="37"/>
      <c r="C37" s="164">
        <f t="shared" si="3"/>
        <v>230498.7615840545</v>
      </c>
      <c r="D37" s="56">
        <f>Main!B104</f>
        <v>45046.058413454608</v>
      </c>
      <c r="E37" s="165">
        <f t="shared" si="0"/>
        <v>185452.70317059988</v>
      </c>
      <c r="F37" s="36">
        <f>F36*(1+$B$3)-E37</f>
        <v>-2584934.1595075899</v>
      </c>
      <c r="G37" s="56">
        <f>Main!D104</f>
        <v>64351.512019220863</v>
      </c>
      <c r="H37" s="36">
        <f t="shared" si="1"/>
        <v>166147.24956483365</v>
      </c>
      <c r="I37" s="36">
        <f t="shared" si="4"/>
        <v>-2407379.3923660438</v>
      </c>
      <c r="J37" s="56">
        <f>Main!F104</f>
        <v>79795.874903833886</v>
      </c>
      <c r="K37" s="36">
        <f t="shared" si="2"/>
        <v>150702.8866802206</v>
      </c>
      <c r="L37" s="36">
        <f t="shared" si="5"/>
        <v>-2330053.3743425496</v>
      </c>
    </row>
    <row r="38" spans="1:12">
      <c r="A38" s="37">
        <v>89</v>
      </c>
      <c r="B38" s="37"/>
      <c r="C38" s="164">
        <f t="shared" si="3"/>
        <v>238022.15809954124</v>
      </c>
      <c r="D38" s="56">
        <f>Main!B105</f>
        <v>46172.209873790969</v>
      </c>
      <c r="E38" s="165">
        <f t="shared" si="0"/>
        <v>191849.94822575027</v>
      </c>
      <c r="F38" s="36">
        <f>F37*(1+$B$3)-E38</f>
        <v>-2880181.4741136436</v>
      </c>
      <c r="G38" s="56">
        <f>Main!D105</f>
        <v>65960.29981970138</v>
      </c>
      <c r="H38" s="36">
        <f t="shared" si="1"/>
        <v>172061.85827983986</v>
      </c>
      <c r="I38" s="36">
        <f t="shared" si="4"/>
        <v>-2675736.426340525</v>
      </c>
      <c r="J38" s="56">
        <f>Main!F105</f>
        <v>81790.771776429727</v>
      </c>
      <c r="K38" s="36">
        <f t="shared" si="2"/>
        <v>156231.38632311151</v>
      </c>
      <c r="L38" s="36">
        <f t="shared" si="5"/>
        <v>-2579486.8956393632</v>
      </c>
    </row>
    <row r="39" spans="1:12">
      <c r="A39" s="37">
        <v>90</v>
      </c>
      <c r="B39" s="37"/>
      <c r="C39" s="164">
        <f t="shared" si="3"/>
        <v>245791.11556615957</v>
      </c>
      <c r="D39" s="56">
        <f>Main!B106</f>
        <v>47326.51512063574</v>
      </c>
      <c r="E39" s="165">
        <f t="shared" si="0"/>
        <v>198464.60044552383</v>
      </c>
      <c r="F39" s="36">
        <f>F38*(1+$B$3)-E39</f>
        <v>-3193853.3335237135</v>
      </c>
      <c r="G39" s="56">
        <f>Main!D106</f>
        <v>67609.307315193902</v>
      </c>
      <c r="H39" s="36">
        <f t="shared" si="1"/>
        <v>178181.80825096567</v>
      </c>
      <c r="I39" s="36">
        <f t="shared" si="4"/>
        <v>-2960947.6916451119</v>
      </c>
      <c r="J39" s="56">
        <f>Main!F106</f>
        <v>83835.541070840467</v>
      </c>
      <c r="K39" s="36">
        <f t="shared" si="2"/>
        <v>161955.5744953191</v>
      </c>
      <c r="L39" s="36">
        <f t="shared" si="5"/>
        <v>-2844621.9459602572</v>
      </c>
    </row>
    <row r="40" spans="1:12">
      <c r="A40" s="37">
        <v>91</v>
      </c>
      <c r="B40" s="37"/>
      <c r="C40" s="164">
        <f t="shared" si="3"/>
        <v>253813.64900486401</v>
      </c>
      <c r="D40" s="56">
        <f>Main!B107</f>
        <v>48509.677998651627</v>
      </c>
      <c r="E40" s="165">
        <f t="shared" si="0"/>
        <v>205303.97100621238</v>
      </c>
      <c r="F40" s="36">
        <f>F39*(1+$B$3)-E40</f>
        <v>-3526911.4378708745</v>
      </c>
      <c r="G40" s="56">
        <f>Main!D107</f>
        <v>69299.539998073742</v>
      </c>
      <c r="H40" s="36">
        <f t="shared" si="1"/>
        <v>184514.10900679027</v>
      </c>
      <c r="I40" s="36">
        <f t="shared" si="4"/>
        <v>-3263899.7083177068</v>
      </c>
      <c r="J40" s="56">
        <f>Main!F107</f>
        <v>85931.429597611466</v>
      </c>
      <c r="K40" s="36">
        <f t="shared" si="2"/>
        <v>167882.21940725256</v>
      </c>
      <c r="L40" s="36">
        <f t="shared" si="5"/>
        <v>-3126289.0432059201</v>
      </c>
    </row>
    <row r="41" spans="1:12">
      <c r="A41" s="37">
        <v>92</v>
      </c>
      <c r="B41" s="37"/>
      <c r="C41" s="164">
        <f t="shared" si="3"/>
        <v>262098.03504400473</v>
      </c>
      <c r="D41" s="56">
        <f>Main!B108</f>
        <v>49722.419948617913</v>
      </c>
      <c r="E41" s="165">
        <f t="shared" si="0"/>
        <v>212375.61509538681</v>
      </c>
      <c r="F41" s="36">
        <f>F40*(1+$B$3)-E41</f>
        <v>-3880363.5104810963</v>
      </c>
      <c r="G41" s="56">
        <f>Main!D108</f>
        <v>71032.028498025582</v>
      </c>
      <c r="H41" s="36">
        <f t="shared" si="1"/>
        <v>191066.00654597915</v>
      </c>
      <c r="I41" s="36">
        <f t="shared" si="4"/>
        <v>-3585521.7031963943</v>
      </c>
      <c r="J41" s="56">
        <f>Main!F108</f>
        <v>88079.715337551752</v>
      </c>
      <c r="K41" s="36">
        <f t="shared" si="2"/>
        <v>174018.31970645298</v>
      </c>
      <c r="L41" s="36">
        <f t="shared" si="5"/>
        <v>-3425358.9246406099</v>
      </c>
    </row>
    <row r="42" spans="1:12">
      <c r="A42" s="37">
        <v>93</v>
      </c>
      <c r="B42" s="37"/>
      <c r="C42" s="164">
        <f t="shared" si="3"/>
        <v>270652.82045809866</v>
      </c>
      <c r="D42" s="56">
        <f>Main!B109</f>
        <v>50965.480447333364</v>
      </c>
      <c r="E42" s="165">
        <f t="shared" si="0"/>
        <v>219687.3400107653</v>
      </c>
      <c r="F42" s="36">
        <f>F41*(1+$B$3)-E42</f>
        <v>-4255265.390911106</v>
      </c>
      <c r="G42" s="56">
        <f>Main!D109</f>
        <v>72807.829210476222</v>
      </c>
      <c r="H42" s="36">
        <f t="shared" si="1"/>
        <v>197844.99124762244</v>
      </c>
      <c r="I42" s="36">
        <f t="shared" si="4"/>
        <v>-3926787.5625718725</v>
      </c>
      <c r="J42" s="56">
        <f>Main!F109</f>
        <v>90281.708220990535</v>
      </c>
      <c r="K42" s="36">
        <f t="shared" si="2"/>
        <v>180371.11223710811</v>
      </c>
      <c r="L42" s="36">
        <f t="shared" si="5"/>
        <v>-3742744.3938633422</v>
      </c>
    </row>
    <row r="43" spans="1:12">
      <c r="A43" s="37">
        <v>94</v>
      </c>
      <c r="B43" s="37"/>
      <c r="C43" s="164">
        <f t="shared" si="3"/>
        <v>279486.8309853031</v>
      </c>
      <c r="D43" s="56">
        <f>Main!B110</f>
        <v>52239.617458516695</v>
      </c>
      <c r="E43" s="165">
        <f t="shared" si="0"/>
        <v>227247.21352678639</v>
      </c>
      <c r="F43" s="36">
        <f>F42*(1+$B$3)-E43</f>
        <v>-4652723.220074337</v>
      </c>
      <c r="G43" s="56">
        <f>Main!D110</f>
        <v>74628.02494073812</v>
      </c>
      <c r="H43" s="36">
        <f t="shared" si="1"/>
        <v>204858.80604456499</v>
      </c>
      <c r="I43" s="36">
        <f t="shared" si="4"/>
        <v>-4288717.871119312</v>
      </c>
      <c r="J43" s="56">
        <f>Main!F110</f>
        <v>92538.750926515291</v>
      </c>
      <c r="K43" s="36">
        <f t="shared" si="2"/>
        <v>186948.0800587878</v>
      </c>
      <c r="L43" s="36">
        <f t="shared" si="5"/>
        <v>-4079402.2496766639</v>
      </c>
    </row>
    <row r="44" spans="1:12">
      <c r="A44" s="37">
        <v>95</v>
      </c>
      <c r="B44" s="37"/>
      <c r="C44" s="164">
        <f t="shared" si="3"/>
        <v>288609.18043268821</v>
      </c>
      <c r="D44" s="56">
        <f>Main!B111</f>
        <v>53545.607894979606</v>
      </c>
      <c r="E44" s="165">
        <f t="shared" si="0"/>
        <v>235063.57253770862</v>
      </c>
      <c r="F44" s="36">
        <f>F43*(1+$B$3)-E44</f>
        <v>-5073895.7214150196</v>
      </c>
      <c r="G44" s="56">
        <f>Main!D111</f>
        <v>76493.725564256558</v>
      </c>
      <c r="H44" s="36">
        <f t="shared" si="1"/>
        <v>212115.45486843167</v>
      </c>
      <c r="I44" s="36">
        <f t="shared" si="4"/>
        <v>-4672382.0408325158</v>
      </c>
      <c r="J44" s="56">
        <f>Main!F111</f>
        <v>94852.219699678157</v>
      </c>
      <c r="K44" s="36">
        <f t="shared" si="2"/>
        <v>193756.96073301006</v>
      </c>
      <c r="L44" s="36">
        <f t="shared" si="5"/>
        <v>-4436335.3003967414</v>
      </c>
    </row>
    <row r="45" spans="1:12">
      <c r="A45" s="37">
        <v>96</v>
      </c>
      <c r="B45" s="37"/>
      <c r="C45" s="164">
        <f t="shared" si="3"/>
        <v>298029.2800787029</v>
      </c>
      <c r="D45" s="56">
        <f>Main!B112</f>
        <v>54884.248092354101</v>
      </c>
      <c r="E45" s="165">
        <f t="shared" si="0"/>
        <v>243145.0319863488</v>
      </c>
      <c r="F45" s="36">
        <f>F44*(1+$B$3)-E45</f>
        <v>-5519996.5822579693</v>
      </c>
      <c r="G45" s="56">
        <f>Main!D112</f>
        <v>78406.068703362966</v>
      </c>
      <c r="H45" s="36">
        <f t="shared" si="1"/>
        <v>219623.21137533995</v>
      </c>
      <c r="I45" s="36">
        <f t="shared" si="4"/>
        <v>-5078900.5338411564</v>
      </c>
      <c r="J45" s="56">
        <f>Main!F112</f>
        <v>97223.525192170113</v>
      </c>
      <c r="K45" s="36">
        <f t="shared" si="2"/>
        <v>200805.75488653278</v>
      </c>
      <c r="L45" s="36">
        <f t="shared" si="5"/>
        <v>-4814594.4672991447</v>
      </c>
    </row>
    <row r="46" spans="1:12">
      <c r="A46" s="37">
        <v>97</v>
      </c>
      <c r="B46" s="37"/>
      <c r="C46" s="164">
        <f t="shared" si="3"/>
        <v>307756.84838253295</v>
      </c>
      <c r="D46" s="56">
        <f>Main!B113</f>
        <v>56256.354294662953</v>
      </c>
      <c r="E46" s="165">
        <f t="shared" si="0"/>
        <v>251500.49408787</v>
      </c>
      <c r="F46" s="36">
        <f>F45*(1+$B$3)-E46</f>
        <v>-5992296.9396361588</v>
      </c>
      <c r="G46" s="56">
        <f>Main!D113</f>
        <v>80366.220420947036</v>
      </c>
      <c r="H46" s="36">
        <f t="shared" si="1"/>
        <v>227390.62796158591</v>
      </c>
      <c r="I46" s="36">
        <f t="shared" si="4"/>
        <v>-5509447.1831563888</v>
      </c>
      <c r="J46" s="56">
        <f>Main!F113</f>
        <v>99654.11332197435</v>
      </c>
      <c r="K46" s="36">
        <f t="shared" si="2"/>
        <v>208102.7350605586</v>
      </c>
      <c r="L46" s="36">
        <f t="shared" si="5"/>
        <v>-5215280.9810516695</v>
      </c>
    </row>
    <row r="47" spans="1:12">
      <c r="A47" s="37">
        <v>98</v>
      </c>
      <c r="B47" s="37"/>
      <c r="C47" s="164">
        <f t="shared" si="3"/>
        <v>317801.92101037002</v>
      </c>
      <c r="D47" s="56">
        <f>Main!B114</f>
        <v>57662.763152029525</v>
      </c>
      <c r="E47" s="165">
        <f t="shared" si="0"/>
        <v>260139.15785834048</v>
      </c>
      <c r="F47" s="36">
        <f>F46*(1+$B$3)-E47</f>
        <v>-6492127.9750799453</v>
      </c>
      <c r="G47" s="56">
        <f>Main!D114</f>
        <v>82375.375931470699</v>
      </c>
      <c r="H47" s="36">
        <f t="shared" si="1"/>
        <v>235426.5450788993</v>
      </c>
      <c r="I47" s="36">
        <f t="shared" si="4"/>
        <v>-5965251.615561544</v>
      </c>
      <c r="J47" s="56">
        <f>Main!F114</f>
        <v>102145.46615502369</v>
      </c>
      <c r="K47" s="36">
        <f t="shared" si="2"/>
        <v>215656.45485534632</v>
      </c>
      <c r="L47" s="36">
        <f t="shared" si="5"/>
        <v>-5639548.6751490822</v>
      </c>
    </row>
    <row r="48" spans="1:12">
      <c r="A48" s="37">
        <v>99</v>
      </c>
      <c r="B48" s="37"/>
      <c r="C48" s="164">
        <f t="shared" si="3"/>
        <v>328174.86118893372</v>
      </c>
      <c r="D48" s="56">
        <f>Main!B115</f>
        <v>59104.33223083026</v>
      </c>
      <c r="E48" s="165">
        <f t="shared" si="0"/>
        <v>269070.52895810344</v>
      </c>
      <c r="F48" s="36">
        <f>F47*(1+$B$3)-E48</f>
        <v>-7020883.623041247</v>
      </c>
      <c r="G48" s="56">
        <f>Main!D115</f>
        <v>84434.760329757468</v>
      </c>
      <c r="H48" s="36">
        <f t="shared" si="1"/>
        <v>243740.10085917625</v>
      </c>
      <c r="I48" s="36">
        <f t="shared" si="4"/>
        <v>-6447601.7810431821</v>
      </c>
      <c r="J48" s="56">
        <f>Main!F115</f>
        <v>104699.10280889928</v>
      </c>
      <c r="K48" s="36">
        <f t="shared" si="2"/>
        <v>223475.75838003444</v>
      </c>
      <c r="L48" s="36">
        <f t="shared" si="5"/>
        <v>-6088606.3805350801</v>
      </c>
    </row>
    <row r="49" spans="1:12">
      <c r="A49" s="175">
        <v>100</v>
      </c>
      <c r="B49" s="175"/>
      <c r="C49" s="176">
        <f t="shared" si="3"/>
        <v>338886.37039692927</v>
      </c>
      <c r="D49" s="177">
        <f>Main!B116</f>
        <v>60581.940536601003</v>
      </c>
      <c r="E49" s="178">
        <f t="shared" si="0"/>
        <v>278304.42986032827</v>
      </c>
      <c r="F49" s="179">
        <f>F48*(1+$B$3)-E49</f>
        <v>-7580023.3978232257</v>
      </c>
      <c r="G49" s="177">
        <f>Main!D116</f>
        <v>86545.629338001396</v>
      </c>
      <c r="H49" s="179">
        <f t="shared" si="1"/>
        <v>252340.74105892787</v>
      </c>
      <c r="I49" s="179">
        <f t="shared" si="4"/>
        <v>-6957846.5933438372</v>
      </c>
      <c r="J49" s="177">
        <f>Main!F116</f>
        <v>107316.58037912173</v>
      </c>
      <c r="K49" s="179">
        <f t="shared" si="2"/>
        <v>231569.79001780754</v>
      </c>
      <c r="L49" s="179">
        <f t="shared" si="5"/>
        <v>-6563720.4257742912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EBEDC-8FD4-4979-9DFD-E365123978DC}">
  <dimension ref="A10:X206"/>
  <sheetViews>
    <sheetView tabSelected="1" topLeftCell="A6" zoomScale="90" zoomScaleNormal="90" workbookViewId="0">
      <pane xSplit="1" topLeftCell="B1" activePane="topRight" state="frozen"/>
      <selection activeCell="A87" sqref="A87"/>
      <selection pane="topRight" activeCell="E166" sqref="E166"/>
    </sheetView>
  </sheetViews>
  <sheetFormatPr defaultRowHeight="14.4"/>
  <cols>
    <col min="1" max="1" width="15.6640625" customWidth="1"/>
    <col min="2" max="15" width="15.77734375" customWidth="1"/>
    <col min="23" max="23" width="12.88671875" customWidth="1"/>
    <col min="24" max="24" width="14.5546875" customWidth="1"/>
  </cols>
  <sheetData>
    <row r="10" spans="1:24" ht="15" thickBot="1"/>
    <row r="11" spans="1:24" ht="28.8">
      <c r="A11" s="113" t="s">
        <v>184</v>
      </c>
      <c r="B11" s="114">
        <v>2822</v>
      </c>
      <c r="D11" s="99" t="s">
        <v>182</v>
      </c>
      <c r="E11" s="115">
        <f>'SS Benefit Cal'!F3</f>
        <v>3.7294117647058829</v>
      </c>
      <c r="N11" s="137" t="s">
        <v>201</v>
      </c>
      <c r="X11" s="137" t="s">
        <v>200</v>
      </c>
    </row>
    <row r="12" spans="1:24" ht="29.4" thickBot="1">
      <c r="A12" s="54" t="s">
        <v>120</v>
      </c>
      <c r="B12" s="42">
        <v>22</v>
      </c>
      <c r="D12" s="116" t="s">
        <v>183</v>
      </c>
      <c r="E12" s="44">
        <f>Inflation!P123</f>
        <v>3.2639639639639652E-2</v>
      </c>
      <c r="N12" s="138" cm="1">
        <f t="array" ref="N12">INDEX(A86:A116,MATCH(1,INDEX(--(G86:G116&gt;=C86:C116),0),0))</f>
        <v>78</v>
      </c>
      <c r="X12" s="138" cm="1">
        <f t="array" ref="X12">_xlfn.XLOOKUP(TRUE,C123:C161&lt;=E123:E161,A123:A161,"No crossover")</f>
        <v>85</v>
      </c>
    </row>
    <row r="13" spans="1:24">
      <c r="A13" s="54" t="s">
        <v>121</v>
      </c>
      <c r="B13" s="58">
        <v>2.5000000000000001E-2</v>
      </c>
    </row>
    <row r="14" spans="1:24">
      <c r="A14" s="54" t="s">
        <v>176</v>
      </c>
      <c r="B14" s="58">
        <v>0.04</v>
      </c>
    </row>
    <row r="15" spans="1:24" ht="15" thickBot="1">
      <c r="A15" s="55" t="s">
        <v>93</v>
      </c>
      <c r="B15" s="44">
        <v>0.04</v>
      </c>
    </row>
    <row r="16" spans="1:24" ht="15" thickBot="1">
      <c r="A16" s="139" t="s">
        <v>202</v>
      </c>
      <c r="B16" s="140">
        <v>250000</v>
      </c>
    </row>
    <row r="18" spans="1:9" ht="15" thickBot="1"/>
    <row r="19" spans="1:9" ht="15" thickBot="1">
      <c r="A19" s="65" t="s">
        <v>2</v>
      </c>
      <c r="B19" s="51" t="s">
        <v>185</v>
      </c>
      <c r="C19" s="66" t="s">
        <v>106</v>
      </c>
      <c r="D19" s="67" t="s">
        <v>4</v>
      </c>
    </row>
    <row r="20" spans="1:9">
      <c r="A20" s="61">
        <v>62</v>
      </c>
      <c r="B20" s="62">
        <f t="shared" ref="B20:B24" si="0">$B$11*C20</f>
        <v>1975.3999999999999</v>
      </c>
      <c r="C20" s="63">
        <v>0.7</v>
      </c>
      <c r="D20" s="64"/>
    </row>
    <row r="21" spans="1:9">
      <c r="A21" s="41">
        <v>63</v>
      </c>
      <c r="B21" s="56">
        <f t="shared" si="0"/>
        <v>2116.5</v>
      </c>
      <c r="C21" s="57">
        <v>0.75</v>
      </c>
      <c r="D21" s="58">
        <f>(B21-B20)/B20</f>
        <v>7.1428571428571508E-2</v>
      </c>
    </row>
    <row r="22" spans="1:9">
      <c r="A22" s="41">
        <v>64</v>
      </c>
      <c r="B22" s="56">
        <f t="shared" si="0"/>
        <v>2257.6</v>
      </c>
      <c r="C22" s="57">
        <v>0.8</v>
      </c>
      <c r="D22" s="58">
        <f t="shared" ref="D22:D28" si="1">(B22-B21)/B21</f>
        <v>6.6666666666666624E-2</v>
      </c>
    </row>
    <row r="23" spans="1:9">
      <c r="A23" s="41">
        <v>65</v>
      </c>
      <c r="B23" s="56">
        <f t="shared" si="0"/>
        <v>2446.674</v>
      </c>
      <c r="C23" s="38">
        <v>0.86699999999999999</v>
      </c>
      <c r="D23" s="58">
        <f t="shared" si="1"/>
        <v>8.3750000000000033E-2</v>
      </c>
    </row>
    <row r="24" spans="1:9">
      <c r="A24" s="41">
        <v>66</v>
      </c>
      <c r="B24" s="56">
        <f t="shared" si="0"/>
        <v>2632.9259999999999</v>
      </c>
      <c r="C24" s="38">
        <v>0.93300000000000005</v>
      </c>
      <c r="D24" s="58">
        <f t="shared" si="1"/>
        <v>7.612456747404843E-2</v>
      </c>
    </row>
    <row r="25" spans="1:9">
      <c r="A25" s="41">
        <v>67</v>
      </c>
      <c r="B25" s="56">
        <f>$B$11*C25</f>
        <v>2822</v>
      </c>
      <c r="C25" s="57">
        <v>1</v>
      </c>
      <c r="D25" s="58">
        <f t="shared" si="1"/>
        <v>7.1811361200428747E-2</v>
      </c>
    </row>
    <row r="26" spans="1:9">
      <c r="A26" s="41">
        <v>68</v>
      </c>
      <c r="B26" s="56">
        <f t="shared" ref="B26:B28" si="2">$B$11*C26</f>
        <v>3047.76</v>
      </c>
      <c r="C26" s="57">
        <v>1.08</v>
      </c>
      <c r="D26" s="58">
        <f t="shared" si="1"/>
        <v>8.0000000000000071E-2</v>
      </c>
    </row>
    <row r="27" spans="1:9">
      <c r="A27" s="41">
        <v>69</v>
      </c>
      <c r="B27" s="56">
        <f t="shared" si="2"/>
        <v>3273.52</v>
      </c>
      <c r="C27" s="57">
        <v>1.1599999999999999</v>
      </c>
      <c r="D27" s="58">
        <f t="shared" si="1"/>
        <v>7.4074074074073987E-2</v>
      </c>
    </row>
    <row r="28" spans="1:9" ht="15" thickBot="1">
      <c r="A28" s="43">
        <v>70</v>
      </c>
      <c r="B28" s="59">
        <f t="shared" si="2"/>
        <v>3499.28</v>
      </c>
      <c r="C28" s="60">
        <v>1.24</v>
      </c>
      <c r="D28" s="44">
        <f t="shared" si="1"/>
        <v>6.8965517241379379E-2</v>
      </c>
    </row>
    <row r="32" spans="1:9" ht="15" thickBot="1">
      <c r="A32" s="184" t="s">
        <v>2</v>
      </c>
      <c r="B32" s="185" t="s">
        <v>102</v>
      </c>
      <c r="C32" s="185" t="s">
        <v>103</v>
      </c>
      <c r="D32" s="185" t="s">
        <v>105</v>
      </c>
      <c r="G32" s="21"/>
      <c r="H32" s="21"/>
      <c r="I32" s="21"/>
    </row>
    <row r="33" spans="1:9">
      <c r="A33" s="180">
        <v>62</v>
      </c>
      <c r="B33" s="68">
        <f>B20</f>
        <v>1975.3999999999999</v>
      </c>
      <c r="C33" s="68"/>
      <c r="D33" s="183"/>
      <c r="F33" t="str">
        <f xml:space="preserve">  "Monthly benefit with " &amp; B13*100 &amp; "%  Cola "</f>
        <v xml:space="preserve">Monthly benefit with 2.5%  Cola </v>
      </c>
      <c r="G33" s="2"/>
      <c r="H33" s="2"/>
    </row>
    <row r="34" spans="1:9">
      <c r="A34" s="181">
        <v>63</v>
      </c>
      <c r="B34" s="56">
        <f>B33*(1+$B$13)</f>
        <v>2024.7849999999996</v>
      </c>
      <c r="C34" s="56"/>
      <c r="D34" s="130"/>
      <c r="G34" s="2"/>
      <c r="H34" s="2"/>
    </row>
    <row r="35" spans="1:9">
      <c r="A35" s="181">
        <v>64</v>
      </c>
      <c r="B35" s="56">
        <f t="shared" ref="B35:B71" si="3">B34*(1+$B$13)</f>
        <v>2075.4046249999992</v>
      </c>
      <c r="C35" s="56"/>
      <c r="D35" s="130"/>
      <c r="G35" s="2"/>
      <c r="H35" s="2"/>
    </row>
    <row r="36" spans="1:9">
      <c r="A36" s="181">
        <v>65</v>
      </c>
      <c r="B36" s="56">
        <f t="shared" si="3"/>
        <v>2127.289740624999</v>
      </c>
      <c r="C36" s="56"/>
      <c r="D36" s="130"/>
      <c r="G36" s="2"/>
      <c r="H36" s="2"/>
    </row>
    <row r="37" spans="1:9">
      <c r="A37" s="181">
        <v>66</v>
      </c>
      <c r="B37" s="56">
        <f t="shared" si="3"/>
        <v>2180.4719841406236</v>
      </c>
      <c r="C37" s="56"/>
      <c r="D37" s="130"/>
      <c r="G37" s="2"/>
      <c r="H37" s="2"/>
    </row>
    <row r="38" spans="1:9">
      <c r="A38" s="181">
        <v>67</v>
      </c>
      <c r="B38" s="56">
        <f t="shared" si="3"/>
        <v>2234.9837837441391</v>
      </c>
      <c r="C38" s="56">
        <f>B25*(1+B13)^(A25-A20)</f>
        <v>3192.8339767773427</v>
      </c>
      <c r="D38" s="130"/>
      <c r="G38" s="2"/>
      <c r="H38" s="2"/>
    </row>
    <row r="39" spans="1:9">
      <c r="A39" s="181">
        <v>68</v>
      </c>
      <c r="B39" s="56">
        <f t="shared" si="3"/>
        <v>2290.8583783377426</v>
      </c>
      <c r="C39" s="56">
        <f>C38*(1+$B$13)</f>
        <v>3272.654826196776</v>
      </c>
      <c r="D39" s="130"/>
      <c r="G39" s="2"/>
      <c r="H39" s="2"/>
    </row>
    <row r="40" spans="1:9">
      <c r="A40" s="181">
        <v>69</v>
      </c>
      <c r="B40" s="56">
        <f t="shared" si="3"/>
        <v>2348.1298377961862</v>
      </c>
      <c r="C40" s="56">
        <f t="shared" ref="C40:C71" si="4">C39*(1+$B$13)</f>
        <v>3354.4711968516949</v>
      </c>
      <c r="D40" s="130"/>
      <c r="G40" s="2"/>
      <c r="H40" s="2"/>
    </row>
    <row r="41" spans="1:9">
      <c r="A41" s="181">
        <v>70</v>
      </c>
      <c r="B41" s="56">
        <f t="shared" si="3"/>
        <v>2406.8330837410908</v>
      </c>
      <c r="C41" s="56">
        <f t="shared" si="4"/>
        <v>3438.332976772987</v>
      </c>
      <c r="D41" s="83">
        <f>B28*(1+$B$13)^(A41-A33)</f>
        <v>4263.5328911985052</v>
      </c>
      <c r="G41" s="2"/>
      <c r="H41" s="2"/>
      <c r="I41" s="2"/>
    </row>
    <row r="42" spans="1:9">
      <c r="A42" s="181">
        <v>71</v>
      </c>
      <c r="B42" s="56">
        <f t="shared" si="3"/>
        <v>2467.0039108346177</v>
      </c>
      <c r="C42" s="56">
        <f t="shared" si="4"/>
        <v>3524.2913011923115</v>
      </c>
      <c r="D42" s="83">
        <f>D41*(1+$B$13)</f>
        <v>4370.1212134784673</v>
      </c>
      <c r="G42" s="2"/>
      <c r="H42" s="2"/>
      <c r="I42" s="2"/>
    </row>
    <row r="43" spans="1:9">
      <c r="A43" s="181">
        <v>72</v>
      </c>
      <c r="B43" s="56">
        <f t="shared" si="3"/>
        <v>2528.679008605483</v>
      </c>
      <c r="C43" s="56">
        <f t="shared" si="4"/>
        <v>3612.3985837221189</v>
      </c>
      <c r="D43" s="83">
        <f t="shared" ref="D43:D71" si="5">D42*(1+$B$13)</f>
        <v>4479.3742438154286</v>
      </c>
      <c r="G43" s="2"/>
      <c r="H43" s="2"/>
      <c r="I43" s="2"/>
    </row>
    <row r="44" spans="1:9">
      <c r="A44" s="181">
        <v>73</v>
      </c>
      <c r="B44" s="56">
        <f t="shared" si="3"/>
        <v>2591.8959838206197</v>
      </c>
      <c r="C44" s="56">
        <f t="shared" si="4"/>
        <v>3702.7085483151714</v>
      </c>
      <c r="D44" s="83">
        <f t="shared" si="5"/>
        <v>4591.3585999108136</v>
      </c>
      <c r="G44" s="2"/>
      <c r="H44" s="2"/>
      <c r="I44" s="2"/>
    </row>
    <row r="45" spans="1:9">
      <c r="A45" s="181">
        <v>74</v>
      </c>
      <c r="B45" s="56">
        <f t="shared" si="3"/>
        <v>2656.693383416135</v>
      </c>
      <c r="C45" s="56">
        <f t="shared" si="4"/>
        <v>3795.2762620230501</v>
      </c>
      <c r="D45" s="83">
        <f t="shared" si="5"/>
        <v>4706.1425649085832</v>
      </c>
      <c r="G45" s="2"/>
      <c r="H45" s="2"/>
      <c r="I45" s="2"/>
    </row>
    <row r="46" spans="1:9">
      <c r="A46" s="181">
        <v>75</v>
      </c>
      <c r="B46" s="56">
        <f t="shared" si="3"/>
        <v>2723.1107180015383</v>
      </c>
      <c r="C46" s="56">
        <f t="shared" si="4"/>
        <v>3890.158168573626</v>
      </c>
      <c r="D46" s="83">
        <f t="shared" si="5"/>
        <v>4823.7961290312969</v>
      </c>
      <c r="G46" s="2"/>
      <c r="H46" s="2"/>
      <c r="I46" s="2"/>
    </row>
    <row r="47" spans="1:9">
      <c r="A47" s="181">
        <v>76</v>
      </c>
      <c r="B47" s="56">
        <f t="shared" si="3"/>
        <v>2791.1884859515767</v>
      </c>
      <c r="C47" s="56">
        <f t="shared" si="4"/>
        <v>3987.4121227879664</v>
      </c>
      <c r="D47" s="83">
        <f t="shared" si="5"/>
        <v>4944.3910322570791</v>
      </c>
      <c r="G47" s="2"/>
      <c r="H47" s="2"/>
      <c r="I47" s="2"/>
    </row>
    <row r="48" spans="1:9">
      <c r="A48" s="181">
        <v>77</v>
      </c>
      <c r="B48" s="56">
        <f t="shared" si="3"/>
        <v>2860.968198100366</v>
      </c>
      <c r="C48" s="56">
        <f t="shared" si="4"/>
        <v>4087.0974258576653</v>
      </c>
      <c r="D48" s="83">
        <f t="shared" si="5"/>
        <v>5068.0008080635052</v>
      </c>
      <c r="G48" s="2"/>
      <c r="H48" s="2"/>
      <c r="I48" s="2"/>
    </row>
    <row r="49" spans="1:9">
      <c r="A49" s="181">
        <v>78</v>
      </c>
      <c r="B49" s="56">
        <f t="shared" si="3"/>
        <v>2932.492403052875</v>
      </c>
      <c r="C49" s="56">
        <f t="shared" si="4"/>
        <v>4189.2748615041064</v>
      </c>
      <c r="D49" s="83">
        <f t="shared" si="5"/>
        <v>5194.7008282650922</v>
      </c>
      <c r="G49" s="2"/>
      <c r="H49" s="2"/>
      <c r="I49" s="2"/>
    </row>
    <row r="50" spans="1:9">
      <c r="A50" s="181">
        <v>79</v>
      </c>
      <c r="B50" s="56">
        <f t="shared" si="3"/>
        <v>3005.8047131291964</v>
      </c>
      <c r="C50" s="56">
        <f t="shared" si="4"/>
        <v>4294.0067330417087</v>
      </c>
      <c r="D50" s="83">
        <f t="shared" si="5"/>
        <v>5324.5683489717194</v>
      </c>
      <c r="G50" s="2"/>
      <c r="H50" s="2"/>
      <c r="I50" s="2"/>
    </row>
    <row r="51" spans="1:9">
      <c r="A51" s="181">
        <v>80</v>
      </c>
      <c r="B51" s="56">
        <f t="shared" si="3"/>
        <v>3080.949830957426</v>
      </c>
      <c r="C51" s="56">
        <f t="shared" si="4"/>
        <v>4401.3569013677507</v>
      </c>
      <c r="D51" s="83">
        <f t="shared" si="5"/>
        <v>5457.6825576960118</v>
      </c>
      <c r="G51" s="2"/>
      <c r="H51" s="2"/>
      <c r="I51" s="2"/>
    </row>
    <row r="52" spans="1:9">
      <c r="A52" s="181">
        <v>81</v>
      </c>
      <c r="B52" s="56">
        <f t="shared" si="3"/>
        <v>3157.9735767313614</v>
      </c>
      <c r="C52" s="56">
        <f t="shared" si="4"/>
        <v>4511.3908239019438</v>
      </c>
      <c r="D52" s="83">
        <f t="shared" si="5"/>
        <v>5594.1246216384116</v>
      </c>
      <c r="G52" s="2"/>
      <c r="H52" s="2"/>
      <c r="I52" s="2"/>
    </row>
    <row r="53" spans="1:9">
      <c r="A53" s="181">
        <v>82</v>
      </c>
      <c r="B53" s="56">
        <f t="shared" si="3"/>
        <v>3236.9229161496451</v>
      </c>
      <c r="C53" s="56">
        <f t="shared" si="4"/>
        <v>4624.175594499492</v>
      </c>
      <c r="D53" s="83">
        <f t="shared" si="5"/>
        <v>5733.9777371793716</v>
      </c>
      <c r="G53" s="2"/>
      <c r="H53" s="2"/>
      <c r="I53" s="2"/>
    </row>
    <row r="54" spans="1:9">
      <c r="A54" s="181">
        <v>83</v>
      </c>
      <c r="B54" s="56">
        <f t="shared" si="3"/>
        <v>3317.8459890533859</v>
      </c>
      <c r="C54" s="56">
        <f t="shared" si="4"/>
        <v>4739.7799843619787</v>
      </c>
      <c r="D54" s="83">
        <f t="shared" si="5"/>
        <v>5877.3271806088551</v>
      </c>
      <c r="G54" s="2"/>
      <c r="H54" s="2"/>
      <c r="I54" s="2"/>
    </row>
    <row r="55" spans="1:9">
      <c r="A55" s="181">
        <v>84</v>
      </c>
      <c r="B55" s="56">
        <f t="shared" si="3"/>
        <v>3400.7921387797201</v>
      </c>
      <c r="C55" s="56">
        <f t="shared" si="4"/>
        <v>4858.2744839710276</v>
      </c>
      <c r="D55" s="83">
        <f t="shared" si="5"/>
        <v>6024.2603601240762</v>
      </c>
      <c r="G55" s="2"/>
      <c r="H55" s="2"/>
      <c r="I55" s="2"/>
    </row>
    <row r="56" spans="1:9">
      <c r="A56" s="181">
        <v>85</v>
      </c>
      <c r="B56" s="56">
        <f t="shared" si="3"/>
        <v>3485.8119422492127</v>
      </c>
      <c r="C56" s="56">
        <f t="shared" si="4"/>
        <v>4979.7313460703026</v>
      </c>
      <c r="D56" s="83">
        <f t="shared" si="5"/>
        <v>6174.8668691271778</v>
      </c>
      <c r="G56" s="2"/>
      <c r="H56" s="2"/>
      <c r="I56" s="2"/>
    </row>
    <row r="57" spans="1:9">
      <c r="A57" s="181">
        <v>86</v>
      </c>
      <c r="B57" s="56">
        <f t="shared" si="3"/>
        <v>3572.9572408054428</v>
      </c>
      <c r="C57" s="56">
        <f t="shared" si="4"/>
        <v>5104.2246297220599</v>
      </c>
      <c r="D57" s="83">
        <f t="shared" si="5"/>
        <v>6329.2385408553564</v>
      </c>
      <c r="G57" s="2"/>
      <c r="H57" s="2"/>
      <c r="I57" s="2"/>
    </row>
    <row r="58" spans="1:9">
      <c r="A58" s="181">
        <v>87</v>
      </c>
      <c r="B58" s="56">
        <f t="shared" si="3"/>
        <v>3662.2811718255784</v>
      </c>
      <c r="C58" s="56">
        <f t="shared" si="4"/>
        <v>5231.8302454651111</v>
      </c>
      <c r="D58" s="83">
        <f t="shared" si="5"/>
        <v>6487.4695043767397</v>
      </c>
      <c r="G58" s="2"/>
      <c r="H58" s="2"/>
      <c r="I58" s="2"/>
    </row>
    <row r="59" spans="1:9">
      <c r="A59" s="181">
        <v>88</v>
      </c>
      <c r="B59" s="56">
        <f t="shared" si="3"/>
        <v>3753.8382011212175</v>
      </c>
      <c r="C59" s="56">
        <f t="shared" si="4"/>
        <v>5362.6260016017386</v>
      </c>
      <c r="D59" s="83">
        <f t="shared" si="5"/>
        <v>6649.6562419861575</v>
      </c>
      <c r="G59" s="2"/>
      <c r="H59" s="2"/>
      <c r="I59" s="2"/>
    </row>
    <row r="60" spans="1:9">
      <c r="A60" s="181">
        <v>89</v>
      </c>
      <c r="B60" s="56">
        <f t="shared" si="3"/>
        <v>3847.6841561492474</v>
      </c>
      <c r="C60" s="56">
        <f t="shared" si="4"/>
        <v>5496.6916516417814</v>
      </c>
      <c r="D60" s="83">
        <f t="shared" si="5"/>
        <v>6815.8976480358106</v>
      </c>
      <c r="G60" s="2"/>
      <c r="H60" s="2"/>
      <c r="I60" s="2"/>
    </row>
    <row r="61" spans="1:9">
      <c r="A61" s="181">
        <v>90</v>
      </c>
      <c r="B61" s="56">
        <f t="shared" si="3"/>
        <v>3943.8762600529781</v>
      </c>
      <c r="C61" s="56">
        <f t="shared" si="4"/>
        <v>5634.1089429328258</v>
      </c>
      <c r="D61" s="83">
        <f t="shared" si="5"/>
        <v>6986.2950892367053</v>
      </c>
      <c r="G61" s="2"/>
      <c r="H61" s="2"/>
      <c r="I61" s="2"/>
    </row>
    <row r="62" spans="1:9">
      <c r="A62" s="181">
        <v>91</v>
      </c>
      <c r="B62" s="56">
        <f t="shared" si="3"/>
        <v>4042.4731665543022</v>
      </c>
      <c r="C62" s="56">
        <f t="shared" si="4"/>
        <v>5774.9616665061458</v>
      </c>
      <c r="D62" s="83">
        <f t="shared" si="5"/>
        <v>7160.9524664676219</v>
      </c>
      <c r="G62" s="2"/>
      <c r="H62" s="2"/>
      <c r="I62" s="2"/>
    </row>
    <row r="63" spans="1:9">
      <c r="A63" s="181">
        <v>92</v>
      </c>
      <c r="B63" s="56">
        <f t="shared" si="3"/>
        <v>4143.5349957181597</v>
      </c>
      <c r="C63" s="56">
        <f t="shared" si="4"/>
        <v>5919.3357081687991</v>
      </c>
      <c r="D63" s="83">
        <f t="shared" si="5"/>
        <v>7339.976278129312</v>
      </c>
      <c r="G63" s="2"/>
      <c r="H63" s="2"/>
      <c r="I63" s="2"/>
    </row>
    <row r="64" spans="1:9">
      <c r="A64" s="181">
        <v>93</v>
      </c>
      <c r="B64" s="56">
        <f t="shared" si="3"/>
        <v>4247.1233706111134</v>
      </c>
      <c r="C64" s="56">
        <f t="shared" si="4"/>
        <v>6067.3191008730182</v>
      </c>
      <c r="D64" s="83">
        <f t="shared" si="5"/>
        <v>7523.4756850825443</v>
      </c>
      <c r="G64" s="2"/>
      <c r="H64" s="2"/>
      <c r="I64" s="2"/>
    </row>
    <row r="65" spans="1:15">
      <c r="A65" s="181">
        <v>94</v>
      </c>
      <c r="B65" s="56">
        <f t="shared" si="3"/>
        <v>4353.3014548763913</v>
      </c>
      <c r="C65" s="56">
        <f t="shared" si="4"/>
        <v>6219.002078394843</v>
      </c>
      <c r="D65" s="83">
        <f t="shared" si="5"/>
        <v>7711.5625772096073</v>
      </c>
      <c r="G65" s="2"/>
      <c r="H65" s="2"/>
      <c r="I65" s="2"/>
    </row>
    <row r="66" spans="1:15">
      <c r="A66" s="181">
        <v>95</v>
      </c>
      <c r="B66" s="56">
        <f t="shared" si="3"/>
        <v>4462.1339912483008</v>
      </c>
      <c r="C66" s="56">
        <f t="shared" si="4"/>
        <v>6374.4771303547132</v>
      </c>
      <c r="D66" s="83">
        <f t="shared" si="5"/>
        <v>7904.351641639847</v>
      </c>
      <c r="G66" s="2"/>
      <c r="H66" s="2"/>
      <c r="I66" s="2"/>
    </row>
    <row r="67" spans="1:15">
      <c r="A67" s="181">
        <v>96</v>
      </c>
      <c r="B67" s="56">
        <f t="shared" si="3"/>
        <v>4573.6873410295084</v>
      </c>
      <c r="C67" s="56">
        <f t="shared" si="4"/>
        <v>6533.8390586135802</v>
      </c>
      <c r="D67" s="83">
        <f t="shared" si="5"/>
        <v>8101.9604326808421</v>
      </c>
      <c r="G67" s="2"/>
      <c r="H67" s="2"/>
      <c r="I67" s="2"/>
    </row>
    <row r="68" spans="1:15">
      <c r="A68" s="181">
        <v>97</v>
      </c>
      <c r="B68" s="56">
        <f t="shared" si="3"/>
        <v>4688.0295245552461</v>
      </c>
      <c r="C68" s="56">
        <f t="shared" si="4"/>
        <v>6697.1850350789191</v>
      </c>
      <c r="D68" s="83">
        <f t="shared" si="5"/>
        <v>8304.5094434978619</v>
      </c>
      <c r="G68" s="2"/>
      <c r="H68" s="2"/>
      <c r="I68" s="2"/>
    </row>
    <row r="69" spans="1:15">
      <c r="A69" s="181">
        <v>98</v>
      </c>
      <c r="B69" s="56">
        <f t="shared" si="3"/>
        <v>4805.2302626691271</v>
      </c>
      <c r="C69" s="56">
        <f t="shared" si="4"/>
        <v>6864.6146609558918</v>
      </c>
      <c r="D69" s="83">
        <f t="shared" si="5"/>
        <v>8512.1221795853071</v>
      </c>
      <c r="G69" s="2"/>
      <c r="H69" s="2"/>
      <c r="I69" s="2"/>
    </row>
    <row r="70" spans="1:15">
      <c r="A70" s="181">
        <v>99</v>
      </c>
      <c r="B70" s="56">
        <f t="shared" si="3"/>
        <v>4925.3610192358547</v>
      </c>
      <c r="C70" s="56">
        <f t="shared" si="4"/>
        <v>7036.230027479789</v>
      </c>
      <c r="D70" s="83">
        <f t="shared" si="5"/>
        <v>8724.925234074939</v>
      </c>
      <c r="G70" s="2"/>
      <c r="H70" s="2"/>
      <c r="I70" s="2"/>
    </row>
    <row r="71" spans="1:15">
      <c r="A71" s="186">
        <v>100</v>
      </c>
      <c r="B71" s="177">
        <f t="shared" si="3"/>
        <v>5048.4950447167503</v>
      </c>
      <c r="C71" s="177">
        <f t="shared" si="4"/>
        <v>7212.135778166783</v>
      </c>
      <c r="D71" s="187">
        <f t="shared" si="5"/>
        <v>8943.0483649268117</v>
      </c>
      <c r="G71" s="2"/>
      <c r="H71" s="2"/>
      <c r="I71" s="2"/>
    </row>
    <row r="73" spans="1:15">
      <c r="F73" s="14" t="s">
        <v>196</v>
      </c>
    </row>
    <row r="74" spans="1:15">
      <c r="D74" t="str">
        <f>"Total payout with Cola of " &amp; B13*100 &amp; "%  Rate of Return = " &amp; 0*100 &amp;" %, Breakeven Age "&amp;F74</f>
        <v>Total payout with Cola of 2.5%  Rate of Return = 0 %, Breakeven Age 78</v>
      </c>
      <c r="F74" cm="1">
        <f t="array" ref="F74">_xlfn.XLOOKUP(TRUE,G86:G116&gt;=C86:C116,A86:A116,"No crossover")</f>
        <v>78</v>
      </c>
    </row>
    <row r="76" spans="1:15" ht="15" thickBot="1"/>
    <row r="77" spans="1:15" ht="29.4" thickBot="1">
      <c r="A77" s="188" t="s">
        <v>129</v>
      </c>
      <c r="B77" s="74" t="s">
        <v>88</v>
      </c>
      <c r="C77" s="74" t="s">
        <v>87</v>
      </c>
      <c r="D77" s="50" t="s">
        <v>90</v>
      </c>
      <c r="E77" s="50" t="s">
        <v>89</v>
      </c>
      <c r="F77" s="50" t="s">
        <v>92</v>
      </c>
      <c r="G77" s="128" t="s">
        <v>91</v>
      </c>
      <c r="H77" s="132" t="s">
        <v>203</v>
      </c>
      <c r="I77" s="132" t="s">
        <v>204</v>
      </c>
      <c r="J77" s="132" t="s">
        <v>205</v>
      </c>
      <c r="K77" s="132" t="s">
        <v>206</v>
      </c>
      <c r="L77" s="132" t="s">
        <v>207</v>
      </c>
      <c r="M77" s="132" t="s">
        <v>195</v>
      </c>
      <c r="N77" s="132" t="s">
        <v>221</v>
      </c>
      <c r="O77" s="192" t="s">
        <v>222</v>
      </c>
    </row>
    <row r="78" spans="1:15">
      <c r="A78" s="189">
        <v>62</v>
      </c>
      <c r="B78" s="62">
        <f>B33*12</f>
        <v>23704.799999999999</v>
      </c>
      <c r="C78" s="62">
        <f>B78</f>
        <v>23704.799999999999</v>
      </c>
      <c r="D78" s="46">
        <v>0</v>
      </c>
      <c r="E78" s="46">
        <v>0</v>
      </c>
      <c r="F78" s="46">
        <v>0</v>
      </c>
      <c r="G78" s="129">
        <v>0</v>
      </c>
      <c r="H78" s="56">
        <f>C78</f>
        <v>23704.799999999999</v>
      </c>
      <c r="I78" s="56"/>
      <c r="J78" s="37"/>
      <c r="K78" s="56">
        <f>H78</f>
        <v>23704.799999999999</v>
      </c>
      <c r="L78" s="56"/>
      <c r="M78" s="37">
        <v>0</v>
      </c>
      <c r="N78" s="133">
        <v>1000</v>
      </c>
      <c r="O78" s="193">
        <f>1000</f>
        <v>1000</v>
      </c>
    </row>
    <row r="79" spans="1:15">
      <c r="A79" s="190">
        <v>63</v>
      </c>
      <c r="B79" s="62">
        <f t="shared" ref="B79:B116" si="6">B34*12</f>
        <v>24297.419999999995</v>
      </c>
      <c r="C79" s="56">
        <f>C78+B79</f>
        <v>48002.219999999994</v>
      </c>
      <c r="D79" s="37">
        <v>0</v>
      </c>
      <c r="E79" s="37">
        <v>0</v>
      </c>
      <c r="F79" s="37">
        <v>0</v>
      </c>
      <c r="G79" s="130">
        <v>0</v>
      </c>
      <c r="H79" s="56">
        <f>B79/(1+$B$15)^(A79-$A$78)</f>
        <v>23362.90384615384</v>
      </c>
      <c r="I79" s="56"/>
      <c r="J79" s="37"/>
      <c r="K79" s="56">
        <f>K78+H79</f>
        <v>47067.70384615384</v>
      </c>
      <c r="L79" s="56"/>
      <c r="M79" s="37">
        <v>0</v>
      </c>
      <c r="N79" s="133">
        <f t="shared" ref="N79:N116" si="7">$N$78/(1+$B$15)^(A79-$A$78)</f>
        <v>961.53846153846155</v>
      </c>
      <c r="O79" s="193">
        <f t="shared" ref="O79:O116" si="8">$O$78*(1+$B$14)^(A79-$A$78)</f>
        <v>1040</v>
      </c>
    </row>
    <row r="80" spans="1:15">
      <c r="A80" s="190">
        <v>64</v>
      </c>
      <c r="B80" s="62">
        <f t="shared" si="6"/>
        <v>24904.855499999991</v>
      </c>
      <c r="C80" s="56">
        <f t="shared" ref="C80:C116" si="9">C79+B80</f>
        <v>72907.075499999977</v>
      </c>
      <c r="D80" s="37">
        <v>0</v>
      </c>
      <c r="E80" s="37">
        <v>0</v>
      </c>
      <c r="F80" s="37">
        <v>0</v>
      </c>
      <c r="G80" s="130">
        <v>0</v>
      </c>
      <c r="H80" s="56">
        <f>B80/(1+$B$15)^(A80-$A$78)</f>
        <v>23025.938886834309</v>
      </c>
      <c r="I80" s="56"/>
      <c r="J80" s="37"/>
      <c r="K80" s="56">
        <f t="shared" ref="K80:K116" si="10">K79+H80</f>
        <v>70093.642732988141</v>
      </c>
      <c r="L80" s="56"/>
      <c r="M80" s="37">
        <v>0</v>
      </c>
      <c r="N80" s="133">
        <f t="shared" si="7"/>
        <v>924.55621301775136</v>
      </c>
      <c r="O80" s="193">
        <f t="shared" si="8"/>
        <v>1081.6000000000001</v>
      </c>
    </row>
    <row r="81" spans="1:15">
      <c r="A81" s="190">
        <v>65</v>
      </c>
      <c r="B81" s="62">
        <f t="shared" si="6"/>
        <v>25527.476887499986</v>
      </c>
      <c r="C81" s="56">
        <f t="shared" si="9"/>
        <v>98434.552387499964</v>
      </c>
      <c r="D81" s="37">
        <v>0</v>
      </c>
      <c r="E81" s="37">
        <v>0</v>
      </c>
      <c r="F81" s="37">
        <v>0</v>
      </c>
      <c r="G81" s="130">
        <v>0</v>
      </c>
      <c r="H81" s="56">
        <f t="shared" ref="H81:H116" si="11">B81/(1+$B$15)^(A81-$A$78)</f>
        <v>22693.833999043425</v>
      </c>
      <c r="I81" s="56"/>
      <c r="J81" s="37"/>
      <c r="K81" s="56">
        <f t="shared" si="10"/>
        <v>92787.476732031559</v>
      </c>
      <c r="L81" s="56"/>
      <c r="M81" s="37">
        <v>0</v>
      </c>
      <c r="N81" s="133">
        <f t="shared" si="7"/>
        <v>888.99635867091479</v>
      </c>
      <c r="O81" s="193">
        <f t="shared" si="8"/>
        <v>1124.864</v>
      </c>
    </row>
    <row r="82" spans="1:15">
      <c r="A82" s="190">
        <v>66</v>
      </c>
      <c r="B82" s="62">
        <f t="shared" si="6"/>
        <v>26165.663809687481</v>
      </c>
      <c r="C82" s="56">
        <f t="shared" si="9"/>
        <v>124600.21619718744</v>
      </c>
      <c r="D82" s="37">
        <v>0</v>
      </c>
      <c r="E82" s="37">
        <v>0</v>
      </c>
      <c r="F82" s="37">
        <v>0</v>
      </c>
      <c r="G82" s="130">
        <v>0</v>
      </c>
      <c r="H82" s="56">
        <f t="shared" si="11"/>
        <v>22366.519085595679</v>
      </c>
      <c r="I82" s="56"/>
      <c r="J82" s="37"/>
      <c r="K82" s="56">
        <f t="shared" si="10"/>
        <v>115153.99581762723</v>
      </c>
      <c r="L82" s="56"/>
      <c r="M82" s="37">
        <v>0</v>
      </c>
      <c r="N82" s="133">
        <f t="shared" si="7"/>
        <v>854.80419102972564</v>
      </c>
      <c r="O82" s="193">
        <f t="shared" si="8"/>
        <v>1169.8585600000001</v>
      </c>
    </row>
    <row r="83" spans="1:15">
      <c r="A83" s="190">
        <v>67</v>
      </c>
      <c r="B83" s="62">
        <f t="shared" si="6"/>
        <v>26819.80540492967</v>
      </c>
      <c r="C83" s="56">
        <f t="shared" si="9"/>
        <v>151420.02160211711</v>
      </c>
      <c r="D83" s="56">
        <f>C38*12</f>
        <v>38314.007721328111</v>
      </c>
      <c r="E83" s="56">
        <f>D83</f>
        <v>38314.007721328111</v>
      </c>
      <c r="F83" s="37">
        <v>0</v>
      </c>
      <c r="G83" s="130">
        <v>0</v>
      </c>
      <c r="H83" s="56">
        <f>B83/(1+$B$15)^(A83-$A$78)</f>
        <v>22043.925060322661</v>
      </c>
      <c r="I83" s="56">
        <f>D83/(1+$B$15)^(A83-$A$78)</f>
        <v>31491.321514746669</v>
      </c>
      <c r="J83" s="56"/>
      <c r="K83" s="56">
        <f t="shared" si="10"/>
        <v>137197.92087794989</v>
      </c>
      <c r="L83" s="56">
        <f>I83</f>
        <v>31491.321514746669</v>
      </c>
      <c r="M83" s="37">
        <v>0</v>
      </c>
      <c r="N83" s="133">
        <f t="shared" si="7"/>
        <v>821.92710675935155</v>
      </c>
      <c r="O83" s="193">
        <f t="shared" si="8"/>
        <v>1216.6529024000004</v>
      </c>
    </row>
    <row r="84" spans="1:15">
      <c r="A84" s="190">
        <v>68</v>
      </c>
      <c r="B84" s="62">
        <f t="shared" si="6"/>
        <v>27490.300540052911</v>
      </c>
      <c r="C84" s="56">
        <f t="shared" si="9"/>
        <v>178910.32214217001</v>
      </c>
      <c r="D84" s="56">
        <f t="shared" ref="D84:D116" si="12">C39*12</f>
        <v>39271.85791436131</v>
      </c>
      <c r="E84" s="56">
        <f t="shared" ref="E84:E116" si="13">E83+D84</f>
        <v>77585.865635689421</v>
      </c>
      <c r="F84" s="37">
        <v>0</v>
      </c>
      <c r="G84" s="130">
        <v>0</v>
      </c>
      <c r="H84" s="56">
        <f t="shared" si="11"/>
        <v>21725.983833491086</v>
      </c>
      <c r="I84" s="56">
        <f t="shared" ref="I84:I116" si="14">D84/(1+$B$15)^(A84-$A$78)</f>
        <v>31037.119762130129</v>
      </c>
      <c r="J84" s="56"/>
      <c r="K84" s="56">
        <f t="shared" si="10"/>
        <v>158923.90471144096</v>
      </c>
      <c r="L84" s="56">
        <f>L83+I84</f>
        <v>62528.441276876794</v>
      </c>
      <c r="M84" s="37">
        <v>0</v>
      </c>
      <c r="N84" s="133">
        <f t="shared" si="7"/>
        <v>790.31452573014576</v>
      </c>
      <c r="O84" s="193">
        <f t="shared" si="8"/>
        <v>1265.3190184960004</v>
      </c>
    </row>
    <row r="85" spans="1:15">
      <c r="A85" s="190">
        <v>69</v>
      </c>
      <c r="B85" s="62">
        <f t="shared" si="6"/>
        <v>28177.558053554232</v>
      </c>
      <c r="C85" s="56">
        <f t="shared" si="9"/>
        <v>207087.88019572425</v>
      </c>
      <c r="D85" s="56">
        <f t="shared" si="12"/>
        <v>40253.654362220339</v>
      </c>
      <c r="E85" s="56">
        <f t="shared" si="13"/>
        <v>117839.51999790975</v>
      </c>
      <c r="F85" s="37">
        <v>0</v>
      </c>
      <c r="G85" s="130">
        <v>0</v>
      </c>
      <c r="H85" s="56">
        <f t="shared" si="11"/>
        <v>21412.628297431118</v>
      </c>
      <c r="I85" s="56">
        <f t="shared" si="14"/>
        <v>30589.468996330175</v>
      </c>
      <c r="J85" s="56"/>
      <c r="K85" s="56">
        <f t="shared" si="10"/>
        <v>180336.53300887207</v>
      </c>
      <c r="L85" s="56">
        <f t="shared" ref="L85:L116" si="15">L84+I85</f>
        <v>93117.910273206973</v>
      </c>
      <c r="M85" s="37">
        <v>0</v>
      </c>
      <c r="N85" s="133">
        <f t="shared" si="7"/>
        <v>759.91781320206326</v>
      </c>
      <c r="O85" s="193">
        <f t="shared" si="8"/>
        <v>1315.9317792358402</v>
      </c>
    </row>
    <row r="86" spans="1:15">
      <c r="A86" s="190">
        <v>70</v>
      </c>
      <c r="B86" s="62">
        <f t="shared" si="6"/>
        <v>28881.997004893092</v>
      </c>
      <c r="C86" s="56">
        <f t="shared" si="9"/>
        <v>235969.87720061734</v>
      </c>
      <c r="D86" s="56">
        <f t="shared" si="12"/>
        <v>41259.995721275845</v>
      </c>
      <c r="E86" s="56">
        <f t="shared" si="13"/>
        <v>159099.51571918558</v>
      </c>
      <c r="F86" s="56">
        <f>D41*12</f>
        <v>51162.394694382063</v>
      </c>
      <c r="G86" s="83">
        <f>F86</f>
        <v>51162.394694382063</v>
      </c>
      <c r="H86" s="56">
        <f t="shared" si="11"/>
        <v>21103.792312372014</v>
      </c>
      <c r="I86" s="56">
        <f>D86/(1+$B$15)^(A86-$A$78)</f>
        <v>30148.27473196002</v>
      </c>
      <c r="J86" s="56">
        <f>F86/(1+$B$15)^(A86-$A$78)</f>
        <v>37383.860667630433</v>
      </c>
      <c r="K86" s="56">
        <f t="shared" si="10"/>
        <v>201440.32532124408</v>
      </c>
      <c r="L86" s="56">
        <f t="shared" si="15"/>
        <v>123266.18500516699</v>
      </c>
      <c r="M86" s="56">
        <f>J86</f>
        <v>37383.860667630433</v>
      </c>
      <c r="N86" s="133">
        <f t="shared" si="7"/>
        <v>730.69020500198383</v>
      </c>
      <c r="O86" s="193">
        <f t="shared" si="8"/>
        <v>1368.5690504052741</v>
      </c>
    </row>
    <row r="87" spans="1:15">
      <c r="A87" s="190">
        <v>71</v>
      </c>
      <c r="B87" s="62">
        <f t="shared" si="6"/>
        <v>29604.046930015415</v>
      </c>
      <c r="C87" s="56">
        <f t="shared" si="9"/>
        <v>265573.92413063277</v>
      </c>
      <c r="D87" s="56">
        <f t="shared" si="12"/>
        <v>42291.495614307736</v>
      </c>
      <c r="E87" s="56">
        <f t="shared" si="13"/>
        <v>201391.01133349331</v>
      </c>
      <c r="F87" s="56">
        <f t="shared" ref="F87:F116" si="16">D42*12</f>
        <v>52441.454561741608</v>
      </c>
      <c r="G87" s="83">
        <f>G86+F87</f>
        <v>103603.84925612368</v>
      </c>
      <c r="H87" s="56">
        <f t="shared" si="11"/>
        <v>20799.41069248203</v>
      </c>
      <c r="I87" s="56">
        <f t="shared" si="14"/>
        <v>29713.443846402897</v>
      </c>
      <c r="J87" s="56">
        <f t="shared" ref="J87:J116" si="17">F87/(1+$B$15)^(A87-$A$78)</f>
        <v>36844.670369539606</v>
      </c>
      <c r="K87" s="56">
        <f t="shared" si="10"/>
        <v>222239.7360137261</v>
      </c>
      <c r="L87" s="56">
        <f t="shared" si="15"/>
        <v>152979.6288515699</v>
      </c>
      <c r="M87" s="56">
        <f>M86+J87</f>
        <v>74228.531037170033</v>
      </c>
      <c r="N87" s="133">
        <f t="shared" si="7"/>
        <v>702.58673557883048</v>
      </c>
      <c r="O87" s="193">
        <f t="shared" si="8"/>
        <v>1423.3118124214852</v>
      </c>
    </row>
    <row r="88" spans="1:15">
      <c r="A88" s="190">
        <v>72</v>
      </c>
      <c r="B88" s="62">
        <f t="shared" si="6"/>
        <v>30344.148103265798</v>
      </c>
      <c r="C88" s="56">
        <f t="shared" si="9"/>
        <v>295918.07223389857</v>
      </c>
      <c r="D88" s="56">
        <f t="shared" si="12"/>
        <v>43348.783004665427</v>
      </c>
      <c r="E88" s="56">
        <f t="shared" si="13"/>
        <v>244739.79433815874</v>
      </c>
      <c r="F88" s="56">
        <f t="shared" si="16"/>
        <v>53752.49092578514</v>
      </c>
      <c r="G88" s="83">
        <f>G87+F88</f>
        <v>157356.3401819088</v>
      </c>
      <c r="H88" s="56">
        <f t="shared" si="11"/>
        <v>20499.41919210969</v>
      </c>
      <c r="I88" s="56">
        <f t="shared" si="14"/>
        <v>29284.884560156701</v>
      </c>
      <c r="J88" s="56">
        <f t="shared" si="17"/>
        <v>36313.256854594314</v>
      </c>
      <c r="K88" s="56">
        <f t="shared" si="10"/>
        <v>242739.15520583579</v>
      </c>
      <c r="L88" s="56">
        <f t="shared" si="15"/>
        <v>182264.5134117266</v>
      </c>
      <c r="M88" s="56">
        <f t="shared" ref="M88:M116" si="18">M87+J88</f>
        <v>110541.78789176434</v>
      </c>
      <c r="N88" s="133">
        <f t="shared" si="7"/>
        <v>675.56416882579856</v>
      </c>
      <c r="O88" s="193">
        <f t="shared" si="8"/>
        <v>1480.2442849183446</v>
      </c>
    </row>
    <row r="89" spans="1:15">
      <c r="A89" s="190">
        <v>73</v>
      </c>
      <c r="B89" s="62">
        <f t="shared" si="6"/>
        <v>31102.751805847438</v>
      </c>
      <c r="C89" s="56">
        <f t="shared" si="9"/>
        <v>327020.82403974602</v>
      </c>
      <c r="D89" s="56">
        <f t="shared" si="12"/>
        <v>44432.502579782056</v>
      </c>
      <c r="E89" s="56">
        <f t="shared" si="13"/>
        <v>289172.29691794078</v>
      </c>
      <c r="F89" s="56">
        <f t="shared" si="16"/>
        <v>55096.30319892976</v>
      </c>
      <c r="G89" s="83">
        <f t="shared" ref="G89:G116" si="19">G88+F89</f>
        <v>212452.64338083856</v>
      </c>
      <c r="H89" s="56">
        <f t="shared" si="11"/>
        <v>20203.754492223492</v>
      </c>
      <c r="I89" s="56">
        <f t="shared" si="14"/>
        <v>28862.506417462133</v>
      </c>
      <c r="J89" s="56">
        <f t="shared" si="17"/>
        <v>35789.507957653048</v>
      </c>
      <c r="K89" s="56">
        <f t="shared" si="10"/>
        <v>262942.90969805926</v>
      </c>
      <c r="L89" s="56">
        <f t="shared" si="15"/>
        <v>211127.01982918874</v>
      </c>
      <c r="M89" s="56">
        <f t="shared" si="18"/>
        <v>146331.29584941739</v>
      </c>
      <c r="N89" s="133">
        <f t="shared" si="7"/>
        <v>649.58093156326788</v>
      </c>
      <c r="O89" s="193">
        <f t="shared" si="8"/>
        <v>1539.4540563150783</v>
      </c>
    </row>
    <row r="90" spans="1:15">
      <c r="A90" s="190">
        <v>74</v>
      </c>
      <c r="B90" s="62">
        <f t="shared" si="6"/>
        <v>31880.320600993618</v>
      </c>
      <c r="C90" s="56">
        <f t="shared" si="9"/>
        <v>358901.14464073966</v>
      </c>
      <c r="D90" s="56">
        <f t="shared" si="12"/>
        <v>45543.315144276603</v>
      </c>
      <c r="E90" s="56">
        <f t="shared" si="13"/>
        <v>334715.61206221738</v>
      </c>
      <c r="F90" s="56">
        <f t="shared" si="16"/>
        <v>56473.710778902998</v>
      </c>
      <c r="G90" s="83">
        <f t="shared" si="19"/>
        <v>268926.35415974155</v>
      </c>
      <c r="H90" s="56">
        <f t="shared" si="11"/>
        <v>19912.354187047182</v>
      </c>
      <c r="I90" s="56">
        <f t="shared" si="14"/>
        <v>28446.220267210265</v>
      </c>
      <c r="J90" s="56">
        <f t="shared" si="17"/>
        <v>35273.313131340736</v>
      </c>
      <c r="K90" s="56">
        <f t="shared" si="10"/>
        <v>282855.26388510643</v>
      </c>
      <c r="L90" s="56">
        <f t="shared" si="15"/>
        <v>239573.24009639901</v>
      </c>
      <c r="M90" s="56">
        <f t="shared" si="18"/>
        <v>181604.60898075812</v>
      </c>
      <c r="N90" s="133">
        <f t="shared" si="7"/>
        <v>624.59704958006512</v>
      </c>
      <c r="O90" s="193">
        <f t="shared" si="8"/>
        <v>1601.0322185676816</v>
      </c>
    </row>
    <row r="91" spans="1:15">
      <c r="A91" s="190">
        <v>75</v>
      </c>
      <c r="B91" s="62">
        <f t="shared" si="6"/>
        <v>32677.328616018458</v>
      </c>
      <c r="C91" s="56">
        <f t="shared" si="9"/>
        <v>391578.47325675812</v>
      </c>
      <c r="D91" s="56">
        <f t="shared" si="12"/>
        <v>46681.898022883513</v>
      </c>
      <c r="E91" s="56">
        <f t="shared" si="13"/>
        <v>381397.51008510089</v>
      </c>
      <c r="F91" s="56">
        <f t="shared" si="16"/>
        <v>57885.553548375567</v>
      </c>
      <c r="G91" s="83">
        <f t="shared" si="19"/>
        <v>326811.9077081171</v>
      </c>
      <c r="H91" s="56">
        <f t="shared" si="11"/>
        <v>19625.156770887847</v>
      </c>
      <c r="I91" s="56">
        <f t="shared" si="14"/>
        <v>28035.938244125497</v>
      </c>
      <c r="J91" s="56">
        <f t="shared" si="17"/>
        <v>34764.563422715626</v>
      </c>
      <c r="K91" s="56">
        <f t="shared" si="10"/>
        <v>302480.42065599427</v>
      </c>
      <c r="L91" s="56">
        <f t="shared" si="15"/>
        <v>267609.17834052449</v>
      </c>
      <c r="M91" s="56">
        <f t="shared" si="18"/>
        <v>216369.17240347376</v>
      </c>
      <c r="N91" s="133">
        <f t="shared" si="7"/>
        <v>600.57408613467805</v>
      </c>
      <c r="O91" s="193">
        <f t="shared" si="8"/>
        <v>1665.073507310389</v>
      </c>
    </row>
    <row r="92" spans="1:15">
      <c r="A92" s="190">
        <v>76</v>
      </c>
      <c r="B92" s="62">
        <f t="shared" si="6"/>
        <v>33494.261831418917</v>
      </c>
      <c r="C92" s="56">
        <f t="shared" si="9"/>
        <v>425072.73508817703</v>
      </c>
      <c r="D92" s="56">
        <f t="shared" si="12"/>
        <v>47848.945473455598</v>
      </c>
      <c r="E92" s="56">
        <f t="shared" si="13"/>
        <v>429246.45555855648</v>
      </c>
      <c r="F92" s="56">
        <f t="shared" si="16"/>
        <v>59332.69238708495</v>
      </c>
      <c r="G92" s="83">
        <f t="shared" si="19"/>
        <v>386144.60009520204</v>
      </c>
      <c r="H92" s="56">
        <f t="shared" si="11"/>
        <v>19342.101625153886</v>
      </c>
      <c r="I92" s="56">
        <f t="shared" si="14"/>
        <v>27631.573750219839</v>
      </c>
      <c r="J92" s="56">
        <f t="shared" si="17"/>
        <v>34263.151450272606</v>
      </c>
      <c r="K92" s="56">
        <f t="shared" si="10"/>
        <v>321822.52228114818</v>
      </c>
      <c r="L92" s="56">
        <f t="shared" si="15"/>
        <v>295240.75209074432</v>
      </c>
      <c r="M92" s="56">
        <f t="shared" si="18"/>
        <v>250632.32385374635</v>
      </c>
      <c r="N92" s="133">
        <f t="shared" si="7"/>
        <v>577.47508282180581</v>
      </c>
      <c r="O92" s="193">
        <f t="shared" si="8"/>
        <v>1731.6764476028045</v>
      </c>
    </row>
    <row r="93" spans="1:15">
      <c r="A93" s="190">
        <v>77</v>
      </c>
      <c r="B93" s="62">
        <f t="shared" si="6"/>
        <v>34331.618377204388</v>
      </c>
      <c r="C93" s="56">
        <f t="shared" si="9"/>
        <v>459404.35346538143</v>
      </c>
      <c r="D93" s="56">
        <f t="shared" si="12"/>
        <v>49045.169110291987</v>
      </c>
      <c r="E93" s="56">
        <f t="shared" si="13"/>
        <v>478291.62466884847</v>
      </c>
      <c r="F93" s="56">
        <f t="shared" si="16"/>
        <v>60816.009696762063</v>
      </c>
      <c r="G93" s="83">
        <f t="shared" si="19"/>
        <v>446960.60979196412</v>
      </c>
      <c r="H93" s="56">
        <f t="shared" si="11"/>
        <v>19063.12900556032</v>
      </c>
      <c r="I93" s="56">
        <f t="shared" si="14"/>
        <v>27233.041436514748</v>
      </c>
      <c r="J93" s="56">
        <f t="shared" si="17"/>
        <v>33768.971381278287</v>
      </c>
      <c r="K93" s="56">
        <f t="shared" si="10"/>
        <v>340885.65128670848</v>
      </c>
      <c r="L93" s="56">
        <f t="shared" si="15"/>
        <v>322473.79352725908</v>
      </c>
      <c r="M93" s="56">
        <f t="shared" si="18"/>
        <v>284401.29523502465</v>
      </c>
      <c r="N93" s="133">
        <f t="shared" si="7"/>
        <v>555.26450271327485</v>
      </c>
      <c r="O93" s="193">
        <f t="shared" si="8"/>
        <v>1800.9435055069168</v>
      </c>
    </row>
    <row r="94" spans="1:15">
      <c r="A94" s="190">
        <v>78</v>
      </c>
      <c r="B94" s="62">
        <f t="shared" si="6"/>
        <v>35189.908836634502</v>
      </c>
      <c r="C94" s="56">
        <f t="shared" si="9"/>
        <v>494594.26230201591</v>
      </c>
      <c r="D94" s="56">
        <f t="shared" si="12"/>
        <v>50271.298338049281</v>
      </c>
      <c r="E94" s="56">
        <f t="shared" si="13"/>
        <v>528562.92300689779</v>
      </c>
      <c r="F94" s="56">
        <f t="shared" si="16"/>
        <v>62336.409939181103</v>
      </c>
      <c r="G94" s="83">
        <f t="shared" si="19"/>
        <v>509297.01973114524</v>
      </c>
      <c r="H94" s="56">
        <f t="shared" si="11"/>
        <v>18788.180029518586</v>
      </c>
      <c r="I94" s="56">
        <f t="shared" si="14"/>
        <v>26840.257185026545</v>
      </c>
      <c r="J94" s="56">
        <f t="shared" si="17"/>
        <v>33281.918909432912</v>
      </c>
      <c r="K94" s="56">
        <f t="shared" si="10"/>
        <v>359673.83131622709</v>
      </c>
      <c r="L94" s="56">
        <f t="shared" si="15"/>
        <v>349314.05071228562</v>
      </c>
      <c r="M94" s="56">
        <f t="shared" si="18"/>
        <v>317683.21414445754</v>
      </c>
      <c r="N94" s="133">
        <f t="shared" si="7"/>
        <v>533.90817568584112</v>
      </c>
      <c r="O94" s="193">
        <f t="shared" si="8"/>
        <v>1872.9812457271937</v>
      </c>
    </row>
    <row r="95" spans="1:15">
      <c r="A95" s="190">
        <v>79</v>
      </c>
      <c r="B95" s="62">
        <f t="shared" si="6"/>
        <v>36069.656557550356</v>
      </c>
      <c r="C95" s="56">
        <f t="shared" si="9"/>
        <v>530663.91885956621</v>
      </c>
      <c r="D95" s="56">
        <f t="shared" si="12"/>
        <v>51528.080796500508</v>
      </c>
      <c r="E95" s="56">
        <f t="shared" si="13"/>
        <v>580091.00380339834</v>
      </c>
      <c r="F95" s="56">
        <f t="shared" si="16"/>
        <v>63894.820187660633</v>
      </c>
      <c r="G95" s="83">
        <f t="shared" si="19"/>
        <v>573191.83991880587</v>
      </c>
      <c r="H95" s="56">
        <f t="shared" si="11"/>
        <v>18517.196663708215</v>
      </c>
      <c r="I95" s="56">
        <f t="shared" si="14"/>
        <v>26453.138091011737</v>
      </c>
      <c r="J95" s="56">
        <f t="shared" si="17"/>
        <v>32801.891232854556</v>
      </c>
      <c r="K95" s="56">
        <f t="shared" si="10"/>
        <v>378191.02797993529</v>
      </c>
      <c r="L95" s="56">
        <f t="shared" si="15"/>
        <v>375767.18880329735</v>
      </c>
      <c r="M95" s="56">
        <f t="shared" si="18"/>
        <v>350485.10537731211</v>
      </c>
      <c r="N95" s="133">
        <f t="shared" si="7"/>
        <v>513.37324585177021</v>
      </c>
      <c r="O95" s="193">
        <f t="shared" si="8"/>
        <v>1947.9004955562816</v>
      </c>
    </row>
    <row r="96" spans="1:15">
      <c r="A96" s="190">
        <v>80</v>
      </c>
      <c r="B96" s="62">
        <f t="shared" si="6"/>
        <v>36971.39797148911</v>
      </c>
      <c r="C96" s="56">
        <f t="shared" si="9"/>
        <v>567635.31683105533</v>
      </c>
      <c r="D96" s="56">
        <f t="shared" si="12"/>
        <v>52816.282816413004</v>
      </c>
      <c r="E96" s="56">
        <f t="shared" si="13"/>
        <v>632907.28661981132</v>
      </c>
      <c r="F96" s="56">
        <f t="shared" si="16"/>
        <v>65492.190692352146</v>
      </c>
      <c r="G96" s="83">
        <f t="shared" si="19"/>
        <v>638684.030611158</v>
      </c>
      <c r="H96" s="56">
        <f t="shared" si="11"/>
        <v>18250.121711827804</v>
      </c>
      <c r="I96" s="56">
        <f t="shared" si="14"/>
        <v>26071.602445468285</v>
      </c>
      <c r="J96" s="56">
        <f t="shared" si="17"/>
        <v>32328.787032380686</v>
      </c>
      <c r="K96" s="56">
        <f t="shared" si="10"/>
        <v>396441.1496917631</v>
      </c>
      <c r="L96" s="56">
        <f t="shared" si="15"/>
        <v>401838.79124876566</v>
      </c>
      <c r="M96" s="56">
        <f t="shared" si="18"/>
        <v>382813.89240969281</v>
      </c>
      <c r="N96" s="133">
        <f t="shared" si="7"/>
        <v>493.62812101131749</v>
      </c>
      <c r="O96" s="193">
        <f t="shared" si="8"/>
        <v>2025.816515378533</v>
      </c>
    </row>
    <row r="97" spans="1:15">
      <c r="A97" s="190">
        <v>81</v>
      </c>
      <c r="B97" s="62">
        <f t="shared" si="6"/>
        <v>37895.682920776337</v>
      </c>
      <c r="C97" s="56">
        <f t="shared" si="9"/>
        <v>605530.99975183164</v>
      </c>
      <c r="D97" s="56">
        <f t="shared" si="12"/>
        <v>54136.689886823326</v>
      </c>
      <c r="E97" s="56">
        <f t="shared" si="13"/>
        <v>687043.97650663462</v>
      </c>
      <c r="F97" s="56">
        <f t="shared" si="16"/>
        <v>67129.495459660946</v>
      </c>
      <c r="G97" s="83">
        <f t="shared" si="19"/>
        <v>705813.526070819</v>
      </c>
      <c r="H97" s="56">
        <f t="shared" si="11"/>
        <v>17986.898802522595</v>
      </c>
      <c r="I97" s="56">
        <f t="shared" si="14"/>
        <v>25695.569717889415</v>
      </c>
      <c r="J97" s="56">
        <f t="shared" si="17"/>
        <v>31862.506450182886</v>
      </c>
      <c r="K97" s="56">
        <f t="shared" si="10"/>
        <v>414428.04849428567</v>
      </c>
      <c r="L97" s="56">
        <f t="shared" si="15"/>
        <v>427534.36096665508</v>
      </c>
      <c r="M97" s="56">
        <f t="shared" si="18"/>
        <v>414676.39885987568</v>
      </c>
      <c r="N97" s="133">
        <f t="shared" si="7"/>
        <v>474.64242404934373</v>
      </c>
      <c r="O97" s="193">
        <f t="shared" si="8"/>
        <v>2106.8491759936742</v>
      </c>
    </row>
    <row r="98" spans="1:15">
      <c r="A98" s="190">
        <v>82</v>
      </c>
      <c r="B98" s="62">
        <f t="shared" si="6"/>
        <v>38843.074993795744</v>
      </c>
      <c r="C98" s="56">
        <f t="shared" si="9"/>
        <v>644374.07474562735</v>
      </c>
      <c r="D98" s="56">
        <f t="shared" si="12"/>
        <v>55490.107133993908</v>
      </c>
      <c r="E98" s="56">
        <f t="shared" si="13"/>
        <v>742534.08364062849</v>
      </c>
      <c r="F98" s="56">
        <f t="shared" si="16"/>
        <v>68807.732846152459</v>
      </c>
      <c r="G98" s="83">
        <f t="shared" si="19"/>
        <v>774621.25891697151</v>
      </c>
      <c r="H98" s="56">
        <f t="shared" si="11"/>
        <v>17727.47237748621</v>
      </c>
      <c r="I98" s="56">
        <f t="shared" si="14"/>
        <v>25324.960539266012</v>
      </c>
      <c r="J98" s="56">
        <f t="shared" si="17"/>
        <v>31402.951068689857</v>
      </c>
      <c r="K98" s="56">
        <f t="shared" si="10"/>
        <v>432155.52087177191</v>
      </c>
      <c r="L98" s="56">
        <f t="shared" si="15"/>
        <v>452859.32150592108</v>
      </c>
      <c r="M98" s="56">
        <f t="shared" si="18"/>
        <v>446079.34992856556</v>
      </c>
      <c r="N98" s="133">
        <f t="shared" si="7"/>
        <v>456.38694620129206</v>
      </c>
      <c r="O98" s="193">
        <f t="shared" si="8"/>
        <v>2191.1231430334215</v>
      </c>
    </row>
    <row r="99" spans="1:15">
      <c r="A99" s="190">
        <v>83</v>
      </c>
      <c r="B99" s="62">
        <f t="shared" si="6"/>
        <v>39814.151868640634</v>
      </c>
      <c r="C99" s="56">
        <f t="shared" si="9"/>
        <v>684188.22661426803</v>
      </c>
      <c r="D99" s="56">
        <f t="shared" si="12"/>
        <v>56877.35981234374</v>
      </c>
      <c r="E99" s="56">
        <f t="shared" si="13"/>
        <v>799411.44345297222</v>
      </c>
      <c r="F99" s="56">
        <f t="shared" si="16"/>
        <v>70527.926167306257</v>
      </c>
      <c r="G99" s="83">
        <f t="shared" si="19"/>
        <v>845149.18508427776</v>
      </c>
      <c r="H99" s="56">
        <f t="shared" si="11"/>
        <v>17471.787679734</v>
      </c>
      <c r="I99" s="56">
        <f t="shared" si="14"/>
        <v>24959.696685334275</v>
      </c>
      <c r="J99" s="56">
        <f t="shared" si="17"/>
        <v>30950.023889814511</v>
      </c>
      <c r="K99" s="56">
        <f t="shared" si="10"/>
        <v>449627.30855150591</v>
      </c>
      <c r="L99" s="56">
        <f t="shared" si="15"/>
        <v>477819.01819125534</v>
      </c>
      <c r="M99" s="56">
        <f t="shared" si="18"/>
        <v>477029.37381838006</v>
      </c>
      <c r="N99" s="133">
        <f t="shared" si="7"/>
        <v>438.83360211662688</v>
      </c>
      <c r="O99" s="193">
        <f t="shared" si="8"/>
        <v>2278.7680687547586</v>
      </c>
    </row>
    <row r="100" spans="1:15">
      <c r="A100" s="190">
        <v>84</v>
      </c>
      <c r="B100" s="62">
        <f t="shared" si="6"/>
        <v>40809.505665356643</v>
      </c>
      <c r="C100" s="56">
        <f t="shared" si="9"/>
        <v>724997.73227962467</v>
      </c>
      <c r="D100" s="56">
        <f t="shared" si="12"/>
        <v>58299.293807652328</v>
      </c>
      <c r="E100" s="56">
        <f t="shared" si="13"/>
        <v>857710.73726062453</v>
      </c>
      <c r="F100" s="56">
        <f t="shared" si="16"/>
        <v>72291.124321488911</v>
      </c>
      <c r="G100" s="83">
        <f t="shared" si="19"/>
        <v>917440.30940576666</v>
      </c>
      <c r="H100" s="56">
        <f t="shared" si="11"/>
        <v>17219.790742045527</v>
      </c>
      <c r="I100" s="56">
        <f t="shared" si="14"/>
        <v>24599.701060065032</v>
      </c>
      <c r="J100" s="56">
        <f t="shared" si="17"/>
        <v>30503.629314480648</v>
      </c>
      <c r="K100" s="56">
        <f t="shared" si="10"/>
        <v>466847.09929355141</v>
      </c>
      <c r="L100" s="56">
        <f t="shared" si="15"/>
        <v>502418.71925132035</v>
      </c>
      <c r="M100" s="56">
        <f t="shared" si="18"/>
        <v>507533.0031328607</v>
      </c>
      <c r="N100" s="133">
        <f t="shared" si="7"/>
        <v>421.9553866506028</v>
      </c>
      <c r="O100" s="193">
        <f t="shared" si="8"/>
        <v>2369.9187915049488</v>
      </c>
    </row>
    <row r="101" spans="1:15">
      <c r="A101" s="190">
        <v>85</v>
      </c>
      <c r="B101" s="62">
        <f t="shared" si="6"/>
        <v>41829.743306990553</v>
      </c>
      <c r="C101" s="56">
        <f t="shared" si="9"/>
        <v>766827.47558661527</v>
      </c>
      <c r="D101" s="56">
        <f t="shared" si="12"/>
        <v>59756.776152843631</v>
      </c>
      <c r="E101" s="56">
        <f t="shared" si="13"/>
        <v>917467.51341346814</v>
      </c>
      <c r="F101" s="56">
        <f t="shared" si="16"/>
        <v>74098.402429526133</v>
      </c>
      <c r="G101" s="83">
        <f t="shared" si="19"/>
        <v>991538.71183529275</v>
      </c>
      <c r="H101" s="56">
        <f t="shared" si="11"/>
        <v>16971.428375573716</v>
      </c>
      <c r="I101" s="56">
        <f t="shared" si="14"/>
        <v>24244.897679391015</v>
      </c>
      <c r="J101" s="56">
        <f t="shared" si="17"/>
        <v>30063.673122444874</v>
      </c>
      <c r="K101" s="56">
        <f t="shared" si="10"/>
        <v>483818.52766912512</v>
      </c>
      <c r="L101" s="56">
        <f t="shared" si="15"/>
        <v>526663.61693071132</v>
      </c>
      <c r="M101" s="56">
        <f t="shared" si="18"/>
        <v>537596.67625530553</v>
      </c>
      <c r="N101" s="133">
        <f t="shared" si="7"/>
        <v>405.72633331788734</v>
      </c>
      <c r="O101" s="193">
        <f t="shared" si="8"/>
        <v>2464.7155431651468</v>
      </c>
    </row>
    <row r="102" spans="1:15">
      <c r="A102" s="190">
        <v>86</v>
      </c>
      <c r="B102" s="62">
        <f t="shared" si="6"/>
        <v>42875.486889665313</v>
      </c>
      <c r="C102" s="56">
        <f t="shared" si="9"/>
        <v>809702.96247628063</v>
      </c>
      <c r="D102" s="56">
        <f t="shared" si="12"/>
        <v>61250.695556664723</v>
      </c>
      <c r="E102" s="56">
        <f t="shared" si="13"/>
        <v>978718.20897013287</v>
      </c>
      <c r="F102" s="56">
        <f t="shared" si="16"/>
        <v>75950.862490264277</v>
      </c>
      <c r="G102" s="83">
        <f>G101+F102</f>
        <v>1067489.5743255571</v>
      </c>
      <c r="H102" s="56">
        <f t="shared" si="11"/>
        <v>16726.648158618322</v>
      </c>
      <c r="I102" s="56">
        <f t="shared" si="14"/>
        <v>23895.211655169027</v>
      </c>
      <c r="J102" s="56">
        <f t="shared" si="17"/>
        <v>29630.062452409602</v>
      </c>
      <c r="K102" s="56">
        <f t="shared" si="10"/>
        <v>500545.17582774343</v>
      </c>
      <c r="L102" s="56">
        <f t="shared" si="15"/>
        <v>550558.82858588034</v>
      </c>
      <c r="M102" s="56">
        <f t="shared" si="18"/>
        <v>567226.73870771518</v>
      </c>
      <c r="N102" s="133">
        <f t="shared" si="7"/>
        <v>390.12147434412242</v>
      </c>
      <c r="O102" s="193">
        <f t="shared" si="8"/>
        <v>2563.3041648917529</v>
      </c>
    </row>
    <row r="103" spans="1:15">
      <c r="A103" s="190">
        <v>87</v>
      </c>
      <c r="B103" s="62">
        <f t="shared" si="6"/>
        <v>43947.374061906943</v>
      </c>
      <c r="C103" s="56">
        <f t="shared" si="9"/>
        <v>853650.33653818758</v>
      </c>
      <c r="D103" s="56">
        <f t="shared" si="12"/>
        <v>62781.962945581334</v>
      </c>
      <c r="E103" s="56">
        <f t="shared" si="13"/>
        <v>1041500.1719157142</v>
      </c>
      <c r="F103" s="56">
        <f t="shared" si="16"/>
        <v>77849.63405252088</v>
      </c>
      <c r="G103" s="83">
        <f t="shared" si="19"/>
        <v>1145339.208378078</v>
      </c>
      <c r="H103" s="56">
        <f t="shared" si="11"/>
        <v>16485.398425561325</v>
      </c>
      <c r="I103" s="56">
        <f t="shared" si="14"/>
        <v>23550.569179373313</v>
      </c>
      <c r="J103" s="56">
        <f t="shared" si="17"/>
        <v>29202.70578242292</v>
      </c>
      <c r="K103" s="56">
        <f t="shared" si="10"/>
        <v>517030.57425330475</v>
      </c>
      <c r="L103" s="56">
        <f t="shared" si="15"/>
        <v>574109.39776525367</v>
      </c>
      <c r="M103" s="56">
        <f t="shared" si="18"/>
        <v>596429.44449013809</v>
      </c>
      <c r="N103" s="133">
        <f t="shared" si="7"/>
        <v>375.11680225396378</v>
      </c>
      <c r="O103" s="193">
        <f t="shared" si="8"/>
        <v>2665.8363314874232</v>
      </c>
    </row>
    <row r="104" spans="1:15">
      <c r="A104" s="190">
        <v>88</v>
      </c>
      <c r="B104" s="62">
        <f t="shared" si="6"/>
        <v>45046.058413454608</v>
      </c>
      <c r="C104" s="56">
        <f t="shared" si="9"/>
        <v>898696.39495164214</v>
      </c>
      <c r="D104" s="56">
        <f t="shared" si="12"/>
        <v>64351.512019220863</v>
      </c>
      <c r="E104" s="56">
        <f t="shared" si="13"/>
        <v>1105851.6839349351</v>
      </c>
      <c r="F104" s="56">
        <f t="shared" si="16"/>
        <v>79795.874903833886</v>
      </c>
      <c r="G104" s="83">
        <f t="shared" si="19"/>
        <v>1225135.0832819119</v>
      </c>
      <c r="H104" s="56">
        <f t="shared" si="11"/>
        <v>16247.628255961879</v>
      </c>
      <c r="I104" s="56">
        <f t="shared" si="14"/>
        <v>23210.89750851697</v>
      </c>
      <c r="J104" s="56">
        <f t="shared" si="17"/>
        <v>28781.512910561047</v>
      </c>
      <c r="K104" s="56">
        <f t="shared" si="10"/>
        <v>533278.20250926667</v>
      </c>
      <c r="L104" s="56">
        <f t="shared" si="15"/>
        <v>597320.29527377069</v>
      </c>
      <c r="M104" s="56">
        <f t="shared" si="18"/>
        <v>625210.95740069915</v>
      </c>
      <c r="N104" s="133">
        <f t="shared" si="7"/>
        <v>360.68923293650369</v>
      </c>
      <c r="O104" s="193">
        <f t="shared" si="8"/>
        <v>2772.4697847469201</v>
      </c>
    </row>
    <row r="105" spans="1:15">
      <c r="A105" s="190">
        <v>89</v>
      </c>
      <c r="B105" s="62">
        <f t="shared" si="6"/>
        <v>46172.209873790969</v>
      </c>
      <c r="C105" s="56">
        <f t="shared" si="9"/>
        <v>944868.60482543311</v>
      </c>
      <c r="D105" s="56">
        <f t="shared" si="12"/>
        <v>65960.29981970138</v>
      </c>
      <c r="E105" s="56">
        <f t="shared" si="13"/>
        <v>1171811.9837546365</v>
      </c>
      <c r="F105" s="56">
        <f t="shared" si="16"/>
        <v>81790.771776429727</v>
      </c>
      <c r="G105" s="83">
        <f t="shared" si="19"/>
        <v>1306925.8550583418</v>
      </c>
      <c r="H105" s="56">
        <f t="shared" si="11"/>
        <v>16013.287463808581</v>
      </c>
      <c r="I105" s="56">
        <f t="shared" si="14"/>
        <v>22876.124948297973</v>
      </c>
      <c r="J105" s="56">
        <f t="shared" si="17"/>
        <v>28366.39493588949</v>
      </c>
      <c r="K105" s="56">
        <f t="shared" si="10"/>
        <v>549291.48997307522</v>
      </c>
      <c r="L105" s="56">
        <f t="shared" si="15"/>
        <v>620196.42022206867</v>
      </c>
      <c r="M105" s="56">
        <f t="shared" si="18"/>
        <v>653577.35233658866</v>
      </c>
      <c r="N105" s="133">
        <f t="shared" si="7"/>
        <v>346.81657013125351</v>
      </c>
      <c r="O105" s="193">
        <f t="shared" si="8"/>
        <v>2883.3685761367969</v>
      </c>
    </row>
    <row r="106" spans="1:15">
      <c r="A106" s="190">
        <v>90</v>
      </c>
      <c r="B106" s="62">
        <f t="shared" si="6"/>
        <v>47326.51512063574</v>
      </c>
      <c r="C106" s="56">
        <f t="shared" si="9"/>
        <v>992195.11994606885</v>
      </c>
      <c r="D106" s="56">
        <f t="shared" si="12"/>
        <v>67609.307315193902</v>
      </c>
      <c r="E106" s="56">
        <f t="shared" si="13"/>
        <v>1239421.2910698303</v>
      </c>
      <c r="F106" s="56">
        <f t="shared" si="16"/>
        <v>83835.541070840467</v>
      </c>
      <c r="G106" s="83">
        <f t="shared" si="19"/>
        <v>1390761.3961291823</v>
      </c>
      <c r="H106" s="56">
        <f t="shared" si="11"/>
        <v>15782.326586926723</v>
      </c>
      <c r="I106" s="56">
        <f t="shared" si="14"/>
        <v>22546.180838466742</v>
      </c>
      <c r="J106" s="56">
        <f t="shared" si="17"/>
        <v>27957.264239698769</v>
      </c>
      <c r="K106" s="56">
        <f t="shared" si="10"/>
        <v>565073.81656000193</v>
      </c>
      <c r="L106" s="56">
        <f t="shared" si="15"/>
        <v>642742.60106053541</v>
      </c>
      <c r="M106" s="56">
        <f t="shared" si="18"/>
        <v>681534.61657628743</v>
      </c>
      <c r="N106" s="133">
        <f t="shared" si="7"/>
        <v>333.47747128005136</v>
      </c>
      <c r="O106" s="193">
        <f t="shared" si="8"/>
        <v>2998.7033191822693</v>
      </c>
    </row>
    <row r="107" spans="1:15">
      <c r="A107" s="190">
        <v>91</v>
      </c>
      <c r="B107" s="62">
        <f t="shared" si="6"/>
        <v>48509.677998651627</v>
      </c>
      <c r="C107" s="56">
        <f t="shared" si="9"/>
        <v>1040704.7979447205</v>
      </c>
      <c r="D107" s="56">
        <f t="shared" si="12"/>
        <v>69299.539998073742</v>
      </c>
      <c r="E107" s="56">
        <f t="shared" si="13"/>
        <v>1308720.8310679041</v>
      </c>
      <c r="F107" s="56">
        <f t="shared" si="16"/>
        <v>85931.429597611466</v>
      </c>
      <c r="G107" s="83">
        <f t="shared" si="19"/>
        <v>1476692.8257267938</v>
      </c>
      <c r="H107" s="56">
        <f t="shared" si="11"/>
        <v>15554.696876538354</v>
      </c>
      <c r="I107" s="56">
        <f t="shared" si="14"/>
        <v>22220.995537911931</v>
      </c>
      <c r="J107" s="56">
        <f t="shared" si="17"/>
        <v>27554.034467010802</v>
      </c>
      <c r="K107" s="56">
        <f t="shared" si="10"/>
        <v>580628.51343654026</v>
      </c>
      <c r="L107" s="56">
        <f t="shared" si="15"/>
        <v>664963.5965984473</v>
      </c>
      <c r="M107" s="56">
        <f t="shared" si="18"/>
        <v>709088.65104329819</v>
      </c>
      <c r="N107" s="133">
        <f t="shared" si="7"/>
        <v>320.65141469235709</v>
      </c>
      <c r="O107" s="193">
        <f t="shared" si="8"/>
        <v>3118.6514519495604</v>
      </c>
    </row>
    <row r="108" spans="1:15">
      <c r="A108" s="190">
        <v>92</v>
      </c>
      <c r="B108" s="62">
        <f t="shared" si="6"/>
        <v>49722.419948617913</v>
      </c>
      <c r="C108" s="56">
        <f t="shared" si="9"/>
        <v>1090427.2178933383</v>
      </c>
      <c r="D108" s="56">
        <f t="shared" si="12"/>
        <v>71032.028498025582</v>
      </c>
      <c r="E108" s="56">
        <f t="shared" si="13"/>
        <v>1379752.8595659297</v>
      </c>
      <c r="F108" s="56">
        <f t="shared" si="16"/>
        <v>88079.715337551752</v>
      </c>
      <c r="G108" s="83">
        <f t="shared" si="19"/>
        <v>1564772.5410643455</v>
      </c>
      <c r="H108" s="56">
        <f t="shared" si="11"/>
        <v>15330.350286972896</v>
      </c>
      <c r="I108" s="56">
        <f t="shared" si="14"/>
        <v>21900.500409961278</v>
      </c>
      <c r="J108" s="56">
        <f t="shared" si="17"/>
        <v>27156.620508351996</v>
      </c>
      <c r="K108" s="56">
        <f t="shared" si="10"/>
        <v>595958.8637235132</v>
      </c>
      <c r="L108" s="56">
        <f t="shared" si="15"/>
        <v>686864.09700840863</v>
      </c>
      <c r="M108" s="56">
        <f t="shared" si="18"/>
        <v>736245.27155165013</v>
      </c>
      <c r="N108" s="133">
        <f t="shared" si="7"/>
        <v>308.3186679734203</v>
      </c>
      <c r="O108" s="193">
        <f t="shared" si="8"/>
        <v>3243.3975100275425</v>
      </c>
    </row>
    <row r="109" spans="1:15">
      <c r="A109" s="190">
        <v>93</v>
      </c>
      <c r="B109" s="62">
        <f t="shared" si="6"/>
        <v>50965.480447333364</v>
      </c>
      <c r="C109" s="56">
        <f t="shared" si="9"/>
        <v>1141392.6983406716</v>
      </c>
      <c r="D109" s="56">
        <f t="shared" si="12"/>
        <v>72807.829210476222</v>
      </c>
      <c r="E109" s="56">
        <f t="shared" si="13"/>
        <v>1452560.688776406</v>
      </c>
      <c r="F109" s="56">
        <f t="shared" si="16"/>
        <v>90281.708220990535</v>
      </c>
      <c r="G109" s="83">
        <f t="shared" si="19"/>
        <v>1655054.2492853361</v>
      </c>
      <c r="H109" s="56">
        <f t="shared" si="11"/>
        <v>15109.239465526172</v>
      </c>
      <c r="I109" s="56">
        <f t="shared" si="14"/>
        <v>21584.627807894529</v>
      </c>
      <c r="J109" s="56">
        <f t="shared" si="17"/>
        <v>26764.938481789221</v>
      </c>
      <c r="K109" s="56">
        <f t="shared" si="10"/>
        <v>611068.10318903939</v>
      </c>
      <c r="L109" s="56">
        <f t="shared" si="15"/>
        <v>708448.72481630312</v>
      </c>
      <c r="M109" s="56">
        <f t="shared" si="18"/>
        <v>763010.21003343933</v>
      </c>
      <c r="N109" s="133">
        <f t="shared" si="7"/>
        <v>296.46025766675029</v>
      </c>
      <c r="O109" s="193">
        <f t="shared" si="8"/>
        <v>3373.1334104286443</v>
      </c>
    </row>
    <row r="110" spans="1:15">
      <c r="A110" s="190">
        <v>94</v>
      </c>
      <c r="B110" s="62">
        <f t="shared" si="6"/>
        <v>52239.617458516695</v>
      </c>
      <c r="C110" s="56">
        <f t="shared" si="9"/>
        <v>1193632.3157991883</v>
      </c>
      <c r="D110" s="56">
        <f t="shared" si="12"/>
        <v>74628.02494073812</v>
      </c>
      <c r="E110" s="56">
        <f t="shared" si="13"/>
        <v>1527188.7137171442</v>
      </c>
      <c r="F110" s="56">
        <f t="shared" si="16"/>
        <v>92538.750926515291</v>
      </c>
      <c r="G110" s="83">
        <f t="shared" si="19"/>
        <v>1747593.0002118514</v>
      </c>
      <c r="H110" s="56">
        <f t="shared" si="11"/>
        <v>14891.317742465697</v>
      </c>
      <c r="I110" s="56">
        <f t="shared" si="14"/>
        <v>21273.311060665277</v>
      </c>
      <c r="J110" s="56">
        <f t="shared" si="17"/>
        <v>26378.905715224952</v>
      </c>
      <c r="K110" s="56">
        <f t="shared" si="10"/>
        <v>625959.42093150504</v>
      </c>
      <c r="L110" s="56">
        <f t="shared" si="15"/>
        <v>729722.03587696841</v>
      </c>
      <c r="M110" s="56">
        <f t="shared" si="18"/>
        <v>789389.11574866425</v>
      </c>
      <c r="N110" s="133">
        <f t="shared" si="7"/>
        <v>285.05794006418296</v>
      </c>
      <c r="O110" s="193">
        <f t="shared" si="8"/>
        <v>3508.0587468457902</v>
      </c>
    </row>
    <row r="111" spans="1:15">
      <c r="A111" s="190">
        <v>95</v>
      </c>
      <c r="B111" s="62">
        <f t="shared" si="6"/>
        <v>53545.607894979606</v>
      </c>
      <c r="C111" s="56">
        <f t="shared" si="9"/>
        <v>1247177.923694168</v>
      </c>
      <c r="D111" s="56">
        <f t="shared" si="12"/>
        <v>76493.725564256558</v>
      </c>
      <c r="E111" s="56">
        <f t="shared" si="13"/>
        <v>1603682.4392814008</v>
      </c>
      <c r="F111" s="56">
        <f t="shared" si="16"/>
        <v>94852.219699678157</v>
      </c>
      <c r="G111" s="83">
        <f t="shared" si="19"/>
        <v>1842445.2199115297</v>
      </c>
      <c r="H111" s="56">
        <f t="shared" si="11"/>
        <v>14676.539121180132</v>
      </c>
      <c r="I111" s="56">
        <f t="shared" si="14"/>
        <v>20966.484458828756</v>
      </c>
      <c r="J111" s="56">
        <f t="shared" si="17"/>
        <v>25998.440728947662</v>
      </c>
      <c r="K111" s="56">
        <f t="shared" si="10"/>
        <v>640635.96005268511</v>
      </c>
      <c r="L111" s="56">
        <f t="shared" si="15"/>
        <v>750688.52033579722</v>
      </c>
      <c r="M111" s="56">
        <f t="shared" si="18"/>
        <v>815387.55647761188</v>
      </c>
      <c r="N111" s="133">
        <f t="shared" si="7"/>
        <v>274.09417313863747</v>
      </c>
      <c r="O111" s="193">
        <f t="shared" si="8"/>
        <v>3648.3810967196218</v>
      </c>
    </row>
    <row r="112" spans="1:15">
      <c r="A112" s="190">
        <v>96</v>
      </c>
      <c r="B112" s="62">
        <f t="shared" si="6"/>
        <v>54884.248092354101</v>
      </c>
      <c r="C112" s="56">
        <f t="shared" si="9"/>
        <v>1302062.171786522</v>
      </c>
      <c r="D112" s="56">
        <f t="shared" si="12"/>
        <v>78406.068703362966</v>
      </c>
      <c r="E112" s="56">
        <f t="shared" si="13"/>
        <v>1682088.5079847637</v>
      </c>
      <c r="F112" s="56">
        <f t="shared" si="16"/>
        <v>97223.525192170113</v>
      </c>
      <c r="G112" s="83">
        <f t="shared" si="19"/>
        <v>1939668.7451036999</v>
      </c>
      <c r="H112" s="56">
        <f t="shared" si="11"/>
        <v>14464.858268470804</v>
      </c>
      <c r="I112" s="56">
        <f t="shared" si="14"/>
        <v>20664.083240672568</v>
      </c>
      <c r="J112" s="56">
        <f t="shared" si="17"/>
        <v>25623.463218433993</v>
      </c>
      <c r="K112" s="56">
        <f t="shared" si="10"/>
        <v>655100.81832115597</v>
      </c>
      <c r="L112" s="56">
        <f t="shared" si="15"/>
        <v>771352.60357646982</v>
      </c>
      <c r="M112" s="56">
        <f t="shared" si="18"/>
        <v>841011.0196960459</v>
      </c>
      <c r="N112" s="133">
        <f t="shared" si="7"/>
        <v>263.55208955638216</v>
      </c>
      <c r="O112" s="193">
        <f t="shared" si="8"/>
        <v>3794.316340588407</v>
      </c>
    </row>
    <row r="113" spans="1:15">
      <c r="A113" s="190">
        <v>97</v>
      </c>
      <c r="B113" s="62">
        <f t="shared" si="6"/>
        <v>56256.354294662953</v>
      </c>
      <c r="C113" s="56">
        <f t="shared" si="9"/>
        <v>1358318.5260811851</v>
      </c>
      <c r="D113" s="56">
        <f t="shared" si="12"/>
        <v>80366.220420947036</v>
      </c>
      <c r="E113" s="56">
        <f t="shared" si="13"/>
        <v>1762454.7284057108</v>
      </c>
      <c r="F113" s="56">
        <f t="shared" si="16"/>
        <v>99654.11332197435</v>
      </c>
      <c r="G113" s="83">
        <f t="shared" si="19"/>
        <v>2039322.8584256743</v>
      </c>
      <c r="H113" s="56">
        <f t="shared" si="11"/>
        <v>14256.230504983243</v>
      </c>
      <c r="I113" s="56">
        <f t="shared" si="14"/>
        <v>20366.04357854748</v>
      </c>
      <c r="J113" s="56">
        <f t="shared" si="17"/>
        <v>25253.894037398881</v>
      </c>
      <c r="K113" s="56">
        <f t="shared" si="10"/>
        <v>669357.04882613919</v>
      </c>
      <c r="L113" s="56">
        <f t="shared" si="15"/>
        <v>791718.64715501724</v>
      </c>
      <c r="M113" s="56">
        <f t="shared" si="18"/>
        <v>866264.91373344476</v>
      </c>
      <c r="N113" s="133">
        <f t="shared" si="7"/>
        <v>253.41547072729051</v>
      </c>
      <c r="O113" s="193">
        <f t="shared" si="8"/>
        <v>3946.0889942119434</v>
      </c>
    </row>
    <row r="114" spans="1:15">
      <c r="A114" s="190">
        <v>98</v>
      </c>
      <c r="B114" s="62">
        <f t="shared" si="6"/>
        <v>57662.763152029525</v>
      </c>
      <c r="C114" s="56">
        <f t="shared" si="9"/>
        <v>1415981.2892332147</v>
      </c>
      <c r="D114" s="56">
        <f t="shared" si="12"/>
        <v>82375.375931470699</v>
      </c>
      <c r="E114" s="56">
        <f t="shared" si="13"/>
        <v>1844830.1043371814</v>
      </c>
      <c r="F114" s="56">
        <f t="shared" si="16"/>
        <v>102145.46615502369</v>
      </c>
      <c r="G114" s="83">
        <f t="shared" si="19"/>
        <v>2141468.3245806978</v>
      </c>
      <c r="H114" s="56">
        <f t="shared" si="11"/>
        <v>14050.611795776755</v>
      </c>
      <c r="I114" s="56">
        <f t="shared" si="14"/>
        <v>20072.302565395352</v>
      </c>
      <c r="J114" s="56">
        <f t="shared" si="17"/>
        <v>24889.655181090242</v>
      </c>
      <c r="K114" s="56">
        <f t="shared" si="10"/>
        <v>683407.66062191594</v>
      </c>
      <c r="L114" s="56">
        <f t="shared" si="15"/>
        <v>811790.94972041261</v>
      </c>
      <c r="M114" s="56">
        <f t="shared" si="18"/>
        <v>891154.56891453499</v>
      </c>
      <c r="N114" s="133">
        <f t="shared" si="7"/>
        <v>243.66872185316396</v>
      </c>
      <c r="O114" s="193">
        <f t="shared" si="8"/>
        <v>4103.9325539804213</v>
      </c>
    </row>
    <row r="115" spans="1:15">
      <c r="A115" s="190">
        <v>99</v>
      </c>
      <c r="B115" s="62">
        <f t="shared" si="6"/>
        <v>59104.33223083026</v>
      </c>
      <c r="C115" s="56">
        <f t="shared" si="9"/>
        <v>1475085.621464045</v>
      </c>
      <c r="D115" s="56">
        <f t="shared" si="12"/>
        <v>84434.760329757468</v>
      </c>
      <c r="E115" s="56">
        <f t="shared" si="13"/>
        <v>1929264.8646669388</v>
      </c>
      <c r="F115" s="56">
        <f t="shared" si="16"/>
        <v>104699.10280889928</v>
      </c>
      <c r="G115" s="83">
        <f t="shared" si="19"/>
        <v>2246167.4273895971</v>
      </c>
      <c r="H115" s="56">
        <f t="shared" si="11"/>
        <v>13847.95874102997</v>
      </c>
      <c r="I115" s="56">
        <f t="shared" si="14"/>
        <v>19782.798201471374</v>
      </c>
      <c r="J115" s="56">
        <f t="shared" si="17"/>
        <v>24530.669769824508</v>
      </c>
      <c r="K115" s="56">
        <f t="shared" si="10"/>
        <v>697255.6193629459</v>
      </c>
      <c r="L115" s="56">
        <f t="shared" si="15"/>
        <v>831573.74792188394</v>
      </c>
      <c r="M115" s="56">
        <f t="shared" si="18"/>
        <v>915685.23868435947</v>
      </c>
      <c r="N115" s="133">
        <f t="shared" si="7"/>
        <v>234.29684793573452</v>
      </c>
      <c r="O115" s="193">
        <f t="shared" si="8"/>
        <v>4268.0898561396389</v>
      </c>
    </row>
    <row r="116" spans="1:15" ht="15" thickBot="1">
      <c r="A116" s="191">
        <v>100</v>
      </c>
      <c r="B116" s="62">
        <f t="shared" si="6"/>
        <v>60581.940536601003</v>
      </c>
      <c r="C116" s="59">
        <f t="shared" si="9"/>
        <v>1535667.562000646</v>
      </c>
      <c r="D116" s="56">
        <f t="shared" si="12"/>
        <v>86545.629338001396</v>
      </c>
      <c r="E116" s="59">
        <f t="shared" si="13"/>
        <v>2015810.4940049401</v>
      </c>
      <c r="F116" s="56">
        <f t="shared" si="16"/>
        <v>107316.58037912173</v>
      </c>
      <c r="G116" s="131">
        <f t="shared" si="19"/>
        <v>2353484.007768719</v>
      </c>
      <c r="H116" s="56">
        <f t="shared" si="11"/>
        <v>13648.228566880498</v>
      </c>
      <c r="I116" s="56">
        <f t="shared" si="14"/>
        <v>19497.469381257844</v>
      </c>
      <c r="J116" s="56">
        <f t="shared" si="17"/>
        <v>24176.862032759731</v>
      </c>
      <c r="K116" s="56">
        <f t="shared" si="10"/>
        <v>710903.84792982636</v>
      </c>
      <c r="L116" s="56">
        <f t="shared" si="15"/>
        <v>851071.21730314184</v>
      </c>
      <c r="M116" s="56">
        <f t="shared" si="18"/>
        <v>939862.10071711917</v>
      </c>
      <c r="N116" s="133">
        <f t="shared" si="7"/>
        <v>225.28543070743706</v>
      </c>
      <c r="O116" s="193">
        <f t="shared" si="8"/>
        <v>4438.8134503852243</v>
      </c>
    </row>
    <row r="118" spans="1:15">
      <c r="L118" s="14" t="str">
        <f>"Total payout with yearly cost of delaying, Cola of " &amp; B13*100 &amp; "%  Rate of Return = 0 %, Breakeven Age "&amp;X12</f>
        <v>Total payout with yearly cost of delaying, Cola of 2.5%  Rate of Return = 0 %, Breakeven Age 85</v>
      </c>
    </row>
    <row r="119" spans="1:15">
      <c r="B119" s="2"/>
      <c r="D119" s="2"/>
    </row>
    <row r="122" spans="1:15" ht="15" thickBot="1">
      <c r="A122" s="195" t="s">
        <v>129</v>
      </c>
      <c r="B122" s="196" t="s">
        <v>139</v>
      </c>
      <c r="C122" s="196" t="s">
        <v>198</v>
      </c>
      <c r="D122" s="196" t="s">
        <v>197</v>
      </c>
      <c r="E122" s="197" t="s">
        <v>96</v>
      </c>
      <c r="F122" s="134"/>
    </row>
    <row r="123" spans="1:15">
      <c r="A123" s="194">
        <v>62</v>
      </c>
      <c r="B123" s="62">
        <f t="shared" ref="B123:B161" si="20">B78</f>
        <v>23704.799999999999</v>
      </c>
      <c r="C123" s="62">
        <f>B123</f>
        <v>23704.799999999999</v>
      </c>
      <c r="D123" s="62">
        <f>-B123</f>
        <v>-23704.799999999999</v>
      </c>
      <c r="E123" s="87">
        <f>-B123</f>
        <v>-23704.799999999999</v>
      </c>
      <c r="F123" s="2"/>
    </row>
    <row r="124" spans="1:15">
      <c r="A124" s="181">
        <v>63</v>
      </c>
      <c r="B124" s="56">
        <f>B79</f>
        <v>24297.419999999995</v>
      </c>
      <c r="C124" s="56">
        <f>C123+B124</f>
        <v>48002.219999999994</v>
      </c>
      <c r="D124" s="62">
        <f>-B124+D123</f>
        <v>-48002.219999999994</v>
      </c>
      <c r="E124" s="83">
        <f t="shared" ref="E124:E130" si="21">E123-B124</f>
        <v>-48002.219999999994</v>
      </c>
      <c r="F124" s="2"/>
    </row>
    <row r="125" spans="1:15">
      <c r="A125" s="181">
        <v>64</v>
      </c>
      <c r="B125" s="56">
        <f t="shared" si="20"/>
        <v>24904.855499999991</v>
      </c>
      <c r="C125" s="56">
        <f t="shared" ref="C125:C161" si="22">C124+B125</f>
        <v>72907.075499999977</v>
      </c>
      <c r="D125" s="62">
        <f>-B125+D124</f>
        <v>-72907.075499999977</v>
      </c>
      <c r="E125" s="83">
        <f t="shared" si="21"/>
        <v>-72907.075499999977</v>
      </c>
      <c r="F125" s="2"/>
    </row>
    <row r="126" spans="1:15">
      <c r="A126" s="181">
        <v>65</v>
      </c>
      <c r="B126" s="56">
        <f t="shared" si="20"/>
        <v>25527.476887499986</v>
      </c>
      <c r="C126" s="56">
        <f t="shared" si="22"/>
        <v>98434.552387499964</v>
      </c>
      <c r="D126" s="62">
        <f>-B126+D125</f>
        <v>-98434.552387499964</v>
      </c>
      <c r="E126" s="83">
        <f t="shared" si="21"/>
        <v>-98434.552387499964</v>
      </c>
      <c r="F126" s="2"/>
      <c r="L126" s="2"/>
    </row>
    <row r="127" spans="1:15">
      <c r="A127" s="181">
        <v>66</v>
      </c>
      <c r="B127" s="56">
        <f t="shared" si="20"/>
        <v>26165.663809687481</v>
      </c>
      <c r="C127" s="56">
        <f t="shared" si="22"/>
        <v>124600.21619718744</v>
      </c>
      <c r="D127" s="62">
        <f>-B127+D126</f>
        <v>-124600.21619718744</v>
      </c>
      <c r="E127" s="83">
        <f t="shared" si="21"/>
        <v>-124600.21619718744</v>
      </c>
      <c r="F127" s="2"/>
    </row>
    <row r="128" spans="1:15">
      <c r="A128" s="181">
        <v>67</v>
      </c>
      <c r="B128" s="56">
        <f t="shared" si="20"/>
        <v>26819.80540492967</v>
      </c>
      <c r="C128" s="56">
        <f t="shared" si="22"/>
        <v>151420.02160211711</v>
      </c>
      <c r="D128" s="62">
        <f t="shared" ref="D128:D161" si="23">D83+D127</f>
        <v>-86286.208475859341</v>
      </c>
      <c r="E128" s="83">
        <f t="shared" si="21"/>
        <v>-151420.02160211711</v>
      </c>
      <c r="F128" s="2"/>
    </row>
    <row r="129" spans="1:6">
      <c r="A129" s="181">
        <v>68</v>
      </c>
      <c r="B129" s="56">
        <f t="shared" si="20"/>
        <v>27490.300540052911</v>
      </c>
      <c r="C129" s="56">
        <f t="shared" si="22"/>
        <v>178910.32214217001</v>
      </c>
      <c r="D129" s="62">
        <f t="shared" si="23"/>
        <v>-47014.350561498031</v>
      </c>
      <c r="E129" s="83">
        <f t="shared" si="21"/>
        <v>-178910.32214217001</v>
      </c>
      <c r="F129" s="2"/>
    </row>
    <row r="130" spans="1:6">
      <c r="A130" s="181">
        <v>69</v>
      </c>
      <c r="B130" s="56">
        <f t="shared" si="20"/>
        <v>28177.558053554232</v>
      </c>
      <c r="C130" s="56">
        <f t="shared" si="22"/>
        <v>207087.88019572425</v>
      </c>
      <c r="D130" s="62">
        <f t="shared" si="23"/>
        <v>-6760.6961992776924</v>
      </c>
      <c r="E130" s="83">
        <f t="shared" si="21"/>
        <v>-207087.88019572425</v>
      </c>
      <c r="F130" s="2"/>
    </row>
    <row r="131" spans="1:6">
      <c r="A131" s="181">
        <v>70</v>
      </c>
      <c r="B131" s="56">
        <f t="shared" si="20"/>
        <v>28881.997004893092</v>
      </c>
      <c r="C131" s="56">
        <f t="shared" si="22"/>
        <v>235969.87720061734</v>
      </c>
      <c r="D131" s="62">
        <f t="shared" si="23"/>
        <v>34499.299521998153</v>
      </c>
      <c r="E131" s="83">
        <f t="shared" ref="E131:E161" si="24">E130+F86</f>
        <v>-155925.48550134219</v>
      </c>
      <c r="F131" s="2"/>
    </row>
    <row r="132" spans="1:6">
      <c r="A132" s="181">
        <v>71</v>
      </c>
      <c r="B132" s="56">
        <f t="shared" si="20"/>
        <v>29604.046930015415</v>
      </c>
      <c r="C132" s="56">
        <f t="shared" si="22"/>
        <v>265573.92413063277</v>
      </c>
      <c r="D132" s="62">
        <f t="shared" si="23"/>
        <v>76790.795136305882</v>
      </c>
      <c r="E132" s="83">
        <f t="shared" si="24"/>
        <v>-103484.03093960058</v>
      </c>
      <c r="F132" s="2"/>
    </row>
    <row r="133" spans="1:6">
      <c r="A133" s="181">
        <v>72</v>
      </c>
      <c r="B133" s="56">
        <f t="shared" si="20"/>
        <v>30344.148103265798</v>
      </c>
      <c r="C133" s="56">
        <f t="shared" si="22"/>
        <v>295918.07223389857</v>
      </c>
      <c r="D133" s="62">
        <f t="shared" si="23"/>
        <v>120139.57814097131</v>
      </c>
      <c r="E133" s="83">
        <f t="shared" si="24"/>
        <v>-49731.540013815436</v>
      </c>
      <c r="F133" s="2"/>
    </row>
    <row r="134" spans="1:6">
      <c r="A134" s="181">
        <v>73</v>
      </c>
      <c r="B134" s="56">
        <f t="shared" si="20"/>
        <v>31102.751805847438</v>
      </c>
      <c r="C134" s="56">
        <f t="shared" si="22"/>
        <v>327020.82403974602</v>
      </c>
      <c r="D134" s="62">
        <f t="shared" si="23"/>
        <v>164572.08072075335</v>
      </c>
      <c r="E134" s="83">
        <f t="shared" si="24"/>
        <v>5364.7631851143233</v>
      </c>
      <c r="F134" s="2"/>
    </row>
    <row r="135" spans="1:6">
      <c r="A135" s="181">
        <v>74</v>
      </c>
      <c r="B135" s="56">
        <f t="shared" si="20"/>
        <v>31880.320600993618</v>
      </c>
      <c r="C135" s="56">
        <f t="shared" si="22"/>
        <v>358901.14464073966</v>
      </c>
      <c r="D135" s="62">
        <f t="shared" si="23"/>
        <v>210115.39586502995</v>
      </c>
      <c r="E135" s="83">
        <f t="shared" si="24"/>
        <v>61838.473964017321</v>
      </c>
      <c r="F135" s="2"/>
    </row>
    <row r="136" spans="1:6">
      <c r="A136" s="181">
        <v>75</v>
      </c>
      <c r="B136" s="56">
        <f t="shared" si="20"/>
        <v>32677.328616018458</v>
      </c>
      <c r="C136" s="56">
        <f t="shared" si="22"/>
        <v>391578.47325675812</v>
      </c>
      <c r="D136" s="62">
        <f t="shared" si="23"/>
        <v>256797.29388791346</v>
      </c>
      <c r="E136" s="83">
        <f t="shared" si="24"/>
        <v>119724.02751239289</v>
      </c>
      <c r="F136" s="2"/>
    </row>
    <row r="137" spans="1:6">
      <c r="A137" s="181">
        <v>76</v>
      </c>
      <c r="B137" s="56">
        <f t="shared" si="20"/>
        <v>33494.261831418917</v>
      </c>
      <c r="C137" s="56">
        <f t="shared" si="22"/>
        <v>425072.73508817703</v>
      </c>
      <c r="D137" s="62">
        <f t="shared" si="23"/>
        <v>304646.23936136905</v>
      </c>
      <c r="E137" s="83">
        <f t="shared" si="24"/>
        <v>179056.71989947784</v>
      </c>
      <c r="F137" s="2"/>
    </row>
    <row r="138" spans="1:6">
      <c r="A138" s="181">
        <v>77</v>
      </c>
      <c r="B138" s="56">
        <f t="shared" si="20"/>
        <v>34331.618377204388</v>
      </c>
      <c r="C138" s="56">
        <f t="shared" si="22"/>
        <v>459404.35346538143</v>
      </c>
      <c r="D138" s="62">
        <f t="shared" si="23"/>
        <v>353691.40847166104</v>
      </c>
      <c r="E138" s="83">
        <f t="shared" si="24"/>
        <v>239872.72959623992</v>
      </c>
      <c r="F138" s="2"/>
    </row>
    <row r="139" spans="1:6">
      <c r="A139" s="181">
        <v>78</v>
      </c>
      <c r="B139" s="56">
        <f t="shared" si="20"/>
        <v>35189.908836634502</v>
      </c>
      <c r="C139" s="56">
        <f t="shared" si="22"/>
        <v>494594.26230201591</v>
      </c>
      <c r="D139" s="62">
        <f t="shared" si="23"/>
        <v>403962.7068097103</v>
      </c>
      <c r="E139" s="83">
        <f t="shared" si="24"/>
        <v>302209.13953542104</v>
      </c>
      <c r="F139" s="2"/>
    </row>
    <row r="140" spans="1:6">
      <c r="A140" s="181">
        <v>79</v>
      </c>
      <c r="B140" s="56">
        <f t="shared" si="20"/>
        <v>36069.656557550356</v>
      </c>
      <c r="C140" s="56">
        <f t="shared" si="22"/>
        <v>530663.91885956621</v>
      </c>
      <c r="D140" s="62">
        <f t="shared" si="23"/>
        <v>455490.7876062108</v>
      </c>
      <c r="E140" s="83">
        <f t="shared" si="24"/>
        <v>366103.95972308167</v>
      </c>
      <c r="F140" s="2"/>
    </row>
    <row r="141" spans="1:6">
      <c r="A141" s="181">
        <v>80</v>
      </c>
      <c r="B141" s="56">
        <f t="shared" si="20"/>
        <v>36971.39797148911</v>
      </c>
      <c r="C141" s="56">
        <f t="shared" si="22"/>
        <v>567635.31683105533</v>
      </c>
      <c r="D141" s="62">
        <f t="shared" si="23"/>
        <v>508307.07042262377</v>
      </c>
      <c r="E141" s="83">
        <f t="shared" si="24"/>
        <v>431596.1504154338</v>
      </c>
      <c r="F141" s="2"/>
    </row>
    <row r="142" spans="1:6">
      <c r="A142" s="181">
        <v>81</v>
      </c>
      <c r="B142" s="56">
        <f t="shared" si="20"/>
        <v>37895.682920776337</v>
      </c>
      <c r="C142" s="56">
        <f t="shared" si="22"/>
        <v>605530.99975183164</v>
      </c>
      <c r="D142" s="62">
        <f t="shared" si="23"/>
        <v>562443.76030944707</v>
      </c>
      <c r="E142" s="83">
        <f t="shared" si="24"/>
        <v>498725.64587509475</v>
      </c>
      <c r="F142" s="2"/>
    </row>
    <row r="143" spans="1:6">
      <c r="A143" s="181">
        <v>82</v>
      </c>
      <c r="B143" s="56">
        <f t="shared" si="20"/>
        <v>38843.074993795744</v>
      </c>
      <c r="C143" s="56">
        <f t="shared" si="22"/>
        <v>644374.07474562735</v>
      </c>
      <c r="D143" s="62">
        <f t="shared" si="23"/>
        <v>617933.86744344095</v>
      </c>
      <c r="E143" s="83">
        <f t="shared" si="24"/>
        <v>567533.37872124719</v>
      </c>
      <c r="F143" s="2"/>
    </row>
    <row r="144" spans="1:6">
      <c r="A144" s="181">
        <v>83</v>
      </c>
      <c r="B144" s="56">
        <f t="shared" si="20"/>
        <v>39814.151868640634</v>
      </c>
      <c r="C144" s="56">
        <f t="shared" si="22"/>
        <v>684188.22661426803</v>
      </c>
      <c r="D144" s="62">
        <f t="shared" si="23"/>
        <v>674811.22725578467</v>
      </c>
      <c r="E144" s="83">
        <f t="shared" si="24"/>
        <v>638061.30488855345</v>
      </c>
      <c r="F144" s="2"/>
    </row>
    <row r="145" spans="1:6">
      <c r="A145" s="181">
        <v>84</v>
      </c>
      <c r="B145" s="56">
        <f t="shared" si="20"/>
        <v>40809.505665356643</v>
      </c>
      <c r="C145" s="56">
        <f t="shared" si="22"/>
        <v>724997.73227962467</v>
      </c>
      <c r="D145" s="62">
        <f t="shared" si="23"/>
        <v>733110.52106343699</v>
      </c>
      <c r="E145" s="83">
        <f t="shared" si="24"/>
        <v>710352.42921004235</v>
      </c>
      <c r="F145" s="2"/>
    </row>
    <row r="146" spans="1:6">
      <c r="A146" s="181">
        <v>85</v>
      </c>
      <c r="B146" s="56">
        <f t="shared" si="20"/>
        <v>41829.743306990553</v>
      </c>
      <c r="C146" s="56">
        <f t="shared" si="22"/>
        <v>766827.47558661527</v>
      </c>
      <c r="D146" s="62">
        <f t="shared" si="23"/>
        <v>792867.2972162806</v>
      </c>
      <c r="E146" s="83">
        <f t="shared" si="24"/>
        <v>784450.83163956844</v>
      </c>
      <c r="F146" s="2"/>
    </row>
    <row r="147" spans="1:6">
      <c r="A147" s="181">
        <v>86</v>
      </c>
      <c r="B147" s="56">
        <f t="shared" si="20"/>
        <v>42875.486889665313</v>
      </c>
      <c r="C147" s="56">
        <f t="shared" si="22"/>
        <v>809702.96247628063</v>
      </c>
      <c r="D147" s="62">
        <f t="shared" si="23"/>
        <v>854117.99277294532</v>
      </c>
      <c r="E147" s="83">
        <f t="shared" si="24"/>
        <v>860401.69412983267</v>
      </c>
      <c r="F147" s="2"/>
    </row>
    <row r="148" spans="1:6">
      <c r="A148" s="181">
        <v>87</v>
      </c>
      <c r="B148" s="56">
        <f t="shared" si="20"/>
        <v>43947.374061906943</v>
      </c>
      <c r="C148" s="56">
        <f t="shared" si="22"/>
        <v>853650.33653818758</v>
      </c>
      <c r="D148" s="62">
        <f t="shared" si="23"/>
        <v>916899.95571852662</v>
      </c>
      <c r="E148" s="83">
        <f t="shared" si="24"/>
        <v>938251.32818235352</v>
      </c>
      <c r="F148" s="2"/>
    </row>
    <row r="149" spans="1:6">
      <c r="A149" s="181">
        <v>88</v>
      </c>
      <c r="B149" s="56">
        <f t="shared" si="20"/>
        <v>45046.058413454608</v>
      </c>
      <c r="C149" s="56">
        <f t="shared" si="22"/>
        <v>898696.39495164214</v>
      </c>
      <c r="D149" s="62">
        <f t="shared" si="23"/>
        <v>981251.46773774747</v>
      </c>
      <c r="E149" s="83">
        <f t="shared" si="24"/>
        <v>1018047.2030861874</v>
      </c>
      <c r="F149" s="2"/>
    </row>
    <row r="150" spans="1:6">
      <c r="A150" s="181">
        <v>89</v>
      </c>
      <c r="B150" s="56">
        <f t="shared" si="20"/>
        <v>46172.209873790969</v>
      </c>
      <c r="C150" s="56">
        <f t="shared" si="22"/>
        <v>944868.60482543311</v>
      </c>
      <c r="D150" s="62">
        <f t="shared" si="23"/>
        <v>1047211.7675574488</v>
      </c>
      <c r="E150" s="83">
        <f t="shared" si="24"/>
        <v>1099837.974862617</v>
      </c>
      <c r="F150" s="2"/>
    </row>
    <row r="151" spans="1:6">
      <c r="A151" s="181">
        <v>90</v>
      </c>
      <c r="B151" s="56">
        <f t="shared" si="20"/>
        <v>47326.51512063574</v>
      </c>
      <c r="C151" s="56">
        <f t="shared" si="22"/>
        <v>992195.11994606885</v>
      </c>
      <c r="D151" s="62">
        <f t="shared" si="23"/>
        <v>1114821.0748726428</v>
      </c>
      <c r="E151" s="83">
        <f t="shared" si="24"/>
        <v>1183673.5159334575</v>
      </c>
      <c r="F151" s="2"/>
    </row>
    <row r="152" spans="1:6">
      <c r="A152" s="181">
        <v>91</v>
      </c>
      <c r="B152" s="56">
        <f t="shared" si="20"/>
        <v>48509.677998651627</v>
      </c>
      <c r="C152" s="56">
        <f t="shared" si="22"/>
        <v>1040704.7979447205</v>
      </c>
      <c r="D152" s="62">
        <f t="shared" si="23"/>
        <v>1184120.6148707166</v>
      </c>
      <c r="E152" s="83">
        <f t="shared" si="24"/>
        <v>1269604.9455310691</v>
      </c>
      <c r="F152" s="2"/>
    </row>
    <row r="153" spans="1:6">
      <c r="A153" s="181">
        <v>92</v>
      </c>
      <c r="B153" s="56">
        <f t="shared" si="20"/>
        <v>49722.419948617913</v>
      </c>
      <c r="C153" s="56">
        <f t="shared" si="22"/>
        <v>1090427.2178933383</v>
      </c>
      <c r="D153" s="62">
        <f t="shared" si="23"/>
        <v>1255152.6433687422</v>
      </c>
      <c r="E153" s="83">
        <f t="shared" si="24"/>
        <v>1357684.6608686207</v>
      </c>
      <c r="F153" s="2"/>
    </row>
    <row r="154" spans="1:6">
      <c r="A154" s="181">
        <v>93</v>
      </c>
      <c r="B154" s="56">
        <f t="shared" si="20"/>
        <v>50965.480447333364</v>
      </c>
      <c r="C154" s="56">
        <f t="shared" si="22"/>
        <v>1141392.6983406716</v>
      </c>
      <c r="D154" s="62">
        <f t="shared" si="23"/>
        <v>1327960.4725792184</v>
      </c>
      <c r="E154" s="83">
        <f t="shared" si="24"/>
        <v>1447966.3690896113</v>
      </c>
      <c r="F154" s="2"/>
    </row>
    <row r="155" spans="1:6">
      <c r="A155" s="181">
        <v>94</v>
      </c>
      <c r="B155" s="56">
        <f t="shared" si="20"/>
        <v>52239.617458516695</v>
      </c>
      <c r="C155" s="56">
        <f t="shared" si="22"/>
        <v>1193632.3157991883</v>
      </c>
      <c r="D155" s="62">
        <f t="shared" si="23"/>
        <v>1402588.4975199567</v>
      </c>
      <c r="E155" s="83">
        <f t="shared" si="24"/>
        <v>1540505.1200161267</v>
      </c>
      <c r="F155" s="2"/>
    </row>
    <row r="156" spans="1:6">
      <c r="A156" s="181">
        <v>95</v>
      </c>
      <c r="B156" s="56">
        <f t="shared" si="20"/>
        <v>53545.607894979606</v>
      </c>
      <c r="C156" s="56">
        <f t="shared" si="22"/>
        <v>1247177.923694168</v>
      </c>
      <c r="D156" s="62">
        <f t="shared" si="23"/>
        <v>1479082.2230842132</v>
      </c>
      <c r="E156" s="83">
        <f t="shared" si="24"/>
        <v>1635357.3397158049</v>
      </c>
      <c r="F156" s="2"/>
    </row>
    <row r="157" spans="1:6">
      <c r="A157" s="181">
        <v>96</v>
      </c>
      <c r="B157" s="56">
        <f t="shared" si="20"/>
        <v>54884.248092354101</v>
      </c>
      <c r="C157" s="56">
        <f t="shared" si="22"/>
        <v>1302062.171786522</v>
      </c>
      <c r="D157" s="62">
        <f t="shared" si="23"/>
        <v>1557488.2917875762</v>
      </c>
      <c r="E157" s="83">
        <f t="shared" si="24"/>
        <v>1732580.8649079751</v>
      </c>
      <c r="F157" s="2"/>
    </row>
    <row r="158" spans="1:6">
      <c r="A158" s="181">
        <v>97</v>
      </c>
      <c r="B158" s="56">
        <f t="shared" si="20"/>
        <v>56256.354294662953</v>
      </c>
      <c r="C158" s="56">
        <f t="shared" si="22"/>
        <v>1358318.5260811851</v>
      </c>
      <c r="D158" s="62">
        <f t="shared" si="23"/>
        <v>1637854.5122085232</v>
      </c>
      <c r="E158" s="83">
        <f t="shared" si="24"/>
        <v>1832234.9782299495</v>
      </c>
      <c r="F158" s="2"/>
    </row>
    <row r="159" spans="1:6">
      <c r="A159" s="181">
        <v>98</v>
      </c>
      <c r="B159" s="56">
        <f t="shared" si="20"/>
        <v>57662.763152029525</v>
      </c>
      <c r="C159" s="56">
        <f t="shared" si="22"/>
        <v>1415981.2892332147</v>
      </c>
      <c r="D159" s="62">
        <f t="shared" si="23"/>
        <v>1720229.8881399939</v>
      </c>
      <c r="E159" s="83">
        <f t="shared" si="24"/>
        <v>1934380.4443849733</v>
      </c>
      <c r="F159" s="2"/>
    </row>
    <row r="160" spans="1:6">
      <c r="A160" s="181">
        <v>99</v>
      </c>
      <c r="B160" s="56">
        <f t="shared" si="20"/>
        <v>59104.33223083026</v>
      </c>
      <c r="C160" s="56">
        <f t="shared" si="22"/>
        <v>1475085.621464045</v>
      </c>
      <c r="D160" s="62">
        <f t="shared" si="23"/>
        <v>1804664.6484697512</v>
      </c>
      <c r="E160" s="83">
        <f t="shared" si="24"/>
        <v>2039079.5471938725</v>
      </c>
      <c r="F160" s="2"/>
    </row>
    <row r="161" spans="1:6" ht="15" thickBot="1">
      <c r="A161" s="182">
        <v>100</v>
      </c>
      <c r="B161" s="59">
        <f t="shared" si="20"/>
        <v>60581.940536601003</v>
      </c>
      <c r="C161" s="56">
        <f t="shared" si="22"/>
        <v>1535667.562000646</v>
      </c>
      <c r="D161" s="62">
        <f t="shared" si="23"/>
        <v>1891210.2778077526</v>
      </c>
      <c r="E161" s="83">
        <f t="shared" si="24"/>
        <v>2146396.1275729942</v>
      </c>
      <c r="F161" s="2"/>
    </row>
    <row r="162" spans="1:6">
      <c r="B162" s="2"/>
      <c r="C162" s="2"/>
      <c r="D162" s="2"/>
      <c r="E162" s="2"/>
      <c r="F162" s="2"/>
    </row>
    <row r="163" spans="1:6">
      <c r="B163" s="2"/>
      <c r="C163" s="2"/>
      <c r="D163" s="2"/>
      <c r="E163" s="2"/>
      <c r="F163" s="2"/>
    </row>
    <row r="164" spans="1:6">
      <c r="B164" s="2"/>
      <c r="C164" s="2"/>
      <c r="D164" s="2"/>
      <c r="E164" s="2"/>
      <c r="F164" s="2"/>
    </row>
    <row r="166" spans="1:6" ht="15" thickBot="1">
      <c r="A166" s="195" t="s">
        <v>129</v>
      </c>
      <c r="B166" s="196" t="s">
        <v>139</v>
      </c>
      <c r="C166" s="196" t="s">
        <v>198</v>
      </c>
      <c r="D166" s="196" t="s">
        <v>197</v>
      </c>
      <c r="E166" s="197" t="s">
        <v>96</v>
      </c>
    </row>
    <row r="167" spans="1:6">
      <c r="A167" s="194">
        <v>62</v>
      </c>
      <c r="B167" s="62">
        <f t="shared" ref="B167:B205" si="25">B78</f>
        <v>23704.799999999999</v>
      </c>
      <c r="C167" s="62">
        <f>B16*(1+$B$14)</f>
        <v>260000</v>
      </c>
      <c r="D167" s="62">
        <f>(B16-B167)*(1+B14)</f>
        <v>235347.00800000003</v>
      </c>
      <c r="E167" s="87">
        <f>(B16-B167)*(1+B14)</f>
        <v>235347.00800000003</v>
      </c>
    </row>
    <row r="168" spans="1:6">
      <c r="A168" s="181">
        <v>63</v>
      </c>
      <c r="B168" s="56">
        <f t="shared" si="25"/>
        <v>24297.419999999995</v>
      </c>
      <c r="C168" s="56">
        <f>C167*(1+$B$14)</f>
        <v>270400</v>
      </c>
      <c r="D168" s="62">
        <f>(D167-B168)*(1+$B$14)</f>
        <v>219491.57152000006</v>
      </c>
      <c r="E168" s="83">
        <f>(E167-B168)*(1+$B$14)</f>
        <v>219491.57152000006</v>
      </c>
    </row>
    <row r="169" spans="1:6">
      <c r="A169" s="181">
        <v>64</v>
      </c>
      <c r="B169" s="56">
        <f t="shared" si="25"/>
        <v>24904.855499999991</v>
      </c>
      <c r="C169" s="56">
        <f t="shared" ref="C169:C205" si="26">C168*(1+$B$14)</f>
        <v>281216</v>
      </c>
      <c r="D169" s="62">
        <f t="shared" ref="D169:D171" si="27">(D168-B169)*(1+$B$14)</f>
        <v>202370.18466080006</v>
      </c>
      <c r="E169" s="83">
        <f t="shared" ref="E169:E174" si="28">(E168-B169)*(1+$B$14)</f>
        <v>202370.18466080006</v>
      </c>
    </row>
    <row r="170" spans="1:6">
      <c r="A170" s="181">
        <v>65</v>
      </c>
      <c r="B170" s="56">
        <f t="shared" si="25"/>
        <v>25527.476887499986</v>
      </c>
      <c r="C170" s="56">
        <f t="shared" si="26"/>
        <v>292464.64000000001</v>
      </c>
      <c r="D170" s="62">
        <f t="shared" si="27"/>
        <v>183916.41608423207</v>
      </c>
      <c r="E170" s="83">
        <f t="shared" si="28"/>
        <v>183916.41608423207</v>
      </c>
    </row>
    <row r="171" spans="1:6">
      <c r="A171" s="181">
        <v>66</v>
      </c>
      <c r="B171" s="56">
        <f t="shared" si="25"/>
        <v>26165.663809687481</v>
      </c>
      <c r="C171" s="56">
        <f t="shared" si="26"/>
        <v>304163.22560000001</v>
      </c>
      <c r="D171" s="62">
        <f t="shared" si="27"/>
        <v>164060.78236552639</v>
      </c>
      <c r="E171" s="83">
        <f t="shared" si="28"/>
        <v>164060.78236552639</v>
      </c>
    </row>
    <row r="172" spans="1:6">
      <c r="A172" s="181">
        <v>67</v>
      </c>
      <c r="B172" s="56">
        <f t="shared" si="25"/>
        <v>26819.80540492967</v>
      </c>
      <c r="C172" s="56">
        <f t="shared" si="26"/>
        <v>316329.75462399999</v>
      </c>
      <c r="D172" s="62">
        <f t="shared" ref="D172:D205" si="29">(D171)*(1+$B$14)+(D83-B172)</f>
        <v>182117.41597654589</v>
      </c>
      <c r="E172" s="83">
        <f t="shared" si="28"/>
        <v>142730.61603902059</v>
      </c>
    </row>
    <row r="173" spans="1:6">
      <c r="A173" s="181">
        <v>68</v>
      </c>
      <c r="B173" s="56">
        <f t="shared" si="25"/>
        <v>27490.300540052911</v>
      </c>
      <c r="C173" s="56">
        <f t="shared" si="26"/>
        <v>328982.94480896002</v>
      </c>
      <c r="D173" s="62">
        <f t="shared" si="29"/>
        <v>201183.66998991615</v>
      </c>
      <c r="E173" s="83">
        <f t="shared" si="28"/>
        <v>119849.9281189264</v>
      </c>
    </row>
    <row r="174" spans="1:6">
      <c r="A174" s="181">
        <v>69</v>
      </c>
      <c r="B174" s="56">
        <f t="shared" si="25"/>
        <v>28177.558053554232</v>
      </c>
      <c r="C174" s="56">
        <f t="shared" si="26"/>
        <v>342142.26260131842</v>
      </c>
      <c r="D174" s="62">
        <f t="shared" si="29"/>
        <v>221307.1130981789</v>
      </c>
      <c r="E174" s="83">
        <f t="shared" si="28"/>
        <v>95339.264867987062</v>
      </c>
    </row>
    <row r="175" spans="1:6">
      <c r="A175" s="181">
        <v>70</v>
      </c>
      <c r="B175" s="56">
        <f t="shared" si="25"/>
        <v>28881.997004893092</v>
      </c>
      <c r="C175" s="56">
        <f t="shared" si="26"/>
        <v>355827.95310537115</v>
      </c>
      <c r="D175" s="62">
        <f t="shared" si="29"/>
        <v>242537.39633848882</v>
      </c>
      <c r="E175" s="83">
        <f t="shared" ref="E175:E205" si="30">(E174)*(1+$B$14)+(F86-B175)</f>
        <v>121433.23315219552</v>
      </c>
    </row>
    <row r="176" spans="1:6">
      <c r="A176" s="181">
        <v>71</v>
      </c>
      <c r="B176" s="56">
        <f t="shared" si="25"/>
        <v>29604.046930015415</v>
      </c>
      <c r="C176" s="56">
        <f t="shared" si="26"/>
        <v>370061.07122958603</v>
      </c>
      <c r="D176" s="62">
        <f t="shared" si="29"/>
        <v>264926.34087632073</v>
      </c>
      <c r="E176" s="83">
        <f t="shared" si="30"/>
        <v>149127.97011000954</v>
      </c>
      <c r="F176" s="79"/>
    </row>
    <row r="177" spans="1:5">
      <c r="A177" s="181">
        <v>72</v>
      </c>
      <c r="B177" s="56">
        <f t="shared" si="25"/>
        <v>30344.148103265798</v>
      </c>
      <c r="C177" s="56">
        <f t="shared" si="26"/>
        <v>384863.51407876948</v>
      </c>
      <c r="D177" s="62">
        <f t="shared" si="29"/>
        <v>288528.02941277315</v>
      </c>
      <c r="E177" s="83">
        <f t="shared" si="30"/>
        <v>178501.43173692925</v>
      </c>
    </row>
    <row r="178" spans="1:5">
      <c r="A178" s="181">
        <v>73</v>
      </c>
      <c r="B178" s="56">
        <f t="shared" si="25"/>
        <v>31102.751805847438</v>
      </c>
      <c r="C178" s="56">
        <f t="shared" si="26"/>
        <v>400258.05464192026</v>
      </c>
      <c r="D178" s="62">
        <f t="shared" si="29"/>
        <v>313398.90136321867</v>
      </c>
      <c r="E178" s="83">
        <f t="shared" si="30"/>
        <v>209635.04039948876</v>
      </c>
    </row>
    <row r="179" spans="1:5">
      <c r="A179" s="181">
        <v>74</v>
      </c>
      <c r="B179" s="56">
        <f t="shared" si="25"/>
        <v>31880.320600993618</v>
      </c>
      <c r="C179" s="56">
        <f t="shared" si="26"/>
        <v>416268.37682759709</v>
      </c>
      <c r="D179" s="62">
        <f t="shared" si="29"/>
        <v>339597.85196103039</v>
      </c>
      <c r="E179" s="83">
        <f t="shared" si="30"/>
        <v>242613.83219337769</v>
      </c>
    </row>
    <row r="180" spans="1:5">
      <c r="A180" s="181">
        <v>75</v>
      </c>
      <c r="B180" s="56">
        <f t="shared" si="25"/>
        <v>32677.328616018458</v>
      </c>
      <c r="C180" s="56">
        <f t="shared" si="26"/>
        <v>432919.11190070101</v>
      </c>
      <c r="D180" s="62">
        <f t="shared" si="29"/>
        <v>367186.33544633666</v>
      </c>
      <c r="E180" s="83">
        <f t="shared" si="30"/>
        <v>277526.6104134699</v>
      </c>
    </row>
    <row r="181" spans="1:5">
      <c r="A181" s="181">
        <v>76</v>
      </c>
      <c r="B181" s="56">
        <f t="shared" si="25"/>
        <v>33494.261831418917</v>
      </c>
      <c r="C181" s="56">
        <f t="shared" si="26"/>
        <v>450235.87637672905</v>
      </c>
      <c r="D181" s="62">
        <f t="shared" si="29"/>
        <v>396228.4725062268</v>
      </c>
      <c r="E181" s="83">
        <f t="shared" si="30"/>
        <v>314466.10538567475</v>
      </c>
    </row>
    <row r="182" spans="1:5">
      <c r="A182" s="181">
        <v>77</v>
      </c>
      <c r="B182" s="56">
        <f t="shared" si="25"/>
        <v>34331.618377204388</v>
      </c>
      <c r="C182" s="56">
        <f t="shared" si="26"/>
        <v>468245.31143179821</v>
      </c>
      <c r="D182" s="62">
        <f t="shared" si="29"/>
        <v>426791.16213956347</v>
      </c>
      <c r="E182" s="83">
        <f t="shared" si="30"/>
        <v>353529.14092065941</v>
      </c>
    </row>
    <row r="183" spans="1:5">
      <c r="A183" s="181">
        <v>78</v>
      </c>
      <c r="B183" s="56">
        <f t="shared" si="25"/>
        <v>35189.908836634502</v>
      </c>
      <c r="C183" s="56">
        <f t="shared" si="26"/>
        <v>486975.12388907018</v>
      </c>
      <c r="D183" s="62">
        <f t="shared" si="29"/>
        <v>458944.19812656083</v>
      </c>
      <c r="E183" s="83">
        <f t="shared" si="30"/>
        <v>394816.80766003235</v>
      </c>
    </row>
    <row r="184" spans="1:5">
      <c r="A184" s="181">
        <v>79</v>
      </c>
      <c r="B184" s="56">
        <f t="shared" si="25"/>
        <v>36069.656557550356</v>
      </c>
      <c r="C184" s="56">
        <f t="shared" si="26"/>
        <v>506454.128844633</v>
      </c>
      <c r="D184" s="62">
        <f t="shared" si="29"/>
        <v>492760.39029057341</v>
      </c>
      <c r="E184" s="83">
        <f t="shared" si="30"/>
        <v>438434.64359654393</v>
      </c>
    </row>
    <row r="185" spans="1:5">
      <c r="A185" s="181">
        <v>80</v>
      </c>
      <c r="B185" s="56">
        <f t="shared" si="25"/>
        <v>36971.39797148911</v>
      </c>
      <c r="C185" s="56">
        <f t="shared" si="26"/>
        <v>526712.29399841838</v>
      </c>
      <c r="D185" s="62">
        <f t="shared" si="29"/>
        <v>528315.6907471203</v>
      </c>
      <c r="E185" s="83">
        <f t="shared" si="30"/>
        <v>484492.82206126873</v>
      </c>
    </row>
    <row r="186" spans="1:5">
      <c r="A186" s="181">
        <v>81</v>
      </c>
      <c r="B186" s="56">
        <f t="shared" si="25"/>
        <v>37895.682920776337</v>
      </c>
      <c r="C186" s="56">
        <f t="shared" si="26"/>
        <v>547780.78575835517</v>
      </c>
      <c r="D186" s="62">
        <f t="shared" si="29"/>
        <v>565689.32534305216</v>
      </c>
      <c r="E186" s="83">
        <f t="shared" si="30"/>
        <v>533106.34748260409</v>
      </c>
    </row>
    <row r="187" spans="1:5">
      <c r="A187" s="181">
        <v>82</v>
      </c>
      <c r="B187" s="56">
        <f t="shared" si="25"/>
        <v>38843.074993795744</v>
      </c>
      <c r="C187" s="56">
        <f t="shared" si="26"/>
        <v>569692.01718868944</v>
      </c>
      <c r="D187" s="62">
        <f t="shared" si="29"/>
        <v>604963.9304969724</v>
      </c>
      <c r="E187" s="83">
        <f t="shared" si="30"/>
        <v>584395.25923426496</v>
      </c>
    </row>
    <row r="188" spans="1:5">
      <c r="A188" s="181">
        <v>83</v>
      </c>
      <c r="B188" s="56">
        <f t="shared" si="25"/>
        <v>39814.151868640634</v>
      </c>
      <c r="C188" s="56">
        <f t="shared" si="26"/>
        <v>592479.69787623698</v>
      </c>
      <c r="D188" s="62">
        <f t="shared" si="29"/>
        <v>646225.69566055434</v>
      </c>
      <c r="E188" s="83">
        <f t="shared" si="30"/>
        <v>638484.84390230116</v>
      </c>
    </row>
    <row r="189" spans="1:5">
      <c r="A189" s="181">
        <v>84</v>
      </c>
      <c r="B189" s="56">
        <f t="shared" si="25"/>
        <v>40809.505665356643</v>
      </c>
      <c r="C189" s="56">
        <f t="shared" si="26"/>
        <v>616178.88579128648</v>
      </c>
      <c r="D189" s="62">
        <f t="shared" si="29"/>
        <v>689564.51162927225</v>
      </c>
      <c r="E189" s="83">
        <f t="shared" si="30"/>
        <v>695505.85631452547</v>
      </c>
    </row>
    <row r="190" spans="1:5">
      <c r="A190" s="181">
        <v>85</v>
      </c>
      <c r="B190" s="56">
        <f t="shared" si="25"/>
        <v>41829.743306990553</v>
      </c>
      <c r="C190" s="56">
        <f t="shared" si="26"/>
        <v>640826.04122293799</v>
      </c>
      <c r="D190" s="62">
        <f t="shared" si="29"/>
        <v>735074.12494029629</v>
      </c>
      <c r="E190" s="83">
        <f t="shared" si="30"/>
        <v>755594.74968964211</v>
      </c>
    </row>
    <row r="191" spans="1:5">
      <c r="A191" s="181">
        <v>86</v>
      </c>
      <c r="B191" s="56">
        <f t="shared" si="25"/>
        <v>42875.486889665313</v>
      </c>
      <c r="C191" s="56">
        <f t="shared" si="26"/>
        <v>666459.08287185559</v>
      </c>
      <c r="D191" s="62">
        <f t="shared" si="29"/>
        <v>782852.29860490747</v>
      </c>
      <c r="E191" s="83">
        <f t="shared" si="30"/>
        <v>818893.91527782683</v>
      </c>
    </row>
    <row r="192" spans="1:5">
      <c r="A192" s="181">
        <v>87</v>
      </c>
      <c r="B192" s="56">
        <f t="shared" si="25"/>
        <v>43947.374061906943</v>
      </c>
      <c r="C192" s="56">
        <f t="shared" si="26"/>
        <v>693117.44618672982</v>
      </c>
      <c r="D192" s="62">
        <f t="shared" si="29"/>
        <v>833000.9794327782</v>
      </c>
      <c r="E192" s="83">
        <f t="shared" si="30"/>
        <v>885551.93187955383</v>
      </c>
    </row>
    <row r="193" spans="1:5">
      <c r="A193" s="181">
        <v>88</v>
      </c>
      <c r="B193" s="56">
        <f t="shared" si="25"/>
        <v>45046.058413454608</v>
      </c>
      <c r="C193" s="56">
        <f t="shared" si="26"/>
        <v>720842.14403419907</v>
      </c>
      <c r="D193" s="62">
        <f t="shared" si="29"/>
        <v>885626.47221585561</v>
      </c>
      <c r="E193" s="83">
        <f t="shared" si="30"/>
        <v>955723.82564511534</v>
      </c>
    </row>
    <row r="194" spans="1:5">
      <c r="A194" s="181">
        <v>89</v>
      </c>
      <c r="B194" s="56">
        <f t="shared" si="25"/>
        <v>46172.209873790969</v>
      </c>
      <c r="C194" s="56">
        <f t="shared" si="26"/>
        <v>749675.82979556709</v>
      </c>
      <c r="D194" s="62">
        <f t="shared" si="29"/>
        <v>940839.62105040019</v>
      </c>
      <c r="E194" s="83">
        <f t="shared" si="30"/>
        <v>1029571.3405735587</v>
      </c>
    </row>
    <row r="195" spans="1:5">
      <c r="A195" s="181">
        <v>90</v>
      </c>
      <c r="B195" s="56">
        <f t="shared" si="25"/>
        <v>47326.51512063574</v>
      </c>
      <c r="C195" s="56">
        <f t="shared" si="26"/>
        <v>779662.86298738979</v>
      </c>
      <c r="D195" s="62">
        <f t="shared" si="29"/>
        <v>998755.99808697437</v>
      </c>
      <c r="E195" s="83">
        <f t="shared" si="30"/>
        <v>1107263.2201467059</v>
      </c>
    </row>
    <row r="196" spans="1:5">
      <c r="A196" s="181">
        <v>91</v>
      </c>
      <c r="B196" s="56">
        <f t="shared" si="25"/>
        <v>48509.677998651627</v>
      </c>
      <c r="C196" s="56">
        <f t="shared" si="26"/>
        <v>810849.37750688544</v>
      </c>
      <c r="D196" s="62">
        <f t="shared" si="29"/>
        <v>1059496.1000098756</v>
      </c>
      <c r="E196" s="83">
        <f t="shared" si="30"/>
        <v>1188975.5005515339</v>
      </c>
    </row>
    <row r="197" spans="1:5">
      <c r="A197" s="181">
        <v>92</v>
      </c>
      <c r="B197" s="56">
        <f t="shared" si="25"/>
        <v>49722.419948617913</v>
      </c>
      <c r="C197" s="56">
        <f t="shared" si="26"/>
        <v>843283.35260716092</v>
      </c>
      <c r="D197" s="62">
        <f t="shared" si="29"/>
        <v>1123185.5525596784</v>
      </c>
      <c r="E197" s="83">
        <f t="shared" si="30"/>
        <v>1274891.815962529</v>
      </c>
    </row>
    <row r="198" spans="1:5">
      <c r="A198" s="181">
        <v>93</v>
      </c>
      <c r="B198" s="56">
        <f t="shared" si="25"/>
        <v>50965.480447333364</v>
      </c>
      <c r="C198" s="56">
        <f t="shared" si="26"/>
        <v>877014.68671144743</v>
      </c>
      <c r="D198" s="62">
        <f t="shared" si="29"/>
        <v>1189955.3234252085</v>
      </c>
      <c r="E198" s="83">
        <f t="shared" si="30"/>
        <v>1365203.7163746874</v>
      </c>
    </row>
    <row r="199" spans="1:5">
      <c r="A199" s="181">
        <v>94</v>
      </c>
      <c r="B199" s="56">
        <f t="shared" si="25"/>
        <v>52239.617458516695</v>
      </c>
      <c r="C199" s="56">
        <f t="shared" si="26"/>
        <v>912095.2741799053</v>
      </c>
      <c r="D199" s="62">
        <f t="shared" si="29"/>
        <v>1259941.9438444383</v>
      </c>
      <c r="E199" s="83">
        <f t="shared" si="30"/>
        <v>1460110.9984976735</v>
      </c>
    </row>
    <row r="200" spans="1:5">
      <c r="A200" s="181">
        <v>95</v>
      </c>
      <c r="B200" s="56">
        <f t="shared" si="25"/>
        <v>53545.607894979606</v>
      </c>
      <c r="C200" s="56">
        <f t="shared" si="26"/>
        <v>948579.08514710155</v>
      </c>
      <c r="D200" s="62">
        <f t="shared" si="29"/>
        <v>1333287.7392674927</v>
      </c>
      <c r="E200" s="83">
        <f t="shared" si="30"/>
        <v>1559822.0502422792</v>
      </c>
    </row>
    <row r="201" spans="1:5">
      <c r="A201" s="181">
        <v>96</v>
      </c>
      <c r="B201" s="56">
        <f t="shared" si="25"/>
        <v>54884.248092354101</v>
      </c>
      <c r="C201" s="56">
        <f t="shared" si="26"/>
        <v>986522.24855298561</v>
      </c>
      <c r="D201" s="62">
        <f t="shared" si="29"/>
        <v>1410141.0694492012</v>
      </c>
      <c r="E201" s="83">
        <f t="shared" si="30"/>
        <v>1664554.2093517864</v>
      </c>
    </row>
    <row r="202" spans="1:5">
      <c r="A202" s="181">
        <v>97</v>
      </c>
      <c r="B202" s="56">
        <f t="shared" si="25"/>
        <v>56256.354294662953</v>
      </c>
      <c r="C202" s="56">
        <f t="shared" si="26"/>
        <v>1025983.1384951051</v>
      </c>
      <c r="D202" s="62">
        <f t="shared" si="29"/>
        <v>1490656.5783534534</v>
      </c>
      <c r="E202" s="83">
        <f t="shared" si="30"/>
        <v>1774534.1367531694</v>
      </c>
    </row>
    <row r="203" spans="1:5">
      <c r="A203" s="181">
        <v>98</v>
      </c>
      <c r="B203" s="56">
        <f t="shared" si="25"/>
        <v>57662.763152029525</v>
      </c>
      <c r="C203" s="56">
        <f t="shared" si="26"/>
        <v>1067022.4640349094</v>
      </c>
      <c r="D203" s="62">
        <f t="shared" si="29"/>
        <v>1574995.4542670329</v>
      </c>
      <c r="E203" s="83">
        <f t="shared" si="30"/>
        <v>1889998.2052262903</v>
      </c>
    </row>
    <row r="204" spans="1:5">
      <c r="A204" s="181">
        <v>99</v>
      </c>
      <c r="B204" s="56">
        <f t="shared" si="25"/>
        <v>59104.33223083026</v>
      </c>
      <c r="C204" s="56">
        <f t="shared" si="26"/>
        <v>1109703.3625963058</v>
      </c>
      <c r="D204" s="62">
        <f t="shared" si="29"/>
        <v>1663325.7005366415</v>
      </c>
      <c r="E204" s="83">
        <f t="shared" si="30"/>
        <v>2011192.9040134109</v>
      </c>
    </row>
    <row r="205" spans="1:5" ht="15" thickBot="1">
      <c r="A205" s="182">
        <v>100</v>
      </c>
      <c r="B205" s="56">
        <f t="shared" si="25"/>
        <v>60581.940536601003</v>
      </c>
      <c r="C205" s="56">
        <f t="shared" si="26"/>
        <v>1154091.4971001581</v>
      </c>
      <c r="D205" s="62">
        <f t="shared" si="29"/>
        <v>1755822.4173595076</v>
      </c>
      <c r="E205" s="83">
        <f t="shared" si="30"/>
        <v>2138375.2600164684</v>
      </c>
    </row>
    <row r="206" spans="1:5">
      <c r="D206" s="62"/>
    </row>
  </sheetData>
  <phoneticPr fontId="8" type="noConversion"/>
  <pageMargins left="0.7" right="0.7" top="0.75" bottom="0.75" header="0.3" footer="0.3"/>
  <pageSetup orientation="portrait" r:id="rId1"/>
  <drawing r:id="rId2"/>
  <tableParts count="4">
    <tablePart r:id="rId3"/>
    <tablePart r:id="rId4"/>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13955-FA8F-4595-990E-8ED4D58BC9F3}">
  <dimension ref="A1:Y165"/>
  <sheetViews>
    <sheetView zoomScale="80" zoomScaleNormal="80" workbookViewId="0">
      <selection activeCell="B6" sqref="B6"/>
    </sheetView>
  </sheetViews>
  <sheetFormatPr defaultRowHeight="14.4"/>
  <cols>
    <col min="1" max="1" width="16.6640625" customWidth="1"/>
    <col min="2" max="2" width="23.33203125" customWidth="1"/>
    <col min="3" max="3" width="14.5546875" customWidth="1"/>
    <col min="4" max="4" width="17.88671875" customWidth="1"/>
    <col min="5" max="5" width="18.88671875" customWidth="1"/>
    <col min="6" max="6" width="14" customWidth="1"/>
    <col min="7" max="7" width="20.6640625" customWidth="1"/>
    <col min="8" max="8" width="18.5546875" customWidth="1"/>
    <col min="9" max="9" width="18.33203125" customWidth="1"/>
    <col min="10" max="10" width="12.6640625" customWidth="1"/>
    <col min="11" max="11" width="15.33203125" customWidth="1"/>
    <col min="12" max="12" width="15.6640625" customWidth="1"/>
    <col min="13" max="13" width="12.6640625" customWidth="1"/>
    <col min="14" max="14" width="14.6640625" customWidth="1"/>
    <col min="15" max="15" width="14.88671875" customWidth="1"/>
    <col min="16" max="16" width="12.6640625" customWidth="1"/>
    <col min="17" max="17" width="16.6640625" customWidth="1"/>
    <col min="18" max="18" width="18.109375" customWidth="1"/>
    <col min="19" max="19" width="17.6640625" customWidth="1"/>
    <col min="20" max="21" width="11" bestFit="1" customWidth="1"/>
  </cols>
  <sheetData>
    <row r="1" spans="1:12" ht="15" thickBot="1"/>
    <row r="2" spans="1:12" ht="28.8">
      <c r="A2" s="100" t="s">
        <v>119</v>
      </c>
      <c r="B2" s="105">
        <f>Main!B11</f>
        <v>2822</v>
      </c>
    </row>
    <row r="3" spans="1:12" ht="15" thickBot="1">
      <c r="A3" s="101" t="s">
        <v>120</v>
      </c>
      <c r="B3" s="106">
        <f>Main!B12</f>
        <v>22</v>
      </c>
    </row>
    <row r="4" spans="1:12" ht="29.4" thickBot="1">
      <c r="A4" s="102" t="s">
        <v>121</v>
      </c>
      <c r="B4" s="107">
        <f>Main!B13</f>
        <v>2.5000000000000001E-2</v>
      </c>
      <c r="D4" s="111" t="s">
        <v>122</v>
      </c>
      <c r="E4" s="112">
        <f>'SS Benefit Cal'!F3</f>
        <v>3.7294117647058829</v>
      </c>
      <c r="G4" s="111" t="s">
        <v>181</v>
      </c>
      <c r="H4" s="124">
        <v>250000</v>
      </c>
    </row>
    <row r="5" spans="1:12" ht="29.4" thickBot="1">
      <c r="A5" s="103" t="s">
        <v>176</v>
      </c>
      <c r="B5" s="107">
        <v>0.04</v>
      </c>
      <c r="D5" s="78" t="s">
        <v>175</v>
      </c>
      <c r="E5" s="117">
        <f>Main!E12</f>
        <v>3.2639639639639652E-2</v>
      </c>
      <c r="G5" s="110" t="s">
        <v>199</v>
      </c>
      <c r="H5" s="92">
        <v>80</v>
      </c>
    </row>
    <row r="6" spans="1:12" ht="15" thickBot="1">
      <c r="A6" s="101" t="s">
        <v>93</v>
      </c>
      <c r="B6" s="107">
        <f>Main!B15</f>
        <v>0.04</v>
      </c>
      <c r="D6" s="79"/>
    </row>
    <row r="7" spans="1:12" ht="29.4" thickBot="1">
      <c r="A7" s="101" t="s">
        <v>147</v>
      </c>
      <c r="B7" s="108">
        <v>2500</v>
      </c>
      <c r="G7" s="136" t="str">
        <f>L7</f>
        <v>Single Break even Age @ Rate of Return = 4 %</v>
      </c>
      <c r="H7" s="135" cm="1">
        <f t="array" ref="H7">_xlfn.XLOOKUP(TRUE,N26:N64&lt;=O26:O64,A26:A64,"No crossover")</f>
        <v>81</v>
      </c>
      <c r="L7" t="str">
        <f>"Single Break even Age @ Rate of Return = " &amp; $B$5*100 &amp; " %"</f>
        <v>Single Break even Age @ Rate of Return = 4 %</v>
      </c>
    </row>
    <row r="8" spans="1:12">
      <c r="A8" s="101"/>
      <c r="B8" s="106"/>
    </row>
    <row r="9" spans="1:12" ht="15" thickBot="1">
      <c r="A9" s="104" t="s">
        <v>149</v>
      </c>
      <c r="B9" s="109">
        <v>23704</v>
      </c>
    </row>
    <row r="10" spans="1:12">
      <c r="A10" s="79"/>
      <c r="B10" s="2"/>
    </row>
    <row r="11" spans="1:12" ht="15" thickBot="1">
      <c r="G11" s="93" t="s">
        <v>187</v>
      </c>
    </row>
    <row r="12" spans="1:12" ht="15" thickBot="1">
      <c r="A12" s="65" t="s">
        <v>2</v>
      </c>
      <c r="B12" s="51" t="s">
        <v>3</v>
      </c>
      <c r="C12" s="66" t="s">
        <v>106</v>
      </c>
      <c r="D12" s="67" t="s">
        <v>4</v>
      </c>
      <c r="F12" s="65" t="s">
        <v>2</v>
      </c>
      <c r="G12" s="51" t="s">
        <v>3</v>
      </c>
      <c r="H12" s="66" t="s">
        <v>106</v>
      </c>
      <c r="I12" s="67" t="s">
        <v>4</v>
      </c>
      <c r="L12" t="str">
        <f>"Compare Saving of single Frank and Bill at rate of return of " &amp; B5*100 &amp; "% and Cola of " &amp; B4*100 &amp; "% " &amp; "Initial Yearly Expenses = $" &amp; B9</f>
        <v>Compare Saving of single Frank and Bill at rate of return of 4% and Cola of 2.5% Initial Yearly Expenses = $23704</v>
      </c>
    </row>
    <row r="13" spans="1:12">
      <c r="A13" s="61">
        <v>62</v>
      </c>
      <c r="B13" s="56">
        <f t="shared" ref="B13:B15" si="0">$B$2*C13</f>
        <v>1975.3999999999999</v>
      </c>
      <c r="C13" s="63">
        <v>0.7</v>
      </c>
      <c r="D13" s="64"/>
      <c r="F13" s="61">
        <v>62</v>
      </c>
      <c r="G13" s="56">
        <f>$B$7*H13</f>
        <v>1750</v>
      </c>
      <c r="H13" s="63">
        <v>0.7</v>
      </c>
      <c r="I13" s="64"/>
    </row>
    <row r="14" spans="1:12">
      <c r="A14" s="41">
        <v>63</v>
      </c>
      <c r="B14" s="56">
        <f t="shared" si="0"/>
        <v>2116.5</v>
      </c>
      <c r="C14" s="57">
        <v>0.75</v>
      </c>
      <c r="D14" s="58">
        <f>(B14-B13)/B13</f>
        <v>7.1428571428571508E-2</v>
      </c>
      <c r="F14" s="41">
        <v>63</v>
      </c>
      <c r="G14" s="56">
        <f t="shared" ref="G14:G17" si="1">$B$7*H14</f>
        <v>1875</v>
      </c>
      <c r="H14" s="57">
        <v>0.75</v>
      </c>
      <c r="I14" s="58">
        <f>(G14-G13)/G13</f>
        <v>7.1428571428571425E-2</v>
      </c>
    </row>
    <row r="15" spans="1:12">
      <c r="A15" s="41">
        <v>64</v>
      </c>
      <c r="B15" s="56">
        <f t="shared" si="0"/>
        <v>2257.6</v>
      </c>
      <c r="C15" s="57">
        <v>0.8</v>
      </c>
      <c r="D15" s="58">
        <f t="shared" ref="D15:D21" si="2">(B15-B14)/B14</f>
        <v>6.6666666666666624E-2</v>
      </c>
      <c r="F15" s="41">
        <v>64</v>
      </c>
      <c r="G15" s="56">
        <f t="shared" si="1"/>
        <v>2000</v>
      </c>
      <c r="H15" s="57">
        <v>0.8</v>
      </c>
      <c r="I15" s="58">
        <f t="shared" ref="I15:I21" si="3">(G15-G14)/G14</f>
        <v>6.6666666666666666E-2</v>
      </c>
    </row>
    <row r="16" spans="1:12">
      <c r="A16" s="41">
        <v>65</v>
      </c>
      <c r="B16" s="56">
        <f>$B$2*C16</f>
        <v>2446.674</v>
      </c>
      <c r="C16" s="38">
        <v>0.86699999999999999</v>
      </c>
      <c r="D16" s="58">
        <f t="shared" si="2"/>
        <v>8.3750000000000033E-2</v>
      </c>
      <c r="F16" s="41">
        <v>65</v>
      </c>
      <c r="G16" s="56">
        <f t="shared" si="1"/>
        <v>2167.5</v>
      </c>
      <c r="H16" s="38">
        <v>0.86699999999999999</v>
      </c>
      <c r="I16" s="58">
        <f t="shared" si="3"/>
        <v>8.3750000000000005E-2</v>
      </c>
    </row>
    <row r="17" spans="1:15">
      <c r="A17" s="41">
        <v>66</v>
      </c>
      <c r="B17" s="56">
        <f>$B$2*C17</f>
        <v>2632.9259999999999</v>
      </c>
      <c r="C17" s="38">
        <v>0.93300000000000005</v>
      </c>
      <c r="D17" s="58">
        <f t="shared" si="2"/>
        <v>7.612456747404843E-2</v>
      </c>
      <c r="F17" s="41">
        <v>66</v>
      </c>
      <c r="G17" s="56">
        <f t="shared" si="1"/>
        <v>2332.5</v>
      </c>
      <c r="H17" s="38">
        <v>0.93300000000000005</v>
      </c>
      <c r="I17" s="58">
        <f t="shared" si="3"/>
        <v>7.6124567474048443E-2</v>
      </c>
    </row>
    <row r="18" spans="1:15">
      <c r="A18" s="41">
        <v>67</v>
      </c>
      <c r="B18" s="56">
        <f>$B$2*C18</f>
        <v>2822</v>
      </c>
      <c r="C18" s="57">
        <v>1</v>
      </c>
      <c r="D18" s="58">
        <f t="shared" si="2"/>
        <v>7.1811361200428747E-2</v>
      </c>
      <c r="F18" s="41">
        <v>67</v>
      </c>
      <c r="G18" s="123">
        <f>B7</f>
        <v>2500</v>
      </c>
      <c r="H18" s="57">
        <v>1</v>
      </c>
      <c r="I18" s="58">
        <f t="shared" si="3"/>
        <v>7.1811361200428719E-2</v>
      </c>
    </row>
    <row r="19" spans="1:15">
      <c r="A19" s="41">
        <v>68</v>
      </c>
      <c r="B19" s="56">
        <f t="shared" ref="B19:B21" si="4">$B$2*C19</f>
        <v>3047.76</v>
      </c>
      <c r="C19" s="57">
        <v>1.08</v>
      </c>
      <c r="D19" s="58">
        <f t="shared" si="2"/>
        <v>8.0000000000000071E-2</v>
      </c>
      <c r="F19" s="41">
        <v>68</v>
      </c>
      <c r="G19" s="56">
        <f>$B$7*H19</f>
        <v>2700</v>
      </c>
      <c r="H19" s="57">
        <v>1.08</v>
      </c>
      <c r="I19" s="58">
        <f t="shared" si="3"/>
        <v>0.08</v>
      </c>
    </row>
    <row r="20" spans="1:15">
      <c r="A20" s="41">
        <v>69</v>
      </c>
      <c r="B20" s="56">
        <f t="shared" si="4"/>
        <v>3273.52</v>
      </c>
      <c r="C20" s="57">
        <v>1.1599999999999999</v>
      </c>
      <c r="D20" s="58">
        <f t="shared" si="2"/>
        <v>7.4074074074073987E-2</v>
      </c>
      <c r="F20" s="41">
        <v>69</v>
      </c>
      <c r="G20" s="56">
        <f t="shared" ref="G20:G21" si="5">$B$7*H20</f>
        <v>2900</v>
      </c>
      <c r="H20" s="57">
        <v>1.1599999999999999</v>
      </c>
      <c r="I20" s="58">
        <f t="shared" si="3"/>
        <v>7.407407407407407E-2</v>
      </c>
    </row>
    <row r="21" spans="1:15" ht="15" thickBot="1">
      <c r="A21" s="43">
        <v>70</v>
      </c>
      <c r="B21" s="56">
        <f t="shared" si="4"/>
        <v>3499.28</v>
      </c>
      <c r="C21" s="60">
        <v>1.24</v>
      </c>
      <c r="D21" s="44">
        <f t="shared" si="2"/>
        <v>6.8965517241379379E-2</v>
      </c>
      <c r="F21" s="43">
        <v>70</v>
      </c>
      <c r="G21" s="59">
        <f t="shared" si="5"/>
        <v>3100</v>
      </c>
      <c r="H21" s="60">
        <v>1.24</v>
      </c>
      <c r="I21" s="44">
        <f t="shared" si="3"/>
        <v>6.8965517241379309E-2</v>
      </c>
    </row>
    <row r="23" spans="1:15" ht="15" thickBot="1"/>
    <row r="24" spans="1:15" ht="15" thickBot="1">
      <c r="A24" s="94" t="s">
        <v>140</v>
      </c>
      <c r="G24" s="81" t="s">
        <v>144</v>
      </c>
      <c r="N24" s="14" t="s">
        <v>140</v>
      </c>
      <c r="O24" s="14" t="s">
        <v>144</v>
      </c>
    </row>
    <row r="25" spans="1:15" ht="29.4" thickBot="1">
      <c r="A25" s="73" t="s">
        <v>129</v>
      </c>
      <c r="B25" s="50" t="s">
        <v>185</v>
      </c>
      <c r="C25" s="89" t="s">
        <v>142</v>
      </c>
      <c r="D25" s="50" t="s">
        <v>152</v>
      </c>
      <c r="E25" s="91" t="s">
        <v>151</v>
      </c>
      <c r="F25" s="52" t="s">
        <v>150</v>
      </c>
      <c r="G25" s="73" t="s">
        <v>129</v>
      </c>
      <c r="H25" s="50" t="s">
        <v>185</v>
      </c>
      <c r="I25" s="89" t="s">
        <v>142</v>
      </c>
      <c r="J25" s="95" t="s">
        <v>152</v>
      </c>
      <c r="K25" s="91" t="s">
        <v>153</v>
      </c>
      <c r="L25" s="118" t="s">
        <v>143</v>
      </c>
      <c r="M25" s="119" t="s">
        <v>129</v>
      </c>
      <c r="N25" s="120" t="s">
        <v>150</v>
      </c>
      <c r="O25" s="121" t="s">
        <v>150</v>
      </c>
    </row>
    <row r="26" spans="1:15">
      <c r="A26" s="61">
        <v>62</v>
      </c>
      <c r="B26" s="62">
        <f>B13</f>
        <v>1975.3999999999999</v>
      </c>
      <c r="C26" s="62">
        <f>B26*12</f>
        <v>23704.799999999999</v>
      </c>
      <c r="D26" s="23">
        <f>B9</f>
        <v>23704</v>
      </c>
      <c r="E26" s="87">
        <f>C26-D26</f>
        <v>0.7999999999992724</v>
      </c>
      <c r="F26" s="97">
        <f>$H$4*(1+$B$5)</f>
        <v>260000</v>
      </c>
      <c r="G26" s="61">
        <v>62</v>
      </c>
      <c r="H26" s="62">
        <v>0</v>
      </c>
      <c r="I26" s="62">
        <f>H26*12</f>
        <v>0</v>
      </c>
      <c r="J26" s="87">
        <f>B9</f>
        <v>23704</v>
      </c>
      <c r="K26" s="87">
        <f>I26-J26</f>
        <v>-23704</v>
      </c>
      <c r="L26" s="87">
        <f>($H$4)*(1+$B$5)+K26</f>
        <v>236296</v>
      </c>
      <c r="M26" s="41">
        <v>62</v>
      </c>
      <c r="N26" s="56">
        <f>F26</f>
        <v>260000</v>
      </c>
      <c r="O26" s="70">
        <f>L26</f>
        <v>236296</v>
      </c>
    </row>
    <row r="27" spans="1:15">
      <c r="A27" s="41">
        <v>63</v>
      </c>
      <c r="B27" s="56">
        <f>B26*(1+$B$4)</f>
        <v>2024.7849999999996</v>
      </c>
      <c r="C27" s="56">
        <f t="shared" ref="C27:C64" si="6">B27*12</f>
        <v>24297.419999999995</v>
      </c>
      <c r="D27" s="36">
        <f>D26*(1+$B$4)</f>
        <v>24296.6</v>
      </c>
      <c r="E27" s="87">
        <f t="shared" ref="E27:E64" si="7">C27-D27</f>
        <v>0.81999999999607098</v>
      </c>
      <c r="F27" s="70">
        <f>F26*(1+$B$5)+E27</f>
        <v>270400.82</v>
      </c>
      <c r="G27" s="41">
        <v>63</v>
      </c>
      <c r="H27" s="56">
        <v>0</v>
      </c>
      <c r="I27" s="56">
        <f t="shared" ref="I27:I64" si="8">H27*12</f>
        <v>0</v>
      </c>
      <c r="J27" s="83">
        <f>J26*(1+$B$4)</f>
        <v>24296.6</v>
      </c>
      <c r="K27" s="87">
        <f t="shared" ref="K27:K64" si="9">I27-J27</f>
        <v>-24296.6</v>
      </c>
      <c r="L27" s="83">
        <f>(L26)*(1+$B$5)+K27</f>
        <v>221451.24</v>
      </c>
      <c r="M27" s="41">
        <v>63</v>
      </c>
      <c r="N27" s="56">
        <f t="shared" ref="N27:N64" si="10">F27</f>
        <v>270400.82</v>
      </c>
      <c r="O27" s="70">
        <f t="shared" ref="O27:O64" si="11">L27</f>
        <v>221451.24</v>
      </c>
    </row>
    <row r="28" spans="1:15">
      <c r="A28" s="41">
        <v>64</v>
      </c>
      <c r="B28" s="56">
        <f t="shared" ref="B28:B64" si="12">B27*(1+$B$4)</f>
        <v>2075.4046249999992</v>
      </c>
      <c r="C28" s="56">
        <f t="shared" si="6"/>
        <v>24904.855499999991</v>
      </c>
      <c r="D28" s="36">
        <f t="shared" ref="D28:D64" si="13">D27*(1+$B$4)</f>
        <v>24904.014999999996</v>
      </c>
      <c r="E28" s="87">
        <f t="shared" si="7"/>
        <v>0.84049999999479041</v>
      </c>
      <c r="F28" s="70">
        <f t="shared" ref="F28:F64" si="14">F27*(1+$B$5)+E28</f>
        <v>281217.69329999998</v>
      </c>
      <c r="G28" s="41">
        <v>64</v>
      </c>
      <c r="H28" s="56">
        <v>0</v>
      </c>
      <c r="I28" s="56">
        <f t="shared" si="8"/>
        <v>0</v>
      </c>
      <c r="J28" s="83">
        <f t="shared" ref="J28:J64" si="15">J27*(1+$B$4)</f>
        <v>24904.014999999996</v>
      </c>
      <c r="K28" s="87">
        <f t="shared" si="9"/>
        <v>-24904.014999999996</v>
      </c>
      <c r="L28" s="83">
        <f t="shared" ref="L28:L64" si="16">(L27)*(1+$B$5)+K28</f>
        <v>205405.2746</v>
      </c>
      <c r="M28" s="41">
        <v>64</v>
      </c>
      <c r="N28" s="56">
        <f t="shared" si="10"/>
        <v>281217.69329999998</v>
      </c>
      <c r="O28" s="70">
        <f t="shared" si="11"/>
        <v>205405.2746</v>
      </c>
    </row>
    <row r="29" spans="1:15">
      <c r="A29" s="41">
        <v>65</v>
      </c>
      <c r="B29" s="56">
        <f t="shared" si="12"/>
        <v>2127.289740624999</v>
      </c>
      <c r="C29" s="56">
        <f t="shared" si="6"/>
        <v>25527.476887499986</v>
      </c>
      <c r="D29" s="36">
        <f t="shared" si="13"/>
        <v>25526.615374999994</v>
      </c>
      <c r="E29" s="87">
        <f t="shared" si="7"/>
        <v>0.86151249999238644</v>
      </c>
      <c r="F29" s="70">
        <f t="shared" si="14"/>
        <v>292467.26254449994</v>
      </c>
      <c r="G29" s="41">
        <v>65</v>
      </c>
      <c r="H29" s="56">
        <v>0</v>
      </c>
      <c r="I29" s="56">
        <f t="shared" si="8"/>
        <v>0</v>
      </c>
      <c r="J29" s="83">
        <f t="shared" si="15"/>
        <v>25526.615374999994</v>
      </c>
      <c r="K29" s="87">
        <f t="shared" si="9"/>
        <v>-25526.615374999994</v>
      </c>
      <c r="L29" s="83">
        <f t="shared" si="16"/>
        <v>188094.87020900002</v>
      </c>
      <c r="M29" s="41">
        <v>65</v>
      </c>
      <c r="N29" s="56">
        <f t="shared" si="10"/>
        <v>292467.26254449994</v>
      </c>
      <c r="O29" s="70">
        <f t="shared" si="11"/>
        <v>188094.87020900002</v>
      </c>
    </row>
    <row r="30" spans="1:15">
      <c r="A30" s="41">
        <v>66</v>
      </c>
      <c r="B30" s="56">
        <f t="shared" si="12"/>
        <v>2180.4719841406236</v>
      </c>
      <c r="C30" s="56">
        <f t="shared" si="6"/>
        <v>26165.663809687481</v>
      </c>
      <c r="D30" s="36">
        <f t="shared" si="13"/>
        <v>26164.780759374993</v>
      </c>
      <c r="E30" s="87">
        <f t="shared" si="7"/>
        <v>0.88305031248819432</v>
      </c>
      <c r="F30" s="70">
        <f t="shared" si="14"/>
        <v>304166.83609659242</v>
      </c>
      <c r="G30" s="41">
        <v>66</v>
      </c>
      <c r="H30" s="56">
        <v>0</v>
      </c>
      <c r="I30" s="56">
        <f t="shared" si="8"/>
        <v>0</v>
      </c>
      <c r="J30" s="83">
        <f t="shared" si="15"/>
        <v>26164.780759374993</v>
      </c>
      <c r="K30" s="87">
        <f t="shared" si="9"/>
        <v>-26164.780759374993</v>
      </c>
      <c r="L30" s="83">
        <f t="shared" si="16"/>
        <v>169453.88425798505</v>
      </c>
      <c r="M30" s="41">
        <v>66</v>
      </c>
      <c r="N30" s="56">
        <f t="shared" si="10"/>
        <v>304166.83609659242</v>
      </c>
      <c r="O30" s="70">
        <f t="shared" si="11"/>
        <v>169453.88425798505</v>
      </c>
    </row>
    <row r="31" spans="1:15">
      <c r="A31" s="41">
        <v>67</v>
      </c>
      <c r="B31" s="56">
        <f t="shared" si="12"/>
        <v>2234.9837837441391</v>
      </c>
      <c r="C31" s="56">
        <f t="shared" si="6"/>
        <v>26819.80540492967</v>
      </c>
      <c r="D31" s="36">
        <f t="shared" si="13"/>
        <v>26818.900278359364</v>
      </c>
      <c r="E31" s="87">
        <f t="shared" si="7"/>
        <v>0.9051265703055833</v>
      </c>
      <c r="F31" s="70">
        <f t="shared" si="14"/>
        <v>316334.41466702643</v>
      </c>
      <c r="G31" s="41">
        <v>67</v>
      </c>
      <c r="H31" s="56">
        <v>0</v>
      </c>
      <c r="I31" s="56">
        <f t="shared" si="8"/>
        <v>0</v>
      </c>
      <c r="J31" s="83">
        <f t="shared" si="15"/>
        <v>26818.900278359364</v>
      </c>
      <c r="K31" s="87">
        <f t="shared" si="9"/>
        <v>-26818.900278359364</v>
      </c>
      <c r="L31" s="83">
        <f t="shared" si="16"/>
        <v>149413.13934994509</v>
      </c>
      <c r="M31" s="41">
        <v>67</v>
      </c>
      <c r="N31" s="56">
        <f t="shared" si="10"/>
        <v>316334.41466702643</v>
      </c>
      <c r="O31" s="70">
        <f t="shared" si="11"/>
        <v>149413.13934994509</v>
      </c>
    </row>
    <row r="32" spans="1:15">
      <c r="A32" s="41">
        <v>68</v>
      </c>
      <c r="B32" s="56">
        <f t="shared" si="12"/>
        <v>2290.8583783377426</v>
      </c>
      <c r="C32" s="56">
        <f t="shared" si="6"/>
        <v>27490.300540052911</v>
      </c>
      <c r="D32" s="36">
        <f t="shared" si="13"/>
        <v>27489.372785318345</v>
      </c>
      <c r="E32" s="87">
        <f t="shared" si="7"/>
        <v>0.92775473456640611</v>
      </c>
      <c r="F32" s="70">
        <f t="shared" si="14"/>
        <v>328988.71900844207</v>
      </c>
      <c r="G32" s="41">
        <v>68</v>
      </c>
      <c r="H32" s="56">
        <v>0</v>
      </c>
      <c r="I32" s="56">
        <f t="shared" si="8"/>
        <v>0</v>
      </c>
      <c r="J32" s="83">
        <f t="shared" si="15"/>
        <v>27489.372785318345</v>
      </c>
      <c r="K32" s="87">
        <f t="shared" si="9"/>
        <v>-27489.372785318345</v>
      </c>
      <c r="L32" s="83">
        <f t="shared" si="16"/>
        <v>127900.29213862456</v>
      </c>
      <c r="M32" s="41">
        <v>68</v>
      </c>
      <c r="N32" s="56">
        <f t="shared" si="10"/>
        <v>328988.71900844207</v>
      </c>
      <c r="O32" s="70">
        <f t="shared" si="11"/>
        <v>127900.29213862456</v>
      </c>
    </row>
    <row r="33" spans="1:15">
      <c r="A33" s="41">
        <v>69</v>
      </c>
      <c r="B33" s="56">
        <f t="shared" si="12"/>
        <v>2348.1298377961862</v>
      </c>
      <c r="C33" s="56">
        <f t="shared" si="6"/>
        <v>28177.558053554232</v>
      </c>
      <c r="D33" s="36">
        <f t="shared" si="13"/>
        <v>28176.607104951301</v>
      </c>
      <c r="E33" s="87">
        <f t="shared" si="7"/>
        <v>0.95094860293102101</v>
      </c>
      <c r="F33" s="70">
        <f t="shared" si="14"/>
        <v>342149.2187173827</v>
      </c>
      <c r="G33" s="41">
        <v>69</v>
      </c>
      <c r="H33" s="56">
        <v>0</v>
      </c>
      <c r="I33" s="56">
        <f t="shared" si="8"/>
        <v>0</v>
      </c>
      <c r="J33" s="83">
        <f t="shared" si="15"/>
        <v>28176.607104951301</v>
      </c>
      <c r="K33" s="87">
        <f t="shared" si="9"/>
        <v>-28176.607104951301</v>
      </c>
      <c r="L33" s="83">
        <f t="shared" si="16"/>
        <v>104839.69671921823</v>
      </c>
      <c r="M33" s="41">
        <v>69</v>
      </c>
      <c r="N33" s="56">
        <f t="shared" si="10"/>
        <v>342149.2187173827</v>
      </c>
      <c r="O33" s="70">
        <f t="shared" si="11"/>
        <v>104839.69671921823</v>
      </c>
    </row>
    <row r="34" spans="1:15">
      <c r="A34" s="41">
        <v>70</v>
      </c>
      <c r="B34" s="56">
        <f t="shared" si="12"/>
        <v>2406.8330837410908</v>
      </c>
      <c r="C34" s="56">
        <f t="shared" si="6"/>
        <v>28881.997004893092</v>
      </c>
      <c r="D34" s="36">
        <f t="shared" si="13"/>
        <v>28881.022282575082</v>
      </c>
      <c r="E34" s="87">
        <f t="shared" si="7"/>
        <v>0.97472231800929876</v>
      </c>
      <c r="F34" s="70">
        <f t="shared" si="14"/>
        <v>355836.16218839603</v>
      </c>
      <c r="G34" s="41">
        <v>70</v>
      </c>
      <c r="H34" s="56">
        <f>B21*(1+B4)^(70-62)</f>
        <v>4263.5328911985052</v>
      </c>
      <c r="I34" s="56">
        <f t="shared" si="8"/>
        <v>51162.394694382063</v>
      </c>
      <c r="J34" s="83">
        <f t="shared" si="15"/>
        <v>28881.022282575082</v>
      </c>
      <c r="K34" s="87">
        <f t="shared" si="9"/>
        <v>22281.37241180698</v>
      </c>
      <c r="L34" s="83">
        <f t="shared" si="16"/>
        <v>131314.65699979395</v>
      </c>
      <c r="M34" s="41">
        <v>70</v>
      </c>
      <c r="N34" s="56">
        <f t="shared" si="10"/>
        <v>355836.16218839603</v>
      </c>
      <c r="O34" s="70">
        <f t="shared" si="11"/>
        <v>131314.65699979395</v>
      </c>
    </row>
    <row r="35" spans="1:15">
      <c r="A35" s="41">
        <v>71</v>
      </c>
      <c r="B35" s="56">
        <f t="shared" si="12"/>
        <v>2467.0039108346177</v>
      </c>
      <c r="C35" s="56">
        <f t="shared" si="6"/>
        <v>29604.046930015415</v>
      </c>
      <c r="D35" s="36">
        <f t="shared" si="13"/>
        <v>29603.047839639457</v>
      </c>
      <c r="E35" s="87">
        <f t="shared" si="7"/>
        <v>0.99909037595716654</v>
      </c>
      <c r="F35" s="70">
        <f t="shared" si="14"/>
        <v>370070.60776630783</v>
      </c>
      <c r="G35" s="41">
        <v>71</v>
      </c>
      <c r="H35" s="56">
        <f t="shared" ref="H35:H64" si="17">H34*(1+$B$4)</f>
        <v>4370.1212134784673</v>
      </c>
      <c r="I35" s="56">
        <f t="shared" si="8"/>
        <v>52441.454561741608</v>
      </c>
      <c r="J35" s="83">
        <f t="shared" si="15"/>
        <v>29603.047839639457</v>
      </c>
      <c r="K35" s="87">
        <f t="shared" si="9"/>
        <v>22838.406722102151</v>
      </c>
      <c r="L35" s="83">
        <f t="shared" si="16"/>
        <v>159405.65000188784</v>
      </c>
      <c r="M35" s="41">
        <v>71</v>
      </c>
      <c r="N35" s="56">
        <f t="shared" si="10"/>
        <v>370070.60776630783</v>
      </c>
      <c r="O35" s="70">
        <f t="shared" si="11"/>
        <v>159405.65000188784</v>
      </c>
    </row>
    <row r="36" spans="1:15">
      <c r="A36" s="41">
        <v>72</v>
      </c>
      <c r="B36" s="56">
        <f t="shared" si="12"/>
        <v>2528.679008605483</v>
      </c>
      <c r="C36" s="56">
        <f t="shared" si="6"/>
        <v>30344.148103265798</v>
      </c>
      <c r="D36" s="36">
        <f t="shared" si="13"/>
        <v>30343.124035630441</v>
      </c>
      <c r="E36" s="87">
        <f t="shared" si="7"/>
        <v>1.0240676353569143</v>
      </c>
      <c r="F36" s="70">
        <f t="shared" si="14"/>
        <v>384874.45614459552</v>
      </c>
      <c r="G36" s="41">
        <v>72</v>
      </c>
      <c r="H36" s="56">
        <f t="shared" si="17"/>
        <v>4479.3742438154286</v>
      </c>
      <c r="I36" s="56">
        <f t="shared" si="8"/>
        <v>53752.49092578514</v>
      </c>
      <c r="J36" s="83">
        <f t="shared" si="15"/>
        <v>30343.124035630441</v>
      </c>
      <c r="K36" s="87">
        <f t="shared" si="9"/>
        <v>23409.366890154699</v>
      </c>
      <c r="L36" s="83">
        <f t="shared" si="16"/>
        <v>189191.24289211805</v>
      </c>
      <c r="M36" s="41">
        <v>72</v>
      </c>
      <c r="N36" s="56">
        <f t="shared" si="10"/>
        <v>384874.45614459552</v>
      </c>
      <c r="O36" s="70">
        <f t="shared" si="11"/>
        <v>189191.24289211805</v>
      </c>
    </row>
    <row r="37" spans="1:15">
      <c r="A37" s="41">
        <v>73</v>
      </c>
      <c r="B37" s="56">
        <f t="shared" si="12"/>
        <v>2591.8959838206197</v>
      </c>
      <c r="C37" s="56">
        <f t="shared" si="6"/>
        <v>31102.751805847438</v>
      </c>
      <c r="D37" s="36">
        <f t="shared" si="13"/>
        <v>31101.702136521199</v>
      </c>
      <c r="E37" s="87">
        <f t="shared" si="7"/>
        <v>1.0496693262393819</v>
      </c>
      <c r="F37" s="70">
        <f t="shared" si="14"/>
        <v>400270.48405970557</v>
      </c>
      <c r="G37" s="41">
        <v>73</v>
      </c>
      <c r="H37" s="56">
        <f t="shared" si="17"/>
        <v>4591.3585999108136</v>
      </c>
      <c r="I37" s="56">
        <f t="shared" si="8"/>
        <v>55096.30319892976</v>
      </c>
      <c r="J37" s="83">
        <f t="shared" si="15"/>
        <v>31101.702136521199</v>
      </c>
      <c r="K37" s="87">
        <f t="shared" si="9"/>
        <v>23994.601062408561</v>
      </c>
      <c r="L37" s="83">
        <f t="shared" si="16"/>
        <v>220753.49367021135</v>
      </c>
      <c r="M37" s="41">
        <v>73</v>
      </c>
      <c r="N37" s="56">
        <f t="shared" si="10"/>
        <v>400270.48405970557</v>
      </c>
      <c r="O37" s="70">
        <f t="shared" si="11"/>
        <v>220753.49367021135</v>
      </c>
    </row>
    <row r="38" spans="1:15">
      <c r="A38" s="41">
        <v>74</v>
      </c>
      <c r="B38" s="56">
        <f t="shared" si="12"/>
        <v>2656.693383416135</v>
      </c>
      <c r="C38" s="56">
        <f t="shared" si="6"/>
        <v>31880.320600993618</v>
      </c>
      <c r="D38" s="36">
        <f t="shared" si="13"/>
        <v>31879.244689934225</v>
      </c>
      <c r="E38" s="87">
        <f t="shared" si="7"/>
        <v>1.0759110593935475</v>
      </c>
      <c r="F38" s="70">
        <f t="shared" si="14"/>
        <v>416282.37933315319</v>
      </c>
      <c r="G38" s="41">
        <v>74</v>
      </c>
      <c r="H38" s="56">
        <f t="shared" si="17"/>
        <v>4706.1425649085832</v>
      </c>
      <c r="I38" s="56">
        <f t="shared" si="8"/>
        <v>56473.710778902998</v>
      </c>
      <c r="J38" s="83">
        <f t="shared" si="15"/>
        <v>31879.244689934225</v>
      </c>
      <c r="K38" s="87">
        <f t="shared" si="9"/>
        <v>24594.466088968773</v>
      </c>
      <c r="L38" s="83">
        <f t="shared" si="16"/>
        <v>254178.09950598859</v>
      </c>
      <c r="M38" s="41">
        <v>74</v>
      </c>
      <c r="N38" s="56">
        <f t="shared" si="10"/>
        <v>416282.37933315319</v>
      </c>
      <c r="O38" s="70">
        <f t="shared" si="11"/>
        <v>254178.09950598859</v>
      </c>
    </row>
    <row r="39" spans="1:15">
      <c r="A39" s="41">
        <v>75</v>
      </c>
      <c r="B39" s="56">
        <f t="shared" si="12"/>
        <v>2723.1107180015383</v>
      </c>
      <c r="C39" s="56">
        <f t="shared" si="6"/>
        <v>32677.328616018458</v>
      </c>
      <c r="D39" s="36">
        <f t="shared" si="13"/>
        <v>32676.225807182578</v>
      </c>
      <c r="E39" s="87">
        <f t="shared" si="7"/>
        <v>1.1028088358798414</v>
      </c>
      <c r="F39" s="70">
        <f t="shared" si="14"/>
        <v>432934.77731531521</v>
      </c>
      <c r="G39" s="41">
        <v>75</v>
      </c>
      <c r="H39" s="56">
        <f t="shared" si="17"/>
        <v>4823.7961290312969</v>
      </c>
      <c r="I39" s="56">
        <f t="shared" si="8"/>
        <v>57885.553548375567</v>
      </c>
      <c r="J39" s="83">
        <f t="shared" si="15"/>
        <v>32676.225807182578</v>
      </c>
      <c r="K39" s="87">
        <f t="shared" si="9"/>
        <v>25209.327741192988</v>
      </c>
      <c r="L39" s="83">
        <f t="shared" si="16"/>
        <v>289554.55122742115</v>
      </c>
      <c r="M39" s="41">
        <v>75</v>
      </c>
      <c r="N39" s="56">
        <f t="shared" si="10"/>
        <v>432934.77731531521</v>
      </c>
      <c r="O39" s="70">
        <f t="shared" si="11"/>
        <v>289554.55122742115</v>
      </c>
    </row>
    <row r="40" spans="1:15">
      <c r="A40" s="41">
        <v>76</v>
      </c>
      <c r="B40" s="56">
        <f t="shared" si="12"/>
        <v>2791.1884859515767</v>
      </c>
      <c r="C40" s="56">
        <f t="shared" si="6"/>
        <v>33494.261831418917</v>
      </c>
      <c r="D40" s="36">
        <f t="shared" si="13"/>
        <v>33493.13145236214</v>
      </c>
      <c r="E40" s="87">
        <f t="shared" si="7"/>
        <v>1.1303790567762917</v>
      </c>
      <c r="F40" s="70">
        <f t="shared" si="14"/>
        <v>450253.29878698464</v>
      </c>
      <c r="G40" s="41">
        <v>76</v>
      </c>
      <c r="H40" s="56">
        <f t="shared" si="17"/>
        <v>4944.3910322570791</v>
      </c>
      <c r="I40" s="56">
        <f t="shared" si="8"/>
        <v>59332.69238708495</v>
      </c>
      <c r="J40" s="83">
        <f t="shared" si="15"/>
        <v>33493.13145236214</v>
      </c>
      <c r="K40" s="87">
        <f t="shared" si="9"/>
        <v>25839.560934722809</v>
      </c>
      <c r="L40" s="83">
        <f t="shared" si="16"/>
        <v>326976.29421124083</v>
      </c>
      <c r="M40" s="41">
        <v>76</v>
      </c>
      <c r="N40" s="56">
        <f t="shared" si="10"/>
        <v>450253.29878698464</v>
      </c>
      <c r="O40" s="70">
        <f t="shared" si="11"/>
        <v>326976.29421124083</v>
      </c>
    </row>
    <row r="41" spans="1:15">
      <c r="A41" s="41">
        <v>77</v>
      </c>
      <c r="B41" s="56">
        <f t="shared" si="12"/>
        <v>2860.968198100366</v>
      </c>
      <c r="C41" s="56">
        <f t="shared" si="6"/>
        <v>34331.618377204388</v>
      </c>
      <c r="D41" s="36">
        <f t="shared" si="13"/>
        <v>34330.45973867119</v>
      </c>
      <c r="E41" s="87">
        <f t="shared" si="7"/>
        <v>1.158638533197518</v>
      </c>
      <c r="F41" s="70">
        <f t="shared" si="14"/>
        <v>468264.58937699726</v>
      </c>
      <c r="G41" s="41">
        <v>77</v>
      </c>
      <c r="H41" s="56">
        <f t="shared" si="17"/>
        <v>5068.0008080635052</v>
      </c>
      <c r="I41" s="56">
        <f t="shared" si="8"/>
        <v>60816.009696762063</v>
      </c>
      <c r="J41" s="83">
        <f t="shared" si="15"/>
        <v>34330.45973867119</v>
      </c>
      <c r="K41" s="87">
        <f t="shared" si="9"/>
        <v>26485.549958090873</v>
      </c>
      <c r="L41" s="83">
        <f t="shared" si="16"/>
        <v>366540.89593778137</v>
      </c>
      <c r="M41" s="41">
        <v>77</v>
      </c>
      <c r="N41" s="56">
        <f t="shared" si="10"/>
        <v>468264.58937699726</v>
      </c>
      <c r="O41" s="70">
        <f t="shared" si="11"/>
        <v>366540.89593778137</v>
      </c>
    </row>
    <row r="42" spans="1:15">
      <c r="A42" s="41">
        <v>78</v>
      </c>
      <c r="B42" s="56">
        <f t="shared" si="12"/>
        <v>2932.492403052875</v>
      </c>
      <c r="C42" s="56">
        <f t="shared" si="6"/>
        <v>35189.908836634502</v>
      </c>
      <c r="D42" s="36">
        <f t="shared" si="13"/>
        <v>35188.72123213797</v>
      </c>
      <c r="E42" s="87">
        <f t="shared" si="7"/>
        <v>1.1876044965320034</v>
      </c>
      <c r="F42" s="70">
        <f t="shared" si="14"/>
        <v>486996.36055657372</v>
      </c>
      <c r="G42" s="41">
        <v>78</v>
      </c>
      <c r="H42" s="56">
        <f t="shared" si="17"/>
        <v>5194.7008282650922</v>
      </c>
      <c r="I42" s="56">
        <f t="shared" si="8"/>
        <v>62336.409939181103</v>
      </c>
      <c r="J42" s="83">
        <f t="shared" si="15"/>
        <v>35188.72123213797</v>
      </c>
      <c r="K42" s="87">
        <f t="shared" si="9"/>
        <v>27147.688707043133</v>
      </c>
      <c r="L42" s="83">
        <f t="shared" si="16"/>
        <v>408350.22048233578</v>
      </c>
      <c r="M42" s="41">
        <v>78</v>
      </c>
      <c r="N42" s="56">
        <f t="shared" si="10"/>
        <v>486996.36055657372</v>
      </c>
      <c r="O42" s="70">
        <f t="shared" si="11"/>
        <v>408350.22048233578</v>
      </c>
    </row>
    <row r="43" spans="1:15">
      <c r="A43" s="41">
        <v>79</v>
      </c>
      <c r="B43" s="56">
        <f t="shared" si="12"/>
        <v>3005.8047131291964</v>
      </c>
      <c r="C43" s="56">
        <f t="shared" si="6"/>
        <v>36069.656557550356</v>
      </c>
      <c r="D43" s="36">
        <f t="shared" si="13"/>
        <v>36068.439262941414</v>
      </c>
      <c r="E43" s="87">
        <f t="shared" si="7"/>
        <v>1.2172946089413017</v>
      </c>
      <c r="F43" s="70">
        <f t="shared" si="14"/>
        <v>506477.43227344565</v>
      </c>
      <c r="G43" s="41">
        <v>79</v>
      </c>
      <c r="H43" s="56">
        <f t="shared" si="17"/>
        <v>5324.5683489717194</v>
      </c>
      <c r="I43" s="56">
        <f t="shared" si="8"/>
        <v>63894.820187660633</v>
      </c>
      <c r="J43" s="83">
        <f t="shared" si="15"/>
        <v>36068.439262941414</v>
      </c>
      <c r="K43" s="87">
        <f t="shared" si="9"/>
        <v>27826.380924719218</v>
      </c>
      <c r="L43" s="83">
        <f t="shared" si="16"/>
        <v>452510.61022634845</v>
      </c>
      <c r="M43" s="41">
        <v>79</v>
      </c>
      <c r="N43" s="56">
        <f t="shared" si="10"/>
        <v>506477.43227344565</v>
      </c>
      <c r="O43" s="70">
        <f t="shared" si="11"/>
        <v>452510.61022634845</v>
      </c>
    </row>
    <row r="44" spans="1:15">
      <c r="A44" s="41">
        <v>80</v>
      </c>
      <c r="B44" s="56">
        <f t="shared" si="12"/>
        <v>3080.949830957426</v>
      </c>
      <c r="C44" s="56">
        <f t="shared" si="6"/>
        <v>36971.39797148911</v>
      </c>
      <c r="D44" s="36">
        <f t="shared" si="13"/>
        <v>36970.150244514945</v>
      </c>
      <c r="E44" s="87">
        <f t="shared" si="7"/>
        <v>1.2477269741648342</v>
      </c>
      <c r="F44" s="70">
        <f t="shared" si="14"/>
        <v>526737.77729135763</v>
      </c>
      <c r="G44" s="41">
        <v>80</v>
      </c>
      <c r="H44" s="56">
        <f t="shared" si="17"/>
        <v>5457.6825576960118</v>
      </c>
      <c r="I44" s="56">
        <f t="shared" si="8"/>
        <v>65492.190692352146</v>
      </c>
      <c r="J44" s="83">
        <f t="shared" si="15"/>
        <v>36970.150244514945</v>
      </c>
      <c r="K44" s="87">
        <f t="shared" si="9"/>
        <v>28522.0404478372</v>
      </c>
      <c r="L44" s="83">
        <f t="shared" si="16"/>
        <v>499133.07508323959</v>
      </c>
      <c r="M44" s="41">
        <v>80</v>
      </c>
      <c r="N44" s="56">
        <f t="shared" si="10"/>
        <v>526737.77729135763</v>
      </c>
      <c r="O44" s="70">
        <f t="shared" si="11"/>
        <v>499133.07508323959</v>
      </c>
    </row>
    <row r="45" spans="1:15">
      <c r="A45" s="41">
        <v>81</v>
      </c>
      <c r="B45" s="56">
        <f t="shared" si="12"/>
        <v>3157.9735767313614</v>
      </c>
      <c r="C45" s="56">
        <f t="shared" si="6"/>
        <v>37895.682920776337</v>
      </c>
      <c r="D45" s="36">
        <f t="shared" si="13"/>
        <v>37894.404000627816</v>
      </c>
      <c r="E45" s="87">
        <f t="shared" si="7"/>
        <v>1.2789201485211379</v>
      </c>
      <c r="F45" s="70">
        <f t="shared" si="14"/>
        <v>547808.56730316044</v>
      </c>
      <c r="G45" s="41">
        <v>81</v>
      </c>
      <c r="H45" s="56">
        <f t="shared" si="17"/>
        <v>5594.1246216384116</v>
      </c>
      <c r="I45" s="56">
        <f t="shared" si="8"/>
        <v>67129.495459660946</v>
      </c>
      <c r="J45" s="83">
        <f t="shared" si="15"/>
        <v>37894.404000627816</v>
      </c>
      <c r="K45" s="87">
        <f t="shared" si="9"/>
        <v>29235.09145903313</v>
      </c>
      <c r="L45" s="83">
        <f t="shared" si="16"/>
        <v>548333.48954560235</v>
      </c>
      <c r="M45" s="41">
        <v>81</v>
      </c>
      <c r="N45" s="56">
        <f t="shared" si="10"/>
        <v>547808.56730316044</v>
      </c>
      <c r="O45" s="70">
        <f t="shared" si="11"/>
        <v>548333.48954560235</v>
      </c>
    </row>
    <row r="46" spans="1:15">
      <c r="A46" s="41">
        <v>82</v>
      </c>
      <c r="B46" s="56">
        <f t="shared" si="12"/>
        <v>3236.9229161496451</v>
      </c>
      <c r="C46" s="56">
        <f t="shared" si="6"/>
        <v>38843.074993795744</v>
      </c>
      <c r="D46" s="36">
        <f t="shared" si="13"/>
        <v>38841.764100643508</v>
      </c>
      <c r="E46" s="87">
        <f t="shared" si="7"/>
        <v>1.310893152236531</v>
      </c>
      <c r="F46" s="70">
        <f t="shared" si="14"/>
        <v>569722.2208884391</v>
      </c>
      <c r="G46" s="41">
        <v>82</v>
      </c>
      <c r="H46" s="56">
        <f t="shared" si="17"/>
        <v>5733.9777371793716</v>
      </c>
      <c r="I46" s="56">
        <f t="shared" si="8"/>
        <v>68807.732846152459</v>
      </c>
      <c r="J46" s="83">
        <f t="shared" si="15"/>
        <v>38841.764100643508</v>
      </c>
      <c r="K46" s="87">
        <f t="shared" si="9"/>
        <v>29965.968745508952</v>
      </c>
      <c r="L46" s="83">
        <f t="shared" si="16"/>
        <v>600232.79787293542</v>
      </c>
      <c r="M46" s="41">
        <v>82</v>
      </c>
      <c r="N46" s="56">
        <f t="shared" si="10"/>
        <v>569722.2208884391</v>
      </c>
      <c r="O46" s="70">
        <f t="shared" si="11"/>
        <v>600232.79787293542</v>
      </c>
    </row>
    <row r="47" spans="1:15">
      <c r="A47" s="41">
        <v>83</v>
      </c>
      <c r="B47" s="56">
        <f t="shared" si="12"/>
        <v>3317.8459890533859</v>
      </c>
      <c r="C47" s="56">
        <f t="shared" si="6"/>
        <v>39814.151868640634</v>
      </c>
      <c r="D47" s="36">
        <f t="shared" si="13"/>
        <v>39812.808203159591</v>
      </c>
      <c r="E47" s="87">
        <f t="shared" si="7"/>
        <v>1.34366548104299</v>
      </c>
      <c r="F47" s="70">
        <f t="shared" si="14"/>
        <v>592512.45338945778</v>
      </c>
      <c r="G47" s="41">
        <v>83</v>
      </c>
      <c r="H47" s="56">
        <f t="shared" si="17"/>
        <v>5877.3271806088551</v>
      </c>
      <c r="I47" s="56">
        <f t="shared" si="8"/>
        <v>70527.926167306257</v>
      </c>
      <c r="J47" s="83">
        <f t="shared" si="15"/>
        <v>39812.808203159591</v>
      </c>
      <c r="K47" s="87">
        <f t="shared" si="9"/>
        <v>30715.117964146666</v>
      </c>
      <c r="L47" s="83">
        <f t="shared" si="16"/>
        <v>654957.22775199951</v>
      </c>
      <c r="M47" s="41">
        <v>83</v>
      </c>
      <c r="N47" s="56">
        <f t="shared" si="10"/>
        <v>592512.45338945778</v>
      </c>
      <c r="O47" s="70">
        <f t="shared" si="11"/>
        <v>654957.22775199951</v>
      </c>
    </row>
    <row r="48" spans="1:15">
      <c r="A48" s="41">
        <v>84</v>
      </c>
      <c r="B48" s="56">
        <f t="shared" si="12"/>
        <v>3400.7921387797201</v>
      </c>
      <c r="C48" s="56">
        <f t="shared" si="6"/>
        <v>40809.505665356643</v>
      </c>
      <c r="D48" s="36">
        <f t="shared" si="13"/>
        <v>40808.128408238576</v>
      </c>
      <c r="E48" s="87">
        <f t="shared" si="7"/>
        <v>1.3772571180670639</v>
      </c>
      <c r="F48" s="70">
        <f t="shared" si="14"/>
        <v>616214.32878215425</v>
      </c>
      <c r="G48" s="41">
        <v>84</v>
      </c>
      <c r="H48" s="56">
        <f t="shared" si="17"/>
        <v>6024.2603601240762</v>
      </c>
      <c r="I48" s="56">
        <f t="shared" si="8"/>
        <v>72291.124321488911</v>
      </c>
      <c r="J48" s="83">
        <f t="shared" si="15"/>
        <v>40808.128408238576</v>
      </c>
      <c r="K48" s="87">
        <f t="shared" si="9"/>
        <v>31482.995913250335</v>
      </c>
      <c r="L48" s="83">
        <f t="shared" si="16"/>
        <v>712638.51277532987</v>
      </c>
      <c r="M48" s="41">
        <v>84</v>
      </c>
      <c r="N48" s="56">
        <f t="shared" si="10"/>
        <v>616214.32878215425</v>
      </c>
      <c r="O48" s="70">
        <f t="shared" si="11"/>
        <v>712638.51277532987</v>
      </c>
    </row>
    <row r="49" spans="1:15">
      <c r="A49" s="41">
        <v>85</v>
      </c>
      <c r="B49" s="56">
        <f t="shared" si="12"/>
        <v>3485.8119422492127</v>
      </c>
      <c r="C49" s="56">
        <f t="shared" si="6"/>
        <v>41829.743306990553</v>
      </c>
      <c r="D49" s="36">
        <f t="shared" si="13"/>
        <v>41828.331618444536</v>
      </c>
      <c r="E49" s="87">
        <f t="shared" si="7"/>
        <v>1.4116885460171034</v>
      </c>
      <c r="F49" s="70">
        <f t="shared" si="14"/>
        <v>640864.31362198654</v>
      </c>
      <c r="G49" s="41">
        <v>85</v>
      </c>
      <c r="H49" s="56">
        <f t="shared" si="17"/>
        <v>6174.8668691271778</v>
      </c>
      <c r="I49" s="56">
        <f t="shared" si="8"/>
        <v>74098.402429526133</v>
      </c>
      <c r="J49" s="83">
        <f t="shared" si="15"/>
        <v>41828.331618444536</v>
      </c>
      <c r="K49" s="87">
        <f t="shared" si="9"/>
        <v>32270.070811081598</v>
      </c>
      <c r="L49" s="83">
        <f t="shared" si="16"/>
        <v>773414.12409742468</v>
      </c>
      <c r="M49" s="41">
        <v>85</v>
      </c>
      <c r="N49" s="56">
        <f t="shared" si="10"/>
        <v>640864.31362198654</v>
      </c>
      <c r="O49" s="70">
        <f t="shared" si="11"/>
        <v>773414.12409742468</v>
      </c>
    </row>
    <row r="50" spans="1:15">
      <c r="A50" s="41">
        <v>86</v>
      </c>
      <c r="B50" s="56">
        <f t="shared" si="12"/>
        <v>3572.9572408054428</v>
      </c>
      <c r="C50" s="56">
        <f t="shared" si="6"/>
        <v>42875.486889665313</v>
      </c>
      <c r="D50" s="36">
        <f t="shared" si="13"/>
        <v>42874.039908905645</v>
      </c>
      <c r="E50" s="87">
        <f t="shared" si="7"/>
        <v>1.4469807596688042</v>
      </c>
      <c r="F50" s="70">
        <f t="shared" si="14"/>
        <v>666500.33314762567</v>
      </c>
      <c r="G50" s="41">
        <v>86</v>
      </c>
      <c r="H50" s="56">
        <f t="shared" si="17"/>
        <v>6329.2385408553564</v>
      </c>
      <c r="I50" s="56">
        <f t="shared" si="8"/>
        <v>75950.862490264277</v>
      </c>
      <c r="J50" s="83">
        <f t="shared" si="15"/>
        <v>42874.039908905645</v>
      </c>
      <c r="K50" s="87">
        <f t="shared" si="9"/>
        <v>33076.822581358632</v>
      </c>
      <c r="L50" s="83">
        <f t="shared" si="16"/>
        <v>837427.51164268027</v>
      </c>
      <c r="M50" s="41">
        <v>86</v>
      </c>
      <c r="N50" s="56">
        <f t="shared" si="10"/>
        <v>666500.33314762567</v>
      </c>
      <c r="O50" s="70">
        <f t="shared" si="11"/>
        <v>837427.51164268027</v>
      </c>
    </row>
    <row r="51" spans="1:15">
      <c r="A51" s="41">
        <v>87</v>
      </c>
      <c r="B51" s="56">
        <f t="shared" si="12"/>
        <v>3662.2811718255784</v>
      </c>
      <c r="C51" s="56">
        <f t="shared" si="6"/>
        <v>43947.374061906943</v>
      </c>
      <c r="D51" s="36">
        <f t="shared" si="13"/>
        <v>43945.890906628279</v>
      </c>
      <c r="E51" s="87">
        <f t="shared" si="7"/>
        <v>1.4831552786636166</v>
      </c>
      <c r="F51" s="70">
        <f t="shared" si="14"/>
        <v>693161.82962880936</v>
      </c>
      <c r="G51" s="41">
        <v>87</v>
      </c>
      <c r="H51" s="56">
        <f t="shared" si="17"/>
        <v>6487.4695043767397</v>
      </c>
      <c r="I51" s="56">
        <f t="shared" si="8"/>
        <v>77849.63405252088</v>
      </c>
      <c r="J51" s="83">
        <f t="shared" si="15"/>
        <v>43945.890906628279</v>
      </c>
      <c r="K51" s="87">
        <f t="shared" si="9"/>
        <v>33903.7431458926</v>
      </c>
      <c r="L51" s="83">
        <f t="shared" si="16"/>
        <v>904828.35525428015</v>
      </c>
      <c r="M51" s="41">
        <v>87</v>
      </c>
      <c r="N51" s="56">
        <f t="shared" si="10"/>
        <v>693161.82962880936</v>
      </c>
      <c r="O51" s="70">
        <f t="shared" si="11"/>
        <v>904828.35525428015</v>
      </c>
    </row>
    <row r="52" spans="1:15">
      <c r="A52" s="41">
        <v>88</v>
      </c>
      <c r="B52" s="56">
        <f t="shared" si="12"/>
        <v>3753.8382011212175</v>
      </c>
      <c r="C52" s="56">
        <f t="shared" si="6"/>
        <v>45046.058413454608</v>
      </c>
      <c r="D52" s="36">
        <f t="shared" si="13"/>
        <v>45044.538179293981</v>
      </c>
      <c r="E52" s="87">
        <f t="shared" si="7"/>
        <v>1.5202341606272967</v>
      </c>
      <c r="F52" s="70">
        <f t="shared" si="14"/>
        <v>720889.82304812234</v>
      </c>
      <c r="G52" s="41">
        <v>88</v>
      </c>
      <c r="H52" s="56">
        <f t="shared" si="17"/>
        <v>6649.6562419861575</v>
      </c>
      <c r="I52" s="56">
        <f t="shared" si="8"/>
        <v>79795.874903833886</v>
      </c>
      <c r="J52" s="83">
        <f t="shared" si="15"/>
        <v>45044.538179293981</v>
      </c>
      <c r="K52" s="87">
        <f t="shared" si="9"/>
        <v>34751.336724539906</v>
      </c>
      <c r="L52" s="83">
        <f t="shared" si="16"/>
        <v>975772.82618899131</v>
      </c>
      <c r="M52" s="41">
        <v>88</v>
      </c>
      <c r="N52" s="56">
        <f t="shared" si="10"/>
        <v>720889.82304812234</v>
      </c>
      <c r="O52" s="70">
        <f t="shared" si="11"/>
        <v>975772.82618899131</v>
      </c>
    </row>
    <row r="53" spans="1:15">
      <c r="A53" s="41">
        <v>89</v>
      </c>
      <c r="B53" s="56">
        <f t="shared" si="12"/>
        <v>3847.6841561492474</v>
      </c>
      <c r="C53" s="56">
        <f t="shared" si="6"/>
        <v>46172.209873790969</v>
      </c>
      <c r="D53" s="36">
        <f t="shared" si="13"/>
        <v>46170.651633776324</v>
      </c>
      <c r="E53" s="87">
        <f t="shared" si="7"/>
        <v>1.55824001464498</v>
      </c>
      <c r="F53" s="70">
        <f t="shared" si="14"/>
        <v>749726.97421006183</v>
      </c>
      <c r="G53" s="41">
        <v>89</v>
      </c>
      <c r="H53" s="56">
        <f t="shared" si="17"/>
        <v>6815.8976480358106</v>
      </c>
      <c r="I53" s="56">
        <f t="shared" si="8"/>
        <v>81790.771776429727</v>
      </c>
      <c r="J53" s="83">
        <f t="shared" si="15"/>
        <v>46170.651633776324</v>
      </c>
      <c r="K53" s="87">
        <f t="shared" si="9"/>
        <v>35620.120142653403</v>
      </c>
      <c r="L53" s="83">
        <f t="shared" si="16"/>
        <v>1050423.8593792045</v>
      </c>
      <c r="M53" s="41">
        <v>89</v>
      </c>
      <c r="N53" s="56">
        <f t="shared" si="10"/>
        <v>749726.97421006183</v>
      </c>
      <c r="O53" s="70">
        <f t="shared" si="11"/>
        <v>1050423.8593792045</v>
      </c>
    </row>
    <row r="54" spans="1:15">
      <c r="A54" s="41">
        <v>90</v>
      </c>
      <c r="B54" s="56">
        <f t="shared" si="12"/>
        <v>3943.8762600529781</v>
      </c>
      <c r="C54" s="56">
        <f t="shared" si="6"/>
        <v>47326.51512063574</v>
      </c>
      <c r="D54" s="36">
        <f t="shared" si="13"/>
        <v>47324.917924620728</v>
      </c>
      <c r="E54" s="87">
        <f t="shared" si="7"/>
        <v>1.5971960150127416</v>
      </c>
      <c r="F54" s="70">
        <f t="shared" si="14"/>
        <v>779717.65037447936</v>
      </c>
      <c r="G54" s="41">
        <v>90</v>
      </c>
      <c r="H54" s="56">
        <f t="shared" si="17"/>
        <v>6986.2950892367053</v>
      </c>
      <c r="I54" s="56">
        <f t="shared" si="8"/>
        <v>83835.541070840467</v>
      </c>
      <c r="J54" s="83">
        <f t="shared" si="15"/>
        <v>47324.917924620728</v>
      </c>
      <c r="K54" s="87">
        <f t="shared" si="9"/>
        <v>36510.623146219739</v>
      </c>
      <c r="L54" s="83">
        <f t="shared" si="16"/>
        <v>1128951.4369005924</v>
      </c>
      <c r="M54" s="41">
        <v>90</v>
      </c>
      <c r="N54" s="56">
        <f t="shared" si="10"/>
        <v>779717.65037447936</v>
      </c>
      <c r="O54" s="70">
        <f t="shared" si="11"/>
        <v>1128951.4369005924</v>
      </c>
    </row>
    <row r="55" spans="1:15">
      <c r="A55" s="41">
        <v>91</v>
      </c>
      <c r="B55" s="56">
        <f t="shared" si="12"/>
        <v>4042.4731665543022</v>
      </c>
      <c r="C55" s="56">
        <f t="shared" si="6"/>
        <v>48509.677998651627</v>
      </c>
      <c r="D55" s="36">
        <f t="shared" si="13"/>
        <v>48508.040872736245</v>
      </c>
      <c r="E55" s="87">
        <f t="shared" si="7"/>
        <v>1.6371259153820574</v>
      </c>
      <c r="F55" s="70">
        <f t="shared" si="14"/>
        <v>810907.99351537391</v>
      </c>
      <c r="G55" s="41">
        <v>91</v>
      </c>
      <c r="H55" s="56">
        <f t="shared" si="17"/>
        <v>7160.9524664676219</v>
      </c>
      <c r="I55" s="56">
        <f t="shared" si="8"/>
        <v>85931.429597611466</v>
      </c>
      <c r="J55" s="83">
        <f t="shared" si="15"/>
        <v>48508.040872736245</v>
      </c>
      <c r="K55" s="87">
        <f t="shared" si="9"/>
        <v>37423.388724875222</v>
      </c>
      <c r="L55" s="83">
        <f t="shared" si="16"/>
        <v>1211532.8831014913</v>
      </c>
      <c r="M55" s="41">
        <v>91</v>
      </c>
      <c r="N55" s="56">
        <f t="shared" si="10"/>
        <v>810907.99351537391</v>
      </c>
      <c r="O55" s="70">
        <f t="shared" si="11"/>
        <v>1211532.8831014913</v>
      </c>
    </row>
    <row r="56" spans="1:15">
      <c r="A56" s="41">
        <v>92</v>
      </c>
      <c r="B56" s="56">
        <f t="shared" si="12"/>
        <v>4143.5349957181597</v>
      </c>
      <c r="C56" s="56">
        <f t="shared" si="6"/>
        <v>49722.419948617913</v>
      </c>
      <c r="D56" s="36">
        <f t="shared" si="13"/>
        <v>49720.741894554645</v>
      </c>
      <c r="E56" s="87">
        <f t="shared" si="7"/>
        <v>1.6780540632680641</v>
      </c>
      <c r="F56" s="70">
        <f t="shared" si="14"/>
        <v>843345.99131005211</v>
      </c>
      <c r="G56" s="41">
        <v>92</v>
      </c>
      <c r="H56" s="56">
        <f t="shared" si="17"/>
        <v>7339.976278129312</v>
      </c>
      <c r="I56" s="56">
        <f t="shared" si="8"/>
        <v>88079.715337551752</v>
      </c>
      <c r="J56" s="83">
        <f t="shared" si="15"/>
        <v>49720.741894554645</v>
      </c>
      <c r="K56" s="87">
        <f t="shared" si="9"/>
        <v>38358.973442997107</v>
      </c>
      <c r="L56" s="83">
        <f t="shared" si="16"/>
        <v>1298353.171868548</v>
      </c>
      <c r="M56" s="41">
        <v>92</v>
      </c>
      <c r="N56" s="56">
        <f t="shared" si="10"/>
        <v>843345.99131005211</v>
      </c>
      <c r="O56" s="70">
        <f t="shared" si="11"/>
        <v>1298353.171868548</v>
      </c>
    </row>
    <row r="57" spans="1:15">
      <c r="A57" s="41">
        <v>93</v>
      </c>
      <c r="B57" s="56">
        <f t="shared" si="12"/>
        <v>4247.1233706111134</v>
      </c>
      <c r="C57" s="56">
        <f t="shared" si="6"/>
        <v>50965.480447333364</v>
      </c>
      <c r="D57" s="36">
        <f t="shared" si="13"/>
        <v>50963.760441918508</v>
      </c>
      <c r="E57" s="87">
        <f t="shared" si="7"/>
        <v>1.7200054148561321</v>
      </c>
      <c r="F57" s="70">
        <f t="shared" si="14"/>
        <v>877081.55096786912</v>
      </c>
      <c r="G57" s="41">
        <v>93</v>
      </c>
      <c r="H57" s="56">
        <f t="shared" si="17"/>
        <v>7523.4756850825443</v>
      </c>
      <c r="I57" s="56">
        <f t="shared" si="8"/>
        <v>90281.708220990535</v>
      </c>
      <c r="J57" s="83">
        <f t="shared" si="15"/>
        <v>50963.760441918508</v>
      </c>
      <c r="K57" s="87">
        <f t="shared" si="9"/>
        <v>39317.947779072027</v>
      </c>
      <c r="L57" s="83">
        <f t="shared" si="16"/>
        <v>1389605.2465223619</v>
      </c>
      <c r="M57" s="41">
        <v>93</v>
      </c>
      <c r="N57" s="56">
        <f t="shared" si="10"/>
        <v>877081.55096786912</v>
      </c>
      <c r="O57" s="70">
        <f t="shared" si="11"/>
        <v>1389605.2465223619</v>
      </c>
    </row>
    <row r="58" spans="1:15">
      <c r="A58" s="41">
        <v>94</v>
      </c>
      <c r="B58" s="56">
        <f t="shared" si="12"/>
        <v>4353.3014548763913</v>
      </c>
      <c r="C58" s="56">
        <f t="shared" si="6"/>
        <v>52239.617458516695</v>
      </c>
      <c r="D58" s="36">
        <f t="shared" si="13"/>
        <v>52237.854452966465</v>
      </c>
      <c r="E58" s="87">
        <f t="shared" si="7"/>
        <v>1.7630055502304458</v>
      </c>
      <c r="F58" s="70">
        <f t="shared" si="14"/>
        <v>912166.5760121342</v>
      </c>
      <c r="G58" s="41">
        <v>94</v>
      </c>
      <c r="H58" s="56">
        <f t="shared" si="17"/>
        <v>7711.5625772096073</v>
      </c>
      <c r="I58" s="56">
        <f t="shared" si="8"/>
        <v>92538.750926515291</v>
      </c>
      <c r="J58" s="83">
        <f t="shared" si="15"/>
        <v>52237.854452966465</v>
      </c>
      <c r="K58" s="87">
        <f t="shared" si="9"/>
        <v>40300.896473548826</v>
      </c>
      <c r="L58" s="83">
        <f t="shared" si="16"/>
        <v>1485490.3528568053</v>
      </c>
      <c r="M58" s="41">
        <v>94</v>
      </c>
      <c r="N58" s="56">
        <f t="shared" si="10"/>
        <v>912166.5760121342</v>
      </c>
      <c r="O58" s="70">
        <f t="shared" si="11"/>
        <v>1485490.3528568053</v>
      </c>
    </row>
    <row r="59" spans="1:15">
      <c r="A59" s="41">
        <v>95</v>
      </c>
      <c r="B59" s="56">
        <f t="shared" si="12"/>
        <v>4462.1339912483008</v>
      </c>
      <c r="C59" s="56">
        <f t="shared" si="6"/>
        <v>53545.607894979606</v>
      </c>
      <c r="D59" s="36">
        <f t="shared" si="13"/>
        <v>53543.800814290626</v>
      </c>
      <c r="E59" s="87">
        <f t="shared" si="7"/>
        <v>1.8070806889809319</v>
      </c>
      <c r="F59" s="70">
        <f t="shared" si="14"/>
        <v>948655.04613330855</v>
      </c>
      <c r="G59" s="41">
        <v>95</v>
      </c>
      <c r="H59" s="56">
        <f t="shared" si="17"/>
        <v>7904.351641639847</v>
      </c>
      <c r="I59" s="56">
        <f t="shared" si="8"/>
        <v>94852.219699678157</v>
      </c>
      <c r="J59" s="83">
        <f t="shared" si="15"/>
        <v>53543.800814290626</v>
      </c>
      <c r="K59" s="87">
        <f t="shared" si="9"/>
        <v>41308.418885387531</v>
      </c>
      <c r="L59" s="83">
        <f t="shared" si="16"/>
        <v>1586218.385856465</v>
      </c>
      <c r="M59" s="41">
        <v>95</v>
      </c>
      <c r="N59" s="56">
        <f t="shared" si="10"/>
        <v>948655.04613330855</v>
      </c>
      <c r="O59" s="70">
        <f t="shared" si="11"/>
        <v>1586218.385856465</v>
      </c>
    </row>
    <row r="60" spans="1:15">
      <c r="A60" s="41">
        <v>96</v>
      </c>
      <c r="B60" s="56">
        <f t="shared" si="12"/>
        <v>4573.6873410295084</v>
      </c>
      <c r="C60" s="56">
        <f t="shared" si="6"/>
        <v>54884.248092354101</v>
      </c>
      <c r="D60" s="36">
        <f t="shared" si="13"/>
        <v>54882.395834647883</v>
      </c>
      <c r="E60" s="87">
        <f t="shared" si="7"/>
        <v>1.8522577062176424</v>
      </c>
      <c r="F60" s="70">
        <f t="shared" si="14"/>
        <v>986603.10023634718</v>
      </c>
      <c r="G60" s="41">
        <v>96</v>
      </c>
      <c r="H60" s="56">
        <f t="shared" si="17"/>
        <v>8101.9604326808421</v>
      </c>
      <c r="I60" s="56">
        <f t="shared" si="8"/>
        <v>97223.525192170113</v>
      </c>
      <c r="J60" s="83">
        <f t="shared" si="15"/>
        <v>54882.395834647883</v>
      </c>
      <c r="K60" s="87">
        <f t="shared" si="9"/>
        <v>42341.12935752223</v>
      </c>
      <c r="L60" s="83">
        <f t="shared" si="16"/>
        <v>1692008.2506482457</v>
      </c>
      <c r="M60" s="41">
        <v>96</v>
      </c>
      <c r="N60" s="56">
        <f t="shared" si="10"/>
        <v>986603.10023634718</v>
      </c>
      <c r="O60" s="70">
        <f t="shared" si="11"/>
        <v>1692008.2506482457</v>
      </c>
    </row>
    <row r="61" spans="1:15">
      <c r="A61" s="41">
        <v>97</v>
      </c>
      <c r="B61" s="56">
        <f t="shared" si="12"/>
        <v>4688.0295245552461</v>
      </c>
      <c r="C61" s="56">
        <f t="shared" si="6"/>
        <v>56256.354294662953</v>
      </c>
      <c r="D61" s="36">
        <f t="shared" si="13"/>
        <v>56254.455730514077</v>
      </c>
      <c r="E61" s="87">
        <f t="shared" si="7"/>
        <v>1.8985641488761758</v>
      </c>
      <c r="F61" s="70">
        <f t="shared" si="14"/>
        <v>1026069.12280995</v>
      </c>
      <c r="G61" s="41">
        <v>97</v>
      </c>
      <c r="H61" s="56">
        <f t="shared" si="17"/>
        <v>8304.5094434978619</v>
      </c>
      <c r="I61" s="56">
        <f t="shared" si="8"/>
        <v>99654.11332197435</v>
      </c>
      <c r="J61" s="83">
        <f t="shared" si="15"/>
        <v>56254.455730514077</v>
      </c>
      <c r="K61" s="87">
        <f t="shared" si="9"/>
        <v>43399.657591460273</v>
      </c>
      <c r="L61" s="83">
        <f t="shared" si="16"/>
        <v>1803088.2382656359</v>
      </c>
      <c r="M61" s="41">
        <v>97</v>
      </c>
      <c r="N61" s="56">
        <f t="shared" si="10"/>
        <v>1026069.12280995</v>
      </c>
      <c r="O61" s="70">
        <f t="shared" si="11"/>
        <v>1803088.2382656359</v>
      </c>
    </row>
    <row r="62" spans="1:15">
      <c r="A62" s="41">
        <v>98</v>
      </c>
      <c r="B62" s="56">
        <f t="shared" si="12"/>
        <v>4805.2302626691271</v>
      </c>
      <c r="C62" s="56">
        <f t="shared" si="6"/>
        <v>57662.763152029525</v>
      </c>
      <c r="D62" s="36">
        <f t="shared" si="13"/>
        <v>57660.817123776927</v>
      </c>
      <c r="E62" s="87">
        <f t="shared" si="7"/>
        <v>1.9460282525978982</v>
      </c>
      <c r="F62" s="70">
        <f t="shared" si="14"/>
        <v>1067113.8337506007</v>
      </c>
      <c r="G62" s="41">
        <v>98</v>
      </c>
      <c r="H62" s="56">
        <f t="shared" si="17"/>
        <v>8512.1221795853071</v>
      </c>
      <c r="I62" s="56">
        <f t="shared" si="8"/>
        <v>102145.46615502369</v>
      </c>
      <c r="J62" s="83">
        <f t="shared" si="15"/>
        <v>57660.817123776927</v>
      </c>
      <c r="K62" s="87">
        <f t="shared" si="9"/>
        <v>44484.649031246765</v>
      </c>
      <c r="L62" s="83">
        <f t="shared" si="16"/>
        <v>1919696.4168275082</v>
      </c>
      <c r="M62" s="41">
        <v>98</v>
      </c>
      <c r="N62" s="56">
        <f t="shared" si="10"/>
        <v>1067113.8337506007</v>
      </c>
      <c r="O62" s="70">
        <f t="shared" si="11"/>
        <v>1919696.4168275082</v>
      </c>
    </row>
    <row r="63" spans="1:15">
      <c r="A63" s="41">
        <v>99</v>
      </c>
      <c r="B63" s="56">
        <f t="shared" si="12"/>
        <v>4925.3610192358547</v>
      </c>
      <c r="C63" s="56">
        <f t="shared" si="6"/>
        <v>59104.33223083026</v>
      </c>
      <c r="D63" s="36">
        <f t="shared" si="13"/>
        <v>59102.337551871344</v>
      </c>
      <c r="E63" s="87">
        <f t="shared" si="7"/>
        <v>1.9946789589157561</v>
      </c>
      <c r="F63" s="70">
        <f t="shared" si="14"/>
        <v>1109800.3817795839</v>
      </c>
      <c r="G63" s="41">
        <v>99</v>
      </c>
      <c r="H63" s="56">
        <f t="shared" si="17"/>
        <v>8724.925234074939</v>
      </c>
      <c r="I63" s="56">
        <f t="shared" si="8"/>
        <v>104699.10280889928</v>
      </c>
      <c r="J63" s="83">
        <f t="shared" si="15"/>
        <v>59102.337551871344</v>
      </c>
      <c r="K63" s="87">
        <f t="shared" si="9"/>
        <v>45596.765257027932</v>
      </c>
      <c r="L63" s="83">
        <f t="shared" si="16"/>
        <v>2042081.0387576367</v>
      </c>
      <c r="M63" s="41">
        <v>99</v>
      </c>
      <c r="N63" s="56">
        <f t="shared" si="10"/>
        <v>1109800.3817795839</v>
      </c>
      <c r="O63" s="70">
        <f t="shared" si="11"/>
        <v>2042081.0387576367</v>
      </c>
    </row>
    <row r="64" spans="1:15" ht="15" thickBot="1">
      <c r="A64" s="43">
        <v>100</v>
      </c>
      <c r="B64" s="59">
        <f t="shared" si="12"/>
        <v>5048.4950447167503</v>
      </c>
      <c r="C64" s="59">
        <f t="shared" si="6"/>
        <v>60581.940536601003</v>
      </c>
      <c r="D64" s="36">
        <f t="shared" si="13"/>
        <v>60579.895990668119</v>
      </c>
      <c r="E64" s="87">
        <f t="shared" si="7"/>
        <v>2.0445459328839206</v>
      </c>
      <c r="F64" s="70">
        <f t="shared" si="14"/>
        <v>1154194.4415967001</v>
      </c>
      <c r="G64" s="43">
        <v>100</v>
      </c>
      <c r="H64" s="59">
        <f t="shared" si="17"/>
        <v>8943.0483649268117</v>
      </c>
      <c r="I64" s="59">
        <f t="shared" si="8"/>
        <v>107316.58037912173</v>
      </c>
      <c r="J64" s="83">
        <f t="shared" si="15"/>
        <v>60579.895990668119</v>
      </c>
      <c r="K64" s="87">
        <f t="shared" si="9"/>
        <v>46736.684388453614</v>
      </c>
      <c r="L64" s="83">
        <f t="shared" si="16"/>
        <v>2170500.9646963957</v>
      </c>
      <c r="M64" s="43">
        <v>100</v>
      </c>
      <c r="N64" s="59">
        <f t="shared" si="10"/>
        <v>1154194.4415967001</v>
      </c>
      <c r="O64" s="71">
        <f t="shared" si="11"/>
        <v>2170500.9646963957</v>
      </c>
    </row>
    <row r="74" spans="1:24" ht="15" thickBot="1"/>
    <row r="75" spans="1:24" ht="15" thickBot="1">
      <c r="A75" s="81" t="s">
        <v>140</v>
      </c>
      <c r="J75" t="s">
        <v>144</v>
      </c>
    </row>
    <row r="76" spans="1:24" ht="43.8" thickBot="1">
      <c r="A76" s="39" t="s">
        <v>129</v>
      </c>
      <c r="B76" s="72" t="s">
        <v>141</v>
      </c>
      <c r="C76" s="82" t="s">
        <v>142</v>
      </c>
      <c r="D76" s="85" t="s">
        <v>145</v>
      </c>
      <c r="E76" s="86" t="s">
        <v>146</v>
      </c>
      <c r="F76" s="84" t="s">
        <v>152</v>
      </c>
      <c r="G76" s="82" t="s">
        <v>154</v>
      </c>
      <c r="H76" s="69" t="s">
        <v>143</v>
      </c>
      <c r="J76" s="73" t="s">
        <v>129</v>
      </c>
      <c r="K76" s="50" t="s">
        <v>141</v>
      </c>
      <c r="L76" s="89" t="s">
        <v>142</v>
      </c>
      <c r="M76" s="50" t="s">
        <v>148</v>
      </c>
      <c r="N76" s="90" t="s">
        <v>146</v>
      </c>
      <c r="O76" s="91" t="s">
        <v>152</v>
      </c>
      <c r="P76" s="91" t="s">
        <v>155</v>
      </c>
      <c r="Q76" s="92" t="s">
        <v>143</v>
      </c>
    </row>
    <row r="77" spans="1:24">
      <c r="A77" s="41">
        <v>62</v>
      </c>
      <c r="B77" s="56">
        <f>B13</f>
        <v>1975.3999999999999</v>
      </c>
      <c r="C77" s="56">
        <f>B26*12</f>
        <v>23704.799999999999</v>
      </c>
      <c r="D77" s="56">
        <f>$G$16</f>
        <v>2167.5</v>
      </c>
      <c r="E77" s="56">
        <f>D77*12</f>
        <v>26010</v>
      </c>
      <c r="F77" s="83">
        <f>$B$9</f>
        <v>23704</v>
      </c>
      <c r="G77" s="83">
        <f>(E77+C77)-F77</f>
        <v>26010.800000000003</v>
      </c>
      <c r="H77" s="80">
        <f>$H$4*(1+$B$5)+G77</f>
        <v>286010.8</v>
      </c>
      <c r="J77" s="61">
        <v>62</v>
      </c>
      <c r="K77" s="62">
        <v>0</v>
      </c>
      <c r="L77" s="62">
        <f>K77*12</f>
        <v>0</v>
      </c>
      <c r="M77" s="62">
        <f>D77</f>
        <v>2167.5</v>
      </c>
      <c r="N77" s="62">
        <f>M77*12</f>
        <v>26010</v>
      </c>
      <c r="O77" s="87">
        <f>B9</f>
        <v>23704</v>
      </c>
      <c r="P77" s="87">
        <f>(L77+N77)-O77</f>
        <v>2306</v>
      </c>
      <c r="Q77" s="88">
        <f>($H$4)*(1+$B$5)+N77+P77-C77</f>
        <v>264611.20000000001</v>
      </c>
      <c r="X77" t="str">
        <f>"Compare Saving of Married Frank and Bill at rate of return of " &amp; B5*100 &amp; "% and Cola of " &amp; B4*100 &amp; "% " &amp; "Yearly Expenses = $" &amp; B9</f>
        <v>Compare Saving of Married Frank and Bill at rate of return of 4% and Cola of 2.5% Yearly Expenses = $23704</v>
      </c>
    </row>
    <row r="78" spans="1:24">
      <c r="A78" s="41">
        <v>63</v>
      </c>
      <c r="B78" s="56">
        <f>B77*(1+$B$4)</f>
        <v>2024.7849999999996</v>
      </c>
      <c r="C78" s="56">
        <f>B27*12</f>
        <v>24297.419999999995</v>
      </c>
      <c r="D78" s="56">
        <f>D77*(1+$B$4)</f>
        <v>2221.6875</v>
      </c>
      <c r="E78" s="56">
        <f>D78*12</f>
        <v>26660.25</v>
      </c>
      <c r="F78" s="83">
        <f>F77*(1+$B$4)</f>
        <v>24296.6</v>
      </c>
      <c r="G78" s="83">
        <f t="shared" ref="G78:G115" si="18">(E78+C78)-F78</f>
        <v>26661.07</v>
      </c>
      <c r="H78" s="80">
        <f>H77*(1+$B$5)+G78</f>
        <v>324112.30200000003</v>
      </c>
      <c r="J78" s="41">
        <v>63</v>
      </c>
      <c r="K78" s="56">
        <v>0</v>
      </c>
      <c r="L78" s="56">
        <f t="shared" ref="L78:L115" si="19">K78*12</f>
        <v>0</v>
      </c>
      <c r="M78" s="56">
        <f>M77*(1+$B$4)</f>
        <v>2221.6875</v>
      </c>
      <c r="N78" s="56">
        <f t="shared" ref="N78:N115" si="20">M78*12</f>
        <v>26660.25</v>
      </c>
      <c r="O78" s="83">
        <f>O77*(1+$B$4)</f>
        <v>24296.6</v>
      </c>
      <c r="P78" s="87">
        <f t="shared" ref="P78:P115" si="21">(L78+N78)-O78</f>
        <v>2363.6500000000015</v>
      </c>
      <c r="Q78" s="88">
        <f>Q77*(1+$B$5)+P78</f>
        <v>277559.29800000007</v>
      </c>
      <c r="R78" s="23"/>
    </row>
    <row r="79" spans="1:24">
      <c r="A79" s="41">
        <v>64</v>
      </c>
      <c r="B79" s="56">
        <f t="shared" ref="B79:B115" si="22">B78*(1+$B$4)</f>
        <v>2075.4046249999992</v>
      </c>
      <c r="C79" s="56">
        <f t="shared" ref="C79:C115" si="23">B28*12</f>
        <v>24904.855499999991</v>
      </c>
      <c r="D79" s="56">
        <f t="shared" ref="D79:D115" si="24">D78*(1+$B$4)</f>
        <v>2277.2296874999997</v>
      </c>
      <c r="E79" s="56">
        <f t="shared" ref="E79:E115" si="25">D79*12</f>
        <v>27326.756249999999</v>
      </c>
      <c r="F79" s="83">
        <f t="shared" ref="F79:F115" si="26">F78*(1+$B$4)</f>
        <v>24904.014999999996</v>
      </c>
      <c r="G79" s="83">
        <f t="shared" si="18"/>
        <v>27327.596749999993</v>
      </c>
      <c r="H79" s="80">
        <f t="shared" ref="H79:H115" si="27">H78*(1+$B$5)+G79</f>
        <v>364404.39082999999</v>
      </c>
      <c r="J79" s="41">
        <v>64</v>
      </c>
      <c r="K79" s="56">
        <v>0</v>
      </c>
      <c r="L79" s="56">
        <f t="shared" si="19"/>
        <v>0</v>
      </c>
      <c r="M79" s="56">
        <f t="shared" ref="M79:M115" si="28">M78*(1+$B$4)</f>
        <v>2277.2296874999997</v>
      </c>
      <c r="N79" s="56">
        <f t="shared" si="20"/>
        <v>27326.756249999999</v>
      </c>
      <c r="O79" s="83">
        <f t="shared" ref="O79:O115" si="29">O78*(1+$B$4)</f>
        <v>24904.014999999996</v>
      </c>
      <c r="P79" s="87">
        <f t="shared" si="21"/>
        <v>2422.7412500000028</v>
      </c>
      <c r="Q79" s="88">
        <f t="shared" ref="Q79:Q115" si="30">Q78*(1+$B$5)+P79</f>
        <v>291084.41117000009</v>
      </c>
    </row>
    <row r="80" spans="1:24">
      <c r="A80" s="41">
        <v>65</v>
      </c>
      <c r="B80" s="56">
        <f t="shared" si="22"/>
        <v>2127.289740624999</v>
      </c>
      <c r="C80" s="56">
        <f t="shared" si="23"/>
        <v>25527.476887499986</v>
      </c>
      <c r="D80" s="56">
        <f t="shared" si="24"/>
        <v>2334.1604296874993</v>
      </c>
      <c r="E80" s="56">
        <f t="shared" si="25"/>
        <v>28009.925156249992</v>
      </c>
      <c r="F80" s="83">
        <f t="shared" si="26"/>
        <v>25526.615374999994</v>
      </c>
      <c r="G80" s="83">
        <f t="shared" si="18"/>
        <v>28010.786668749985</v>
      </c>
      <c r="H80" s="80">
        <f t="shared" si="27"/>
        <v>406991.35313195002</v>
      </c>
      <c r="J80" s="41">
        <v>65</v>
      </c>
      <c r="K80" s="56">
        <v>0</v>
      </c>
      <c r="L80" s="56">
        <f t="shared" si="19"/>
        <v>0</v>
      </c>
      <c r="M80" s="56">
        <f t="shared" si="28"/>
        <v>2334.1604296874993</v>
      </c>
      <c r="N80" s="56">
        <f t="shared" si="20"/>
        <v>28009.925156249992</v>
      </c>
      <c r="O80" s="83">
        <f t="shared" si="29"/>
        <v>25526.615374999994</v>
      </c>
      <c r="P80" s="87">
        <f t="shared" si="21"/>
        <v>2483.3097812499982</v>
      </c>
      <c r="Q80" s="88">
        <f t="shared" si="30"/>
        <v>305211.09739805013</v>
      </c>
    </row>
    <row r="81" spans="1:17">
      <c r="A81" s="41">
        <v>66</v>
      </c>
      <c r="B81" s="56">
        <f t="shared" si="22"/>
        <v>2180.4719841406236</v>
      </c>
      <c r="C81" s="56">
        <f t="shared" si="23"/>
        <v>26165.663809687481</v>
      </c>
      <c r="D81" s="56">
        <f t="shared" si="24"/>
        <v>2392.5144404296866</v>
      </c>
      <c r="E81" s="56">
        <f t="shared" si="25"/>
        <v>28710.173285156241</v>
      </c>
      <c r="F81" s="83">
        <f t="shared" si="26"/>
        <v>26164.780759374993</v>
      </c>
      <c r="G81" s="83">
        <f t="shared" si="18"/>
        <v>28711.056335468729</v>
      </c>
      <c r="H81" s="80">
        <f t="shared" si="27"/>
        <v>451982.06359269674</v>
      </c>
      <c r="J81" s="41">
        <v>66</v>
      </c>
      <c r="K81" s="56">
        <v>0</v>
      </c>
      <c r="L81" s="56">
        <f t="shared" si="19"/>
        <v>0</v>
      </c>
      <c r="M81" s="56">
        <f t="shared" si="28"/>
        <v>2392.5144404296866</v>
      </c>
      <c r="N81" s="56">
        <f t="shared" si="20"/>
        <v>28710.173285156241</v>
      </c>
      <c r="O81" s="83">
        <f t="shared" si="29"/>
        <v>26164.780759374993</v>
      </c>
      <c r="P81" s="87">
        <f t="shared" si="21"/>
        <v>2545.392525781248</v>
      </c>
      <c r="Q81" s="88">
        <f t="shared" si="30"/>
        <v>319964.93381975341</v>
      </c>
    </row>
    <row r="82" spans="1:17">
      <c r="A82" s="41">
        <v>67</v>
      </c>
      <c r="B82" s="56">
        <f t="shared" si="22"/>
        <v>2234.9837837441391</v>
      </c>
      <c r="C82" s="56">
        <f t="shared" si="23"/>
        <v>26819.80540492967</v>
      </c>
      <c r="D82" s="56">
        <f t="shared" si="24"/>
        <v>2452.3273014404285</v>
      </c>
      <c r="E82" s="56">
        <f t="shared" si="25"/>
        <v>29427.927617285142</v>
      </c>
      <c r="F82" s="83">
        <f t="shared" si="26"/>
        <v>26818.900278359364</v>
      </c>
      <c r="G82" s="83">
        <f t="shared" si="18"/>
        <v>29428.832743855452</v>
      </c>
      <c r="H82" s="80">
        <f t="shared" si="27"/>
        <v>499490.17888026003</v>
      </c>
      <c r="J82" s="41">
        <v>67</v>
      </c>
      <c r="K82" s="56">
        <v>0</v>
      </c>
      <c r="L82" s="56">
        <f t="shared" si="19"/>
        <v>0</v>
      </c>
      <c r="M82" s="56">
        <f t="shared" si="28"/>
        <v>2452.3273014404285</v>
      </c>
      <c r="N82" s="56">
        <f t="shared" si="20"/>
        <v>29427.927617285142</v>
      </c>
      <c r="O82" s="83">
        <f t="shared" si="29"/>
        <v>26818.900278359364</v>
      </c>
      <c r="P82" s="87">
        <f t="shared" si="21"/>
        <v>2609.0273389257782</v>
      </c>
      <c r="Q82" s="88">
        <f t="shared" si="30"/>
        <v>335372.55851146928</v>
      </c>
    </row>
    <row r="83" spans="1:17">
      <c r="A83" s="41">
        <v>68</v>
      </c>
      <c r="B83" s="56">
        <f t="shared" si="22"/>
        <v>2290.8583783377426</v>
      </c>
      <c r="C83" s="56">
        <f t="shared" si="23"/>
        <v>27490.300540052911</v>
      </c>
      <c r="D83" s="56">
        <f t="shared" si="24"/>
        <v>2513.635483976439</v>
      </c>
      <c r="E83" s="56">
        <f t="shared" si="25"/>
        <v>30163.625807717268</v>
      </c>
      <c r="F83" s="83">
        <f t="shared" si="26"/>
        <v>27489.372785318345</v>
      </c>
      <c r="G83" s="83">
        <f t="shared" si="18"/>
        <v>30164.553562451831</v>
      </c>
      <c r="H83" s="80">
        <f t="shared" si="27"/>
        <v>549634.33959792228</v>
      </c>
      <c r="J83" s="41">
        <v>68</v>
      </c>
      <c r="K83" s="56">
        <v>0</v>
      </c>
      <c r="L83" s="56">
        <f t="shared" si="19"/>
        <v>0</v>
      </c>
      <c r="M83" s="56">
        <f t="shared" si="28"/>
        <v>2513.635483976439</v>
      </c>
      <c r="N83" s="56">
        <f t="shared" si="20"/>
        <v>30163.625807717268</v>
      </c>
      <c r="O83" s="83">
        <f t="shared" si="29"/>
        <v>27489.372785318345</v>
      </c>
      <c r="P83" s="87">
        <f t="shared" si="21"/>
        <v>2674.2530223989233</v>
      </c>
      <c r="Q83" s="88">
        <f t="shared" si="30"/>
        <v>351461.71387432696</v>
      </c>
    </row>
    <row r="84" spans="1:17">
      <c r="A84" s="41">
        <v>69</v>
      </c>
      <c r="B84" s="56">
        <f t="shared" si="22"/>
        <v>2348.1298377961862</v>
      </c>
      <c r="C84" s="56">
        <f t="shared" si="23"/>
        <v>28177.558053554232</v>
      </c>
      <c r="D84" s="56">
        <f t="shared" si="24"/>
        <v>2576.4763710758498</v>
      </c>
      <c r="E84" s="56">
        <f t="shared" si="25"/>
        <v>30917.716452910197</v>
      </c>
      <c r="F84" s="83">
        <f t="shared" si="26"/>
        <v>28176.607104951301</v>
      </c>
      <c r="G84" s="83">
        <f t="shared" si="18"/>
        <v>30918.667401513125</v>
      </c>
      <c r="H84" s="80">
        <f t="shared" si="27"/>
        <v>602538.38058335229</v>
      </c>
      <c r="J84" s="41">
        <v>69</v>
      </c>
      <c r="K84" s="56">
        <v>0</v>
      </c>
      <c r="L84" s="56">
        <f t="shared" si="19"/>
        <v>0</v>
      </c>
      <c r="M84" s="56">
        <f t="shared" si="28"/>
        <v>2576.4763710758498</v>
      </c>
      <c r="N84" s="56">
        <f t="shared" si="20"/>
        <v>30917.716452910197</v>
      </c>
      <c r="O84" s="83">
        <f t="shared" si="29"/>
        <v>28176.607104951301</v>
      </c>
      <c r="P84" s="87">
        <f t="shared" si="21"/>
        <v>2741.1093479588963</v>
      </c>
      <c r="Q84" s="88">
        <f t="shared" si="30"/>
        <v>368261.29177725891</v>
      </c>
    </row>
    <row r="85" spans="1:17">
      <c r="A85" s="41">
        <v>70</v>
      </c>
      <c r="B85" s="56">
        <f t="shared" si="22"/>
        <v>2406.8330837410908</v>
      </c>
      <c r="C85" s="56">
        <f t="shared" si="23"/>
        <v>28881.997004893092</v>
      </c>
      <c r="D85" s="56">
        <f t="shared" si="24"/>
        <v>2640.8882803527458</v>
      </c>
      <c r="E85" s="56">
        <f t="shared" si="25"/>
        <v>31690.65936423295</v>
      </c>
      <c r="F85" s="83">
        <f t="shared" si="26"/>
        <v>28881.022282575082</v>
      </c>
      <c r="G85" s="83">
        <f t="shared" si="18"/>
        <v>31691.634086550956</v>
      </c>
      <c r="H85" s="80">
        <f t="shared" si="27"/>
        <v>658331.5498932373</v>
      </c>
      <c r="J85" s="41">
        <v>70</v>
      </c>
      <c r="K85" s="56">
        <f>B21</f>
        <v>3499.28</v>
      </c>
      <c r="L85" s="56">
        <f t="shared" si="19"/>
        <v>41991.360000000001</v>
      </c>
      <c r="M85" s="56">
        <f t="shared" si="28"/>
        <v>2640.8882803527458</v>
      </c>
      <c r="N85" s="56">
        <f t="shared" si="20"/>
        <v>31690.65936423295</v>
      </c>
      <c r="O85" s="83">
        <f t="shared" si="29"/>
        <v>28881.022282575082</v>
      </c>
      <c r="P85" s="87">
        <f t="shared" si="21"/>
        <v>44800.997081657872</v>
      </c>
      <c r="Q85" s="88">
        <f t="shared" si="30"/>
        <v>427792.74053000717</v>
      </c>
    </row>
    <row r="86" spans="1:17">
      <c r="A86" s="41">
        <v>71</v>
      </c>
      <c r="B86" s="56">
        <f t="shared" si="22"/>
        <v>2467.0039108346177</v>
      </c>
      <c r="C86" s="56">
        <f t="shared" si="23"/>
        <v>29604.046930015415</v>
      </c>
      <c r="D86" s="56">
        <f t="shared" si="24"/>
        <v>2706.9104873615643</v>
      </c>
      <c r="E86" s="56">
        <f t="shared" si="25"/>
        <v>32482.925848338771</v>
      </c>
      <c r="F86" s="83">
        <f t="shared" si="26"/>
        <v>29603.047839639457</v>
      </c>
      <c r="G86" s="83">
        <f t="shared" si="18"/>
        <v>32483.924938714732</v>
      </c>
      <c r="H86" s="80">
        <f t="shared" si="27"/>
        <v>717148.73682768154</v>
      </c>
      <c r="J86" s="41">
        <v>71</v>
      </c>
      <c r="K86" s="56">
        <f t="shared" ref="K86:K115" si="31">K85*(1+$B$4)</f>
        <v>3586.7619999999997</v>
      </c>
      <c r="L86" s="56">
        <f t="shared" si="19"/>
        <v>43041.144</v>
      </c>
      <c r="M86" s="56">
        <f t="shared" si="28"/>
        <v>2706.9104873615643</v>
      </c>
      <c r="N86" s="56">
        <f t="shared" si="20"/>
        <v>32482.925848338771</v>
      </c>
      <c r="O86" s="83">
        <f t="shared" si="29"/>
        <v>29603.047839639457</v>
      </c>
      <c r="P86" s="87">
        <f t="shared" si="21"/>
        <v>45921.022008699307</v>
      </c>
      <c r="Q86" s="88">
        <f t="shared" si="30"/>
        <v>490825.47215990676</v>
      </c>
    </row>
    <row r="87" spans="1:17">
      <c r="A87" s="41">
        <v>72</v>
      </c>
      <c r="B87" s="56">
        <f t="shared" si="22"/>
        <v>2528.679008605483</v>
      </c>
      <c r="C87" s="56">
        <f t="shared" si="23"/>
        <v>30344.148103265798</v>
      </c>
      <c r="D87" s="56">
        <f t="shared" si="24"/>
        <v>2774.5832495456029</v>
      </c>
      <c r="E87" s="56">
        <f t="shared" si="25"/>
        <v>33294.998994547233</v>
      </c>
      <c r="F87" s="83">
        <f t="shared" si="26"/>
        <v>30343.124035630441</v>
      </c>
      <c r="G87" s="83">
        <f t="shared" si="18"/>
        <v>33296.02306218259</v>
      </c>
      <c r="H87" s="80">
        <f t="shared" si="27"/>
        <v>779130.70936297136</v>
      </c>
      <c r="J87" s="41">
        <v>72</v>
      </c>
      <c r="K87" s="56">
        <f t="shared" si="31"/>
        <v>3676.4310499999992</v>
      </c>
      <c r="L87" s="56">
        <f t="shared" si="19"/>
        <v>44117.172599999991</v>
      </c>
      <c r="M87" s="56">
        <f t="shared" si="28"/>
        <v>2774.5832495456029</v>
      </c>
      <c r="N87" s="56">
        <f t="shared" si="20"/>
        <v>33294.998994547233</v>
      </c>
      <c r="O87" s="83">
        <f t="shared" si="29"/>
        <v>30343.124035630441</v>
      </c>
      <c r="P87" s="87">
        <f t="shared" si="21"/>
        <v>47069.047558916784</v>
      </c>
      <c r="Q87" s="88">
        <f t="shared" si="30"/>
        <v>557527.5386052198</v>
      </c>
    </row>
    <row r="88" spans="1:17">
      <c r="A88" s="41">
        <v>73</v>
      </c>
      <c r="B88" s="56">
        <f t="shared" si="22"/>
        <v>2591.8959838206197</v>
      </c>
      <c r="C88" s="56">
        <f t="shared" si="23"/>
        <v>31102.751805847438</v>
      </c>
      <c r="D88" s="56">
        <f t="shared" si="24"/>
        <v>2843.9478307842428</v>
      </c>
      <c r="E88" s="56">
        <f t="shared" si="25"/>
        <v>34127.37396941091</v>
      </c>
      <c r="F88" s="83">
        <f t="shared" si="26"/>
        <v>31101.702136521199</v>
      </c>
      <c r="G88" s="83">
        <f t="shared" si="18"/>
        <v>34128.423638737149</v>
      </c>
      <c r="H88" s="80">
        <f t="shared" si="27"/>
        <v>844424.36137622746</v>
      </c>
      <c r="J88" s="41">
        <v>73</v>
      </c>
      <c r="K88" s="56">
        <f t="shared" si="31"/>
        <v>3768.341826249999</v>
      </c>
      <c r="L88" s="56">
        <f t="shared" si="19"/>
        <v>45220.101914999992</v>
      </c>
      <c r="M88" s="56">
        <f t="shared" si="28"/>
        <v>2843.9478307842428</v>
      </c>
      <c r="N88" s="56">
        <f t="shared" si="20"/>
        <v>34127.37396941091</v>
      </c>
      <c r="O88" s="83">
        <f t="shared" si="29"/>
        <v>31101.702136521199</v>
      </c>
      <c r="P88" s="87">
        <f t="shared" si="21"/>
        <v>48245.773747889703</v>
      </c>
      <c r="Q88" s="88">
        <f t="shared" si="30"/>
        <v>628074.4138973183</v>
      </c>
    </row>
    <row r="89" spans="1:17">
      <c r="A89" s="41">
        <v>74</v>
      </c>
      <c r="B89" s="56">
        <f t="shared" si="22"/>
        <v>2656.693383416135</v>
      </c>
      <c r="C89" s="56">
        <f t="shared" si="23"/>
        <v>31880.320600993618</v>
      </c>
      <c r="D89" s="56">
        <f t="shared" si="24"/>
        <v>2915.0465265538487</v>
      </c>
      <c r="E89" s="56">
        <f t="shared" si="25"/>
        <v>34980.558318646188</v>
      </c>
      <c r="F89" s="83">
        <f t="shared" si="26"/>
        <v>31879.244689934225</v>
      </c>
      <c r="G89" s="83">
        <f t="shared" si="18"/>
        <v>34981.634229705574</v>
      </c>
      <c r="H89" s="80">
        <f t="shared" si="27"/>
        <v>913182.97006098216</v>
      </c>
      <c r="J89" s="41">
        <v>74</v>
      </c>
      <c r="K89" s="56">
        <f t="shared" si="31"/>
        <v>3862.5503719062485</v>
      </c>
      <c r="L89" s="56">
        <f t="shared" si="19"/>
        <v>46350.604462874981</v>
      </c>
      <c r="M89" s="56">
        <f t="shared" si="28"/>
        <v>2915.0465265538487</v>
      </c>
      <c r="N89" s="56">
        <f t="shared" si="20"/>
        <v>34980.558318646188</v>
      </c>
      <c r="O89" s="83">
        <f t="shared" si="29"/>
        <v>31879.244689934225</v>
      </c>
      <c r="P89" s="87">
        <f t="shared" si="21"/>
        <v>49451.918091586944</v>
      </c>
      <c r="Q89" s="88">
        <f t="shared" si="30"/>
        <v>702649.30854479794</v>
      </c>
    </row>
    <row r="90" spans="1:17">
      <c r="A90" s="41">
        <v>75</v>
      </c>
      <c r="B90" s="56">
        <f t="shared" si="22"/>
        <v>2723.1107180015383</v>
      </c>
      <c r="C90" s="56">
        <f t="shared" si="23"/>
        <v>32677.328616018458</v>
      </c>
      <c r="D90" s="56">
        <f t="shared" si="24"/>
        <v>2987.9226897176945</v>
      </c>
      <c r="E90" s="56">
        <f t="shared" si="25"/>
        <v>35855.072276612336</v>
      </c>
      <c r="F90" s="83">
        <f t="shared" si="26"/>
        <v>32676.225807182578</v>
      </c>
      <c r="G90" s="83">
        <f t="shared" si="18"/>
        <v>35856.175085448223</v>
      </c>
      <c r="H90" s="80">
        <f t="shared" si="27"/>
        <v>985566.46394886973</v>
      </c>
      <c r="J90" s="41">
        <v>75</v>
      </c>
      <c r="K90" s="56">
        <f t="shared" si="31"/>
        <v>3959.1141312039044</v>
      </c>
      <c r="L90" s="56">
        <f t="shared" si="19"/>
        <v>47509.369574446857</v>
      </c>
      <c r="M90" s="56">
        <f t="shared" si="28"/>
        <v>2987.9226897176945</v>
      </c>
      <c r="N90" s="56">
        <f t="shared" si="20"/>
        <v>35855.072276612336</v>
      </c>
      <c r="O90" s="83">
        <f t="shared" si="29"/>
        <v>32676.225807182578</v>
      </c>
      <c r="P90" s="87">
        <f t="shared" si="21"/>
        <v>50688.216043876615</v>
      </c>
      <c r="Q90" s="88">
        <f t="shared" si="30"/>
        <v>781443.4969304665</v>
      </c>
    </row>
    <row r="91" spans="1:17">
      <c r="A91" s="41">
        <v>76</v>
      </c>
      <c r="B91" s="56">
        <f t="shared" si="22"/>
        <v>2791.1884859515767</v>
      </c>
      <c r="C91" s="56">
        <f t="shared" si="23"/>
        <v>33494.261831418917</v>
      </c>
      <c r="D91" s="56">
        <f t="shared" si="24"/>
        <v>3062.6207569606368</v>
      </c>
      <c r="E91" s="56">
        <f t="shared" si="25"/>
        <v>36751.449083527637</v>
      </c>
      <c r="F91" s="83">
        <f t="shared" si="26"/>
        <v>33493.13145236214</v>
      </c>
      <c r="G91" s="83">
        <f t="shared" si="18"/>
        <v>36752.579462584414</v>
      </c>
      <c r="H91" s="80">
        <f t="shared" si="27"/>
        <v>1061741.7019694089</v>
      </c>
      <c r="J91" s="41">
        <v>76</v>
      </c>
      <c r="K91" s="56">
        <f t="shared" si="31"/>
        <v>4058.0919844840018</v>
      </c>
      <c r="L91" s="56">
        <f t="shared" si="19"/>
        <v>48697.103813808018</v>
      </c>
      <c r="M91" s="56">
        <f t="shared" si="28"/>
        <v>3062.6207569606368</v>
      </c>
      <c r="N91" s="56">
        <f t="shared" si="20"/>
        <v>36751.449083527637</v>
      </c>
      <c r="O91" s="83">
        <f t="shared" si="29"/>
        <v>33493.13145236214</v>
      </c>
      <c r="P91" s="87">
        <f t="shared" si="21"/>
        <v>51955.421444973515</v>
      </c>
      <c r="Q91" s="88">
        <f t="shared" si="30"/>
        <v>864656.65825265879</v>
      </c>
    </row>
    <row r="92" spans="1:17">
      <c r="A92" s="41">
        <v>77</v>
      </c>
      <c r="B92" s="56">
        <f t="shared" si="22"/>
        <v>2860.968198100366</v>
      </c>
      <c r="C92" s="56">
        <f t="shared" si="23"/>
        <v>34331.618377204388</v>
      </c>
      <c r="D92" s="56">
        <f t="shared" si="24"/>
        <v>3139.1862758846523</v>
      </c>
      <c r="E92" s="56">
        <f t="shared" si="25"/>
        <v>37670.235310615826</v>
      </c>
      <c r="F92" s="83">
        <f t="shared" si="26"/>
        <v>34330.45973867119</v>
      </c>
      <c r="G92" s="83">
        <f t="shared" si="18"/>
        <v>37671.393949149024</v>
      </c>
      <c r="H92" s="80">
        <f t="shared" si="27"/>
        <v>1141882.7639973343</v>
      </c>
      <c r="J92" s="41">
        <v>77</v>
      </c>
      <c r="K92" s="56">
        <f t="shared" si="31"/>
        <v>4159.5442840961014</v>
      </c>
      <c r="L92" s="56">
        <f t="shared" si="19"/>
        <v>49914.53140915322</v>
      </c>
      <c r="M92" s="56">
        <f t="shared" si="28"/>
        <v>3139.1862758846523</v>
      </c>
      <c r="N92" s="56">
        <f t="shared" si="20"/>
        <v>37670.235310615826</v>
      </c>
      <c r="O92" s="83">
        <f t="shared" si="29"/>
        <v>34330.45973867119</v>
      </c>
      <c r="P92" s="87">
        <f t="shared" si="21"/>
        <v>53254.306981097856</v>
      </c>
      <c r="Q92" s="88">
        <f t="shared" si="30"/>
        <v>952497.23156386311</v>
      </c>
    </row>
    <row r="93" spans="1:17">
      <c r="A93" s="41">
        <v>78</v>
      </c>
      <c r="B93" s="56">
        <f t="shared" si="22"/>
        <v>2932.492403052875</v>
      </c>
      <c r="C93" s="56">
        <f t="shared" si="23"/>
        <v>35189.908836634502</v>
      </c>
      <c r="D93" s="56">
        <f t="shared" si="24"/>
        <v>3217.6659327817683</v>
      </c>
      <c r="E93" s="56">
        <f t="shared" si="25"/>
        <v>38611.991193381218</v>
      </c>
      <c r="F93" s="83">
        <f t="shared" si="26"/>
        <v>35188.72123213797</v>
      </c>
      <c r="G93" s="83">
        <f t="shared" si="18"/>
        <v>38613.17879787775</v>
      </c>
      <c r="H93" s="80">
        <f t="shared" si="27"/>
        <v>1226171.2533551056</v>
      </c>
      <c r="J93" s="41">
        <v>78</v>
      </c>
      <c r="K93" s="56">
        <f t="shared" si="31"/>
        <v>4263.5328911985034</v>
      </c>
      <c r="L93" s="56">
        <f t="shared" si="19"/>
        <v>51162.394694382041</v>
      </c>
      <c r="M93" s="56">
        <f t="shared" si="28"/>
        <v>3217.6659327817683</v>
      </c>
      <c r="N93" s="56">
        <f t="shared" si="20"/>
        <v>38611.991193381218</v>
      </c>
      <c r="O93" s="83">
        <f t="shared" si="29"/>
        <v>35188.72123213797</v>
      </c>
      <c r="P93" s="87">
        <f t="shared" si="21"/>
        <v>54585.664655625289</v>
      </c>
      <c r="Q93" s="88">
        <f t="shared" si="30"/>
        <v>1045182.7854820429</v>
      </c>
    </row>
    <row r="94" spans="1:17">
      <c r="A94" s="41">
        <v>79</v>
      </c>
      <c r="B94" s="56">
        <f t="shared" si="22"/>
        <v>3005.8047131291964</v>
      </c>
      <c r="C94" s="56">
        <f t="shared" si="23"/>
        <v>36069.656557550356</v>
      </c>
      <c r="D94" s="56">
        <f t="shared" si="24"/>
        <v>3298.1075811013125</v>
      </c>
      <c r="E94" s="56">
        <f t="shared" si="25"/>
        <v>39577.29097321575</v>
      </c>
      <c r="F94" s="83">
        <f t="shared" si="26"/>
        <v>36068.439262941414</v>
      </c>
      <c r="G94" s="83">
        <f t="shared" si="18"/>
        <v>39578.508267824691</v>
      </c>
      <c r="H94" s="80">
        <f t="shared" si="27"/>
        <v>1314796.6117571348</v>
      </c>
      <c r="J94" s="41">
        <v>79</v>
      </c>
      <c r="K94" s="56">
        <f t="shared" si="31"/>
        <v>4370.1212134784655</v>
      </c>
      <c r="L94" s="56">
        <f t="shared" si="19"/>
        <v>52441.454561741586</v>
      </c>
      <c r="M94" s="56">
        <f t="shared" si="28"/>
        <v>3298.1075811013125</v>
      </c>
      <c r="N94" s="56">
        <f t="shared" si="20"/>
        <v>39577.29097321575</v>
      </c>
      <c r="O94" s="83">
        <f t="shared" si="29"/>
        <v>36068.439262941414</v>
      </c>
      <c r="P94" s="87">
        <f t="shared" si="21"/>
        <v>55950.306272015914</v>
      </c>
      <c r="Q94" s="88">
        <f t="shared" si="30"/>
        <v>1142940.4031733405</v>
      </c>
    </row>
    <row r="95" spans="1:17">
      <c r="A95" s="41">
        <v>80</v>
      </c>
      <c r="B95" s="56">
        <f t="shared" si="22"/>
        <v>3080.949830957426</v>
      </c>
      <c r="C95" s="56">
        <f t="shared" si="23"/>
        <v>36971.39797148911</v>
      </c>
      <c r="D95" s="56">
        <f t="shared" si="24"/>
        <v>3380.560270628845</v>
      </c>
      <c r="E95" s="56">
        <f t="shared" si="25"/>
        <v>40566.723247546142</v>
      </c>
      <c r="F95" s="83">
        <f t="shared" si="26"/>
        <v>36970.150244514945</v>
      </c>
      <c r="G95" s="83">
        <f t="shared" si="18"/>
        <v>40567.970974520307</v>
      </c>
      <c r="H95" s="80">
        <f t="shared" si="27"/>
        <v>1407956.4472019405</v>
      </c>
      <c r="J95" s="41">
        <v>80</v>
      </c>
      <c r="K95" s="56">
        <f t="shared" si="31"/>
        <v>4479.3742438154268</v>
      </c>
      <c r="L95" s="56">
        <f t="shared" si="19"/>
        <v>53752.490925785125</v>
      </c>
      <c r="M95" s="56">
        <f t="shared" si="28"/>
        <v>3380.560270628845</v>
      </c>
      <c r="N95" s="56">
        <f t="shared" si="20"/>
        <v>40566.723247546142</v>
      </c>
      <c r="O95" s="83">
        <f t="shared" si="29"/>
        <v>36970.150244514945</v>
      </c>
      <c r="P95" s="87">
        <f t="shared" si="21"/>
        <v>57349.063928816329</v>
      </c>
      <c r="Q95" s="88">
        <f t="shared" si="30"/>
        <v>1246007.0832290903</v>
      </c>
    </row>
    <row r="96" spans="1:17">
      <c r="A96" s="41">
        <v>81</v>
      </c>
      <c r="B96" s="56">
        <f t="shared" si="22"/>
        <v>3157.9735767313614</v>
      </c>
      <c r="C96" s="56">
        <f t="shared" si="23"/>
        <v>37895.682920776337</v>
      </c>
      <c r="D96" s="56">
        <f t="shared" si="24"/>
        <v>3465.0742773945658</v>
      </c>
      <c r="E96" s="56">
        <f t="shared" si="25"/>
        <v>41580.89132873479</v>
      </c>
      <c r="F96" s="83">
        <f t="shared" si="26"/>
        <v>37894.404000627816</v>
      </c>
      <c r="G96" s="83">
        <f t="shared" si="18"/>
        <v>41582.170248883303</v>
      </c>
      <c r="H96" s="80">
        <f t="shared" si="27"/>
        <v>1505856.8753389015</v>
      </c>
      <c r="J96" s="41">
        <v>81</v>
      </c>
      <c r="K96" s="56">
        <f t="shared" si="31"/>
        <v>4591.3585999108118</v>
      </c>
      <c r="L96" s="56">
        <f t="shared" si="19"/>
        <v>55096.303198929745</v>
      </c>
      <c r="M96" s="56">
        <f t="shared" si="28"/>
        <v>3465.0742773945658</v>
      </c>
      <c r="N96" s="56">
        <f t="shared" si="20"/>
        <v>41580.89132873479</v>
      </c>
      <c r="O96" s="83">
        <f t="shared" si="29"/>
        <v>37894.404000627816</v>
      </c>
      <c r="P96" s="87">
        <f t="shared" si="21"/>
        <v>58782.790527036726</v>
      </c>
      <c r="Q96" s="88">
        <f t="shared" si="30"/>
        <v>1354630.1570852906</v>
      </c>
    </row>
    <row r="97" spans="1:17">
      <c r="A97" s="41">
        <v>82</v>
      </c>
      <c r="B97" s="56">
        <f t="shared" si="22"/>
        <v>3236.9229161496451</v>
      </c>
      <c r="C97" s="56">
        <f t="shared" si="23"/>
        <v>38843.074993795744</v>
      </c>
      <c r="D97" s="56">
        <f t="shared" si="24"/>
        <v>3551.7011343294298</v>
      </c>
      <c r="E97" s="56">
        <f t="shared" si="25"/>
        <v>42620.413611953161</v>
      </c>
      <c r="F97" s="83">
        <f t="shared" si="26"/>
        <v>38841.764100643508</v>
      </c>
      <c r="G97" s="83">
        <f t="shared" si="18"/>
        <v>42621.724505105398</v>
      </c>
      <c r="H97" s="80">
        <f t="shared" si="27"/>
        <v>1608712.8748575628</v>
      </c>
      <c r="J97" s="41">
        <v>82</v>
      </c>
      <c r="K97" s="56">
        <f t="shared" si="31"/>
        <v>4706.1425649085813</v>
      </c>
      <c r="L97" s="56">
        <f t="shared" si="19"/>
        <v>56473.710778902976</v>
      </c>
      <c r="M97" s="56">
        <f t="shared" si="28"/>
        <v>3551.7011343294298</v>
      </c>
      <c r="N97" s="56">
        <f t="shared" si="20"/>
        <v>42620.413611953161</v>
      </c>
      <c r="O97" s="83">
        <f t="shared" si="29"/>
        <v>38841.764100643508</v>
      </c>
      <c r="P97" s="87">
        <f t="shared" si="21"/>
        <v>60252.360290212622</v>
      </c>
      <c r="Q97" s="88">
        <f t="shared" si="30"/>
        <v>1469067.7236589149</v>
      </c>
    </row>
    <row r="98" spans="1:17">
      <c r="A98" s="41">
        <v>83</v>
      </c>
      <c r="B98" s="56">
        <f t="shared" si="22"/>
        <v>3317.8459890533859</v>
      </c>
      <c r="C98" s="56">
        <f t="shared" si="23"/>
        <v>39814.151868640634</v>
      </c>
      <c r="D98" s="56">
        <f t="shared" si="24"/>
        <v>3640.4936626876652</v>
      </c>
      <c r="E98" s="56">
        <f t="shared" si="25"/>
        <v>43685.923952251978</v>
      </c>
      <c r="F98" s="83">
        <f t="shared" si="26"/>
        <v>39812.808203159591</v>
      </c>
      <c r="G98" s="83">
        <f t="shared" si="18"/>
        <v>43687.267617733021</v>
      </c>
      <c r="H98" s="80">
        <f t="shared" si="27"/>
        <v>1716748.6574695983</v>
      </c>
      <c r="J98" s="41">
        <v>83</v>
      </c>
      <c r="K98" s="56">
        <f t="shared" si="31"/>
        <v>4823.7961290312951</v>
      </c>
      <c r="L98" s="56">
        <f t="shared" si="19"/>
        <v>57885.553548375538</v>
      </c>
      <c r="M98" s="56">
        <f t="shared" si="28"/>
        <v>3640.4936626876652</v>
      </c>
      <c r="N98" s="56">
        <f t="shared" si="20"/>
        <v>43685.923952251978</v>
      </c>
      <c r="O98" s="83">
        <f t="shared" si="29"/>
        <v>39812.808203159591</v>
      </c>
      <c r="P98" s="87">
        <f t="shared" si="21"/>
        <v>61758.669297467924</v>
      </c>
      <c r="Q98" s="88">
        <f t="shared" si="30"/>
        <v>1589589.1019027394</v>
      </c>
    </row>
    <row r="99" spans="1:17">
      <c r="A99" s="41">
        <v>84</v>
      </c>
      <c r="B99" s="56">
        <f t="shared" si="22"/>
        <v>3400.7921387797201</v>
      </c>
      <c r="C99" s="56">
        <f t="shared" si="23"/>
        <v>40809.505665356643</v>
      </c>
      <c r="D99" s="56">
        <f t="shared" si="24"/>
        <v>3731.5060042548566</v>
      </c>
      <c r="E99" s="56">
        <f t="shared" si="25"/>
        <v>44778.072051058276</v>
      </c>
      <c r="F99" s="83">
        <f t="shared" si="26"/>
        <v>40808.128408238576</v>
      </c>
      <c r="G99" s="83">
        <f t="shared" si="18"/>
        <v>44779.449308176343</v>
      </c>
      <c r="H99" s="80">
        <f t="shared" si="27"/>
        <v>1830198.0530765587</v>
      </c>
      <c r="J99" s="41">
        <v>84</v>
      </c>
      <c r="K99" s="56">
        <f t="shared" si="31"/>
        <v>4944.3910322570773</v>
      </c>
      <c r="L99" s="56">
        <f t="shared" si="19"/>
        <v>59332.692387084928</v>
      </c>
      <c r="M99" s="56">
        <f t="shared" si="28"/>
        <v>3731.5060042548566</v>
      </c>
      <c r="N99" s="56">
        <f t="shared" si="20"/>
        <v>44778.072051058276</v>
      </c>
      <c r="O99" s="83">
        <f t="shared" si="29"/>
        <v>40808.128408238576</v>
      </c>
      <c r="P99" s="87">
        <f t="shared" si="21"/>
        <v>63302.636029904628</v>
      </c>
      <c r="Q99" s="88">
        <f t="shared" si="30"/>
        <v>1716475.3020087536</v>
      </c>
    </row>
    <row r="100" spans="1:17">
      <c r="A100" s="41">
        <v>85</v>
      </c>
      <c r="B100" s="56">
        <f t="shared" si="22"/>
        <v>3485.8119422492127</v>
      </c>
      <c r="C100" s="56">
        <f t="shared" si="23"/>
        <v>41829.743306990553</v>
      </c>
      <c r="D100" s="56">
        <f t="shared" si="24"/>
        <v>3824.7936543612277</v>
      </c>
      <c r="E100" s="56">
        <f t="shared" si="25"/>
        <v>45897.523852334736</v>
      </c>
      <c r="F100" s="83">
        <f t="shared" si="26"/>
        <v>41828.331618444536</v>
      </c>
      <c r="G100" s="83">
        <f t="shared" si="18"/>
        <v>45898.935540880753</v>
      </c>
      <c r="H100" s="80">
        <f t="shared" si="27"/>
        <v>1949304.9107405019</v>
      </c>
      <c r="J100" s="41">
        <v>85</v>
      </c>
      <c r="K100" s="56">
        <f t="shared" si="31"/>
        <v>5068.0008080635034</v>
      </c>
      <c r="L100" s="56">
        <f t="shared" si="19"/>
        <v>60816.009696762041</v>
      </c>
      <c r="M100" s="56">
        <f t="shared" si="28"/>
        <v>3824.7936543612277</v>
      </c>
      <c r="N100" s="56">
        <f t="shared" si="20"/>
        <v>45897.523852334736</v>
      </c>
      <c r="O100" s="83">
        <f t="shared" si="29"/>
        <v>41828.331618444536</v>
      </c>
      <c r="P100" s="87">
        <f t="shared" si="21"/>
        <v>64885.201930652249</v>
      </c>
      <c r="Q100" s="88">
        <f t="shared" si="30"/>
        <v>1850019.516019756</v>
      </c>
    </row>
    <row r="101" spans="1:17">
      <c r="A101" s="41">
        <v>86</v>
      </c>
      <c r="B101" s="56">
        <f t="shared" si="22"/>
        <v>3572.9572408054428</v>
      </c>
      <c r="C101" s="56">
        <f t="shared" si="23"/>
        <v>42875.486889665313</v>
      </c>
      <c r="D101" s="56">
        <f t="shared" si="24"/>
        <v>3920.4134957202582</v>
      </c>
      <c r="E101" s="56">
        <f t="shared" si="25"/>
        <v>47044.961948643097</v>
      </c>
      <c r="F101" s="83">
        <f t="shared" si="26"/>
        <v>42874.039908905645</v>
      </c>
      <c r="G101" s="83">
        <f t="shared" si="18"/>
        <v>47046.408929402765</v>
      </c>
      <c r="H101" s="80">
        <f t="shared" si="27"/>
        <v>2074323.5160995247</v>
      </c>
      <c r="J101" s="41">
        <v>86</v>
      </c>
      <c r="K101" s="56">
        <f t="shared" si="31"/>
        <v>5194.7008282650904</v>
      </c>
      <c r="L101" s="56">
        <f t="shared" si="19"/>
        <v>62336.409939181089</v>
      </c>
      <c r="M101" s="56">
        <f t="shared" si="28"/>
        <v>3920.4134957202582</v>
      </c>
      <c r="N101" s="56">
        <f t="shared" si="20"/>
        <v>47044.961948643097</v>
      </c>
      <c r="O101" s="83">
        <f t="shared" si="29"/>
        <v>42874.039908905645</v>
      </c>
      <c r="P101" s="87">
        <f t="shared" si="21"/>
        <v>66507.331978918533</v>
      </c>
      <c r="Q101" s="88">
        <f t="shared" si="30"/>
        <v>1990527.6286394647</v>
      </c>
    </row>
    <row r="102" spans="1:17">
      <c r="A102" s="41">
        <v>87</v>
      </c>
      <c r="B102" s="56">
        <f t="shared" si="22"/>
        <v>3662.2811718255784</v>
      </c>
      <c r="C102" s="56">
        <f t="shared" si="23"/>
        <v>43947.374061906943</v>
      </c>
      <c r="D102" s="56">
        <f t="shared" si="24"/>
        <v>4018.4238331132642</v>
      </c>
      <c r="E102" s="56">
        <f t="shared" si="25"/>
        <v>48221.085997359172</v>
      </c>
      <c r="F102" s="83">
        <f t="shared" si="26"/>
        <v>43945.890906628279</v>
      </c>
      <c r="G102" s="83">
        <f t="shared" si="18"/>
        <v>48222.569152637836</v>
      </c>
      <c r="H102" s="80">
        <f t="shared" si="27"/>
        <v>2205519.0258961436</v>
      </c>
      <c r="J102" s="41">
        <v>87</v>
      </c>
      <c r="K102" s="56">
        <f t="shared" si="31"/>
        <v>5324.5683489717176</v>
      </c>
      <c r="L102" s="56">
        <f t="shared" si="19"/>
        <v>63894.820187660611</v>
      </c>
      <c r="M102" s="56">
        <f t="shared" si="28"/>
        <v>4018.4238331132642</v>
      </c>
      <c r="N102" s="56">
        <f t="shared" si="20"/>
        <v>48221.085997359172</v>
      </c>
      <c r="O102" s="83">
        <f t="shared" si="29"/>
        <v>43945.890906628279</v>
      </c>
      <c r="P102" s="87">
        <f t="shared" si="21"/>
        <v>68170.015278391511</v>
      </c>
      <c r="Q102" s="88">
        <f t="shared" si="30"/>
        <v>2138318.749063435</v>
      </c>
    </row>
    <row r="103" spans="1:17">
      <c r="A103" s="41">
        <v>88</v>
      </c>
      <c r="B103" s="56">
        <f t="shared" si="22"/>
        <v>3753.8382011212175</v>
      </c>
      <c r="C103" s="56">
        <f t="shared" si="23"/>
        <v>45046.058413454608</v>
      </c>
      <c r="D103" s="56">
        <f t="shared" si="24"/>
        <v>4118.8844289410954</v>
      </c>
      <c r="E103" s="56">
        <f t="shared" si="25"/>
        <v>49426.613147293145</v>
      </c>
      <c r="F103" s="83">
        <f t="shared" si="26"/>
        <v>45044.538179293981</v>
      </c>
      <c r="G103" s="83">
        <f t="shared" si="18"/>
        <v>49428.133381453772</v>
      </c>
      <c r="H103" s="80">
        <f t="shared" si="27"/>
        <v>2343167.9203134431</v>
      </c>
      <c r="J103" s="41">
        <v>88</v>
      </c>
      <c r="K103" s="56">
        <f t="shared" si="31"/>
        <v>5457.68255769601</v>
      </c>
      <c r="L103" s="56">
        <f t="shared" si="19"/>
        <v>65492.190692352116</v>
      </c>
      <c r="M103" s="56">
        <f t="shared" si="28"/>
        <v>4118.8844289410954</v>
      </c>
      <c r="N103" s="56">
        <f t="shared" si="20"/>
        <v>49426.613147293145</v>
      </c>
      <c r="O103" s="83">
        <f t="shared" si="29"/>
        <v>45044.538179293981</v>
      </c>
      <c r="P103" s="87">
        <f t="shared" si="21"/>
        <v>69874.265660351288</v>
      </c>
      <c r="Q103" s="88">
        <f t="shared" si="30"/>
        <v>2293725.7646863237</v>
      </c>
    </row>
    <row r="104" spans="1:17">
      <c r="A104" s="41">
        <v>89</v>
      </c>
      <c r="B104" s="56">
        <f t="shared" si="22"/>
        <v>3847.6841561492474</v>
      </c>
      <c r="C104" s="56">
        <f t="shared" si="23"/>
        <v>46172.209873790969</v>
      </c>
      <c r="D104" s="56">
        <f t="shared" si="24"/>
        <v>4221.8565396646227</v>
      </c>
      <c r="E104" s="56">
        <f t="shared" si="25"/>
        <v>50662.278475975472</v>
      </c>
      <c r="F104" s="83">
        <f t="shared" si="26"/>
        <v>46170.651633776324</v>
      </c>
      <c r="G104" s="83">
        <f t="shared" si="18"/>
        <v>50663.836715990117</v>
      </c>
      <c r="H104" s="80">
        <f t="shared" si="27"/>
        <v>2487558.4738419713</v>
      </c>
      <c r="J104" s="41">
        <v>89</v>
      </c>
      <c r="K104" s="56">
        <f t="shared" si="31"/>
        <v>5594.1246216384097</v>
      </c>
      <c r="L104" s="56">
        <f t="shared" si="19"/>
        <v>67129.495459660917</v>
      </c>
      <c r="M104" s="56">
        <f t="shared" si="28"/>
        <v>4221.8565396646227</v>
      </c>
      <c r="N104" s="56">
        <f t="shared" si="20"/>
        <v>50662.278475975472</v>
      </c>
      <c r="O104" s="83">
        <f t="shared" si="29"/>
        <v>46170.651633776324</v>
      </c>
      <c r="P104" s="87">
        <f t="shared" si="21"/>
        <v>71621.122301860072</v>
      </c>
      <c r="Q104" s="88">
        <f t="shared" si="30"/>
        <v>2457095.9175756369</v>
      </c>
    </row>
    <row r="105" spans="1:17">
      <c r="A105" s="41">
        <v>90</v>
      </c>
      <c r="B105" s="56">
        <f t="shared" si="22"/>
        <v>3943.8762600529781</v>
      </c>
      <c r="C105" s="56">
        <f t="shared" si="23"/>
        <v>47326.51512063574</v>
      </c>
      <c r="D105" s="56">
        <f t="shared" si="24"/>
        <v>4327.4029531562383</v>
      </c>
      <c r="E105" s="56">
        <f t="shared" si="25"/>
        <v>51928.835437874863</v>
      </c>
      <c r="F105" s="83">
        <f t="shared" si="26"/>
        <v>47324.917924620728</v>
      </c>
      <c r="G105" s="83">
        <f t="shared" si="18"/>
        <v>51930.432633889875</v>
      </c>
      <c r="H105" s="80">
        <f t="shared" si="27"/>
        <v>2638991.2454295401</v>
      </c>
      <c r="J105" s="41">
        <v>90</v>
      </c>
      <c r="K105" s="56">
        <f t="shared" si="31"/>
        <v>5733.9777371793698</v>
      </c>
      <c r="L105" s="56">
        <f t="shared" si="19"/>
        <v>68807.732846152445</v>
      </c>
      <c r="M105" s="56">
        <f t="shared" si="28"/>
        <v>4327.4029531562383</v>
      </c>
      <c r="N105" s="56">
        <f t="shared" si="20"/>
        <v>51928.835437874863</v>
      </c>
      <c r="O105" s="83">
        <f t="shared" si="29"/>
        <v>47324.917924620728</v>
      </c>
      <c r="P105" s="87">
        <f t="shared" si="21"/>
        <v>73411.650359406573</v>
      </c>
      <c r="Q105" s="88">
        <f t="shared" si="30"/>
        <v>2628791.4046380692</v>
      </c>
    </row>
    <row r="106" spans="1:17">
      <c r="A106" s="41">
        <v>91</v>
      </c>
      <c r="B106" s="56">
        <f t="shared" si="22"/>
        <v>4042.4731665543022</v>
      </c>
      <c r="C106" s="56">
        <f t="shared" si="23"/>
        <v>48509.677998651627</v>
      </c>
      <c r="D106" s="56">
        <f t="shared" si="24"/>
        <v>4435.5880269851441</v>
      </c>
      <c r="E106" s="56">
        <f t="shared" si="25"/>
        <v>53227.056323821729</v>
      </c>
      <c r="F106" s="83">
        <f t="shared" si="26"/>
        <v>48508.040872736245</v>
      </c>
      <c r="G106" s="83">
        <f t="shared" si="18"/>
        <v>53228.693449737104</v>
      </c>
      <c r="H106" s="80">
        <f t="shared" si="27"/>
        <v>2797779.5886964588</v>
      </c>
      <c r="J106" s="41">
        <v>91</v>
      </c>
      <c r="K106" s="56">
        <f t="shared" si="31"/>
        <v>5877.3271806088533</v>
      </c>
      <c r="L106" s="56">
        <f t="shared" si="19"/>
        <v>70527.926167306243</v>
      </c>
      <c r="M106" s="56">
        <f t="shared" si="28"/>
        <v>4435.5880269851441</v>
      </c>
      <c r="N106" s="56">
        <f t="shared" si="20"/>
        <v>53227.056323821729</v>
      </c>
      <c r="O106" s="83">
        <f t="shared" si="29"/>
        <v>48508.040872736245</v>
      </c>
      <c r="P106" s="87">
        <f t="shared" si="21"/>
        <v>75246.94161839172</v>
      </c>
      <c r="Q106" s="88">
        <f t="shared" si="30"/>
        <v>2809190.0024419837</v>
      </c>
    </row>
    <row r="107" spans="1:17">
      <c r="A107" s="41">
        <v>92</v>
      </c>
      <c r="B107" s="56">
        <f t="shared" si="22"/>
        <v>4143.5349957181597</v>
      </c>
      <c r="C107" s="56">
        <f t="shared" si="23"/>
        <v>49722.419948617913</v>
      </c>
      <c r="D107" s="56">
        <f t="shared" si="24"/>
        <v>4546.4777276597724</v>
      </c>
      <c r="E107" s="56">
        <f t="shared" si="25"/>
        <v>54557.732731917269</v>
      </c>
      <c r="F107" s="83">
        <f t="shared" si="26"/>
        <v>49720.741894554645</v>
      </c>
      <c r="G107" s="83">
        <f t="shared" si="18"/>
        <v>54559.410785980544</v>
      </c>
      <c r="H107" s="80">
        <f t="shared" si="27"/>
        <v>2964250.183030298</v>
      </c>
      <c r="J107" s="41">
        <v>92</v>
      </c>
      <c r="K107" s="56">
        <f t="shared" si="31"/>
        <v>6024.2603601240744</v>
      </c>
      <c r="L107" s="56">
        <f t="shared" si="19"/>
        <v>72291.124321488896</v>
      </c>
      <c r="M107" s="56">
        <f t="shared" si="28"/>
        <v>4546.4777276597724</v>
      </c>
      <c r="N107" s="56">
        <f t="shared" si="20"/>
        <v>54557.732731917269</v>
      </c>
      <c r="O107" s="83">
        <f t="shared" si="29"/>
        <v>49720.741894554645</v>
      </c>
      <c r="P107" s="87">
        <f t="shared" si="21"/>
        <v>77128.11515885152</v>
      </c>
      <c r="Q107" s="88">
        <f t="shared" si="30"/>
        <v>2998685.7176985149</v>
      </c>
    </row>
    <row r="108" spans="1:17">
      <c r="A108" s="41">
        <v>93</v>
      </c>
      <c r="B108" s="56">
        <f t="shared" si="22"/>
        <v>4247.1233706111134</v>
      </c>
      <c r="C108" s="56">
        <f t="shared" si="23"/>
        <v>50965.480447333364</v>
      </c>
      <c r="D108" s="56">
        <f t="shared" si="24"/>
        <v>4660.1396708512666</v>
      </c>
      <c r="E108" s="56">
        <f t="shared" si="25"/>
        <v>55921.676050215203</v>
      </c>
      <c r="F108" s="83">
        <f t="shared" si="26"/>
        <v>50963.760441918508</v>
      </c>
      <c r="G108" s="83">
        <f t="shared" si="18"/>
        <v>55923.396055630059</v>
      </c>
      <c r="H108" s="80">
        <f t="shared" si="27"/>
        <v>3138743.5864071399</v>
      </c>
      <c r="J108" s="41">
        <v>93</v>
      </c>
      <c r="K108" s="56">
        <f t="shared" si="31"/>
        <v>6174.866869127176</v>
      </c>
      <c r="L108" s="56">
        <f t="shared" si="19"/>
        <v>74098.402429526119</v>
      </c>
      <c r="M108" s="56">
        <f t="shared" si="28"/>
        <v>4660.1396708512666</v>
      </c>
      <c r="N108" s="56">
        <f t="shared" si="20"/>
        <v>55921.676050215203</v>
      </c>
      <c r="O108" s="83">
        <f t="shared" si="29"/>
        <v>50963.760441918508</v>
      </c>
      <c r="P108" s="87">
        <f t="shared" si="21"/>
        <v>79056.318037822813</v>
      </c>
      <c r="Q108" s="88">
        <f t="shared" si="30"/>
        <v>3197689.4644442783</v>
      </c>
    </row>
    <row r="109" spans="1:17">
      <c r="A109" s="41">
        <v>94</v>
      </c>
      <c r="B109" s="56">
        <f t="shared" si="22"/>
        <v>4353.3014548763913</v>
      </c>
      <c r="C109" s="56">
        <f t="shared" si="23"/>
        <v>52239.617458516695</v>
      </c>
      <c r="D109" s="56">
        <f t="shared" si="24"/>
        <v>4776.6431626225476</v>
      </c>
      <c r="E109" s="56">
        <f t="shared" si="25"/>
        <v>57319.717951470571</v>
      </c>
      <c r="F109" s="83">
        <f t="shared" si="26"/>
        <v>52237.854452966465</v>
      </c>
      <c r="G109" s="83">
        <f t="shared" si="18"/>
        <v>57321.480957020802</v>
      </c>
      <c r="H109" s="80">
        <f t="shared" si="27"/>
        <v>3321614.8108204468</v>
      </c>
      <c r="J109" s="41">
        <v>94</v>
      </c>
      <c r="K109" s="56">
        <f t="shared" si="31"/>
        <v>6329.2385408553546</v>
      </c>
      <c r="L109" s="56">
        <f t="shared" si="19"/>
        <v>75950.862490264262</v>
      </c>
      <c r="M109" s="56">
        <f t="shared" si="28"/>
        <v>4776.6431626225476</v>
      </c>
      <c r="N109" s="56">
        <f t="shared" si="20"/>
        <v>57319.717951470571</v>
      </c>
      <c r="O109" s="83">
        <f t="shared" si="29"/>
        <v>52237.854452966465</v>
      </c>
      <c r="P109" s="87">
        <f t="shared" si="21"/>
        <v>81032.725988768376</v>
      </c>
      <c r="Q109" s="88">
        <f t="shared" si="30"/>
        <v>3406629.7690108181</v>
      </c>
    </row>
    <row r="110" spans="1:17">
      <c r="A110" s="41">
        <v>95</v>
      </c>
      <c r="B110" s="56">
        <f t="shared" si="22"/>
        <v>4462.1339912483008</v>
      </c>
      <c r="C110" s="56">
        <f t="shared" si="23"/>
        <v>53545.607894979606</v>
      </c>
      <c r="D110" s="56">
        <f t="shared" si="24"/>
        <v>4896.0592416881109</v>
      </c>
      <c r="E110" s="56">
        <f t="shared" si="25"/>
        <v>58752.710900257327</v>
      </c>
      <c r="F110" s="83">
        <f t="shared" si="26"/>
        <v>53543.800814290626</v>
      </c>
      <c r="G110" s="83">
        <f t="shared" si="18"/>
        <v>58754.517980946308</v>
      </c>
      <c r="H110" s="80">
        <f t="shared" si="27"/>
        <v>3513233.921234211</v>
      </c>
      <c r="J110" s="41">
        <v>95</v>
      </c>
      <c r="K110" s="56">
        <f t="shared" si="31"/>
        <v>6487.4695043767379</v>
      </c>
      <c r="L110" s="56">
        <f t="shared" si="19"/>
        <v>77849.634052520851</v>
      </c>
      <c r="M110" s="56">
        <f t="shared" si="28"/>
        <v>4896.0592416881109</v>
      </c>
      <c r="N110" s="56">
        <f t="shared" si="20"/>
        <v>58752.710900257327</v>
      </c>
      <c r="O110" s="83">
        <f t="shared" si="29"/>
        <v>53543.800814290626</v>
      </c>
      <c r="P110" s="87">
        <f t="shared" si="21"/>
        <v>83058.544138487574</v>
      </c>
      <c r="Q110" s="88">
        <f t="shared" si="30"/>
        <v>3625953.5039097383</v>
      </c>
    </row>
    <row r="111" spans="1:17">
      <c r="A111" s="41">
        <v>96</v>
      </c>
      <c r="B111" s="56">
        <f t="shared" si="22"/>
        <v>4573.6873410295084</v>
      </c>
      <c r="C111" s="56">
        <f t="shared" si="23"/>
        <v>54884.248092354101</v>
      </c>
      <c r="D111" s="56">
        <f t="shared" si="24"/>
        <v>5018.4607227303131</v>
      </c>
      <c r="E111" s="56">
        <f t="shared" si="25"/>
        <v>60221.528672763758</v>
      </c>
      <c r="F111" s="83">
        <f t="shared" si="26"/>
        <v>54882.395834647883</v>
      </c>
      <c r="G111" s="83">
        <f t="shared" si="18"/>
        <v>60223.380930469975</v>
      </c>
      <c r="H111" s="80">
        <f t="shared" si="27"/>
        <v>3713986.6590140495</v>
      </c>
      <c r="J111" s="41">
        <v>96</v>
      </c>
      <c r="K111" s="56">
        <f t="shared" si="31"/>
        <v>6649.6562419861557</v>
      </c>
      <c r="L111" s="56">
        <f t="shared" si="19"/>
        <v>79795.874903833872</v>
      </c>
      <c r="M111" s="56">
        <f t="shared" si="28"/>
        <v>5018.4607227303131</v>
      </c>
      <c r="N111" s="56">
        <f t="shared" si="20"/>
        <v>60221.528672763758</v>
      </c>
      <c r="O111" s="83">
        <f t="shared" si="29"/>
        <v>54882.395834647883</v>
      </c>
      <c r="P111" s="87">
        <f t="shared" si="21"/>
        <v>85135.007741949754</v>
      </c>
      <c r="Q111" s="88">
        <f t="shared" si="30"/>
        <v>3856126.6518080775</v>
      </c>
    </row>
    <row r="112" spans="1:17">
      <c r="A112" s="41">
        <v>97</v>
      </c>
      <c r="B112" s="56">
        <f t="shared" si="22"/>
        <v>4688.0295245552461</v>
      </c>
      <c r="C112" s="56">
        <f t="shared" si="23"/>
        <v>56256.354294662953</v>
      </c>
      <c r="D112" s="56">
        <f t="shared" si="24"/>
        <v>5143.9222407985708</v>
      </c>
      <c r="E112" s="56">
        <f t="shared" si="25"/>
        <v>61727.066889582849</v>
      </c>
      <c r="F112" s="83">
        <f t="shared" si="26"/>
        <v>56254.455730514077</v>
      </c>
      <c r="G112" s="83">
        <f t="shared" si="18"/>
        <v>61728.965453731726</v>
      </c>
      <c r="H112" s="80">
        <f t="shared" si="27"/>
        <v>3924275.0908283433</v>
      </c>
      <c r="J112" s="41">
        <v>97</v>
      </c>
      <c r="K112" s="56">
        <f t="shared" si="31"/>
        <v>6815.8976480358087</v>
      </c>
      <c r="L112" s="56">
        <f t="shared" si="19"/>
        <v>81790.771776429698</v>
      </c>
      <c r="M112" s="56">
        <f t="shared" si="28"/>
        <v>5143.9222407985708</v>
      </c>
      <c r="N112" s="56">
        <f t="shared" si="20"/>
        <v>61727.066889582849</v>
      </c>
      <c r="O112" s="83">
        <f t="shared" si="29"/>
        <v>56254.455730514077</v>
      </c>
      <c r="P112" s="87">
        <f t="shared" si="21"/>
        <v>87263.382935498463</v>
      </c>
      <c r="Q112" s="88">
        <f t="shared" si="30"/>
        <v>4097635.1008158992</v>
      </c>
    </row>
    <row r="113" spans="1:19">
      <c r="A113" s="41">
        <v>98</v>
      </c>
      <c r="B113" s="56">
        <f t="shared" si="22"/>
        <v>4805.2302626691271</v>
      </c>
      <c r="C113" s="56">
        <f t="shared" si="23"/>
        <v>57662.763152029525</v>
      </c>
      <c r="D113" s="56">
        <f t="shared" si="24"/>
        <v>5272.5202968185349</v>
      </c>
      <c r="E113" s="56">
        <f t="shared" si="25"/>
        <v>63270.243561822419</v>
      </c>
      <c r="F113" s="83">
        <f t="shared" si="26"/>
        <v>57660.817123776927</v>
      </c>
      <c r="G113" s="83">
        <f t="shared" si="18"/>
        <v>63272.18959007501</v>
      </c>
      <c r="H113" s="80">
        <f t="shared" si="27"/>
        <v>4144518.2840515524</v>
      </c>
      <c r="J113" s="41">
        <v>98</v>
      </c>
      <c r="K113" s="56">
        <f t="shared" si="31"/>
        <v>6986.2950892367035</v>
      </c>
      <c r="L113" s="56">
        <f t="shared" si="19"/>
        <v>83835.541070840438</v>
      </c>
      <c r="M113" s="56">
        <f t="shared" si="28"/>
        <v>5272.5202968185349</v>
      </c>
      <c r="N113" s="56">
        <f t="shared" si="20"/>
        <v>63270.243561822419</v>
      </c>
      <c r="O113" s="83">
        <f t="shared" si="29"/>
        <v>57660.817123776927</v>
      </c>
      <c r="P113" s="87">
        <f t="shared" si="21"/>
        <v>89444.967508885937</v>
      </c>
      <c r="Q113" s="88">
        <f t="shared" si="30"/>
        <v>4350985.4723574212</v>
      </c>
    </row>
    <row r="114" spans="1:19">
      <c r="A114" s="41">
        <v>99</v>
      </c>
      <c r="B114" s="56">
        <f t="shared" si="22"/>
        <v>4925.3610192358547</v>
      </c>
      <c r="C114" s="56">
        <f t="shared" si="23"/>
        <v>59104.33223083026</v>
      </c>
      <c r="D114" s="56">
        <f t="shared" si="24"/>
        <v>5404.3333042389977</v>
      </c>
      <c r="E114" s="56">
        <f t="shared" si="25"/>
        <v>64851.999650867976</v>
      </c>
      <c r="F114" s="83">
        <f t="shared" si="26"/>
        <v>59102.337551871344</v>
      </c>
      <c r="G114" s="83">
        <f t="shared" si="18"/>
        <v>64853.994329826892</v>
      </c>
      <c r="H114" s="80">
        <f t="shared" si="27"/>
        <v>4375153.0097434418</v>
      </c>
      <c r="J114" s="41">
        <v>99</v>
      </c>
      <c r="K114" s="56">
        <f t="shared" si="31"/>
        <v>7160.9524664676201</v>
      </c>
      <c r="L114" s="56">
        <f t="shared" si="19"/>
        <v>85931.429597611437</v>
      </c>
      <c r="M114" s="56">
        <f t="shared" si="28"/>
        <v>5404.3333042389977</v>
      </c>
      <c r="N114" s="56">
        <f t="shared" si="20"/>
        <v>64851.999650867976</v>
      </c>
      <c r="O114" s="83">
        <f t="shared" si="29"/>
        <v>59102.337551871344</v>
      </c>
      <c r="P114" s="87">
        <f t="shared" si="21"/>
        <v>91681.091696608084</v>
      </c>
      <c r="Q114" s="88">
        <f t="shared" si="30"/>
        <v>4616705.9829483265</v>
      </c>
    </row>
    <row r="115" spans="1:19" ht="15" thickBot="1">
      <c r="A115" s="43">
        <v>100</v>
      </c>
      <c r="B115" s="59">
        <f t="shared" si="22"/>
        <v>5048.4950447167503</v>
      </c>
      <c r="C115" s="56">
        <f t="shared" si="23"/>
        <v>60581.940536601003</v>
      </c>
      <c r="D115" s="56">
        <f t="shared" si="24"/>
        <v>5539.441636844972</v>
      </c>
      <c r="E115" s="56">
        <f t="shared" si="25"/>
        <v>66473.299642139667</v>
      </c>
      <c r="F115" s="83">
        <f t="shared" si="26"/>
        <v>60579.895990668119</v>
      </c>
      <c r="G115" s="83">
        <f t="shared" si="18"/>
        <v>66475.344188072544</v>
      </c>
      <c r="H115" s="80">
        <f t="shared" si="27"/>
        <v>4616634.4743212527</v>
      </c>
      <c r="J115" s="43">
        <v>100</v>
      </c>
      <c r="K115" s="59">
        <f t="shared" si="31"/>
        <v>7339.9762781293102</v>
      </c>
      <c r="L115" s="59">
        <f t="shared" si="19"/>
        <v>88079.715337551723</v>
      </c>
      <c r="M115" s="56">
        <f t="shared" si="28"/>
        <v>5539.441636844972</v>
      </c>
      <c r="N115" s="56">
        <f t="shared" si="20"/>
        <v>66473.299642139667</v>
      </c>
      <c r="O115" s="83">
        <f t="shared" si="29"/>
        <v>60579.895990668119</v>
      </c>
      <c r="P115" s="87">
        <f t="shared" si="21"/>
        <v>93973.118989023264</v>
      </c>
      <c r="Q115" s="88">
        <f t="shared" si="30"/>
        <v>4895347.341255283</v>
      </c>
    </row>
    <row r="123" spans="1:19" ht="15" thickBot="1"/>
    <row r="124" spans="1:19" ht="15" thickBot="1">
      <c r="A124" s="81" t="s">
        <v>140</v>
      </c>
      <c r="J124" t="s">
        <v>144</v>
      </c>
    </row>
    <row r="125" spans="1:19" ht="29.4" thickBot="1">
      <c r="A125" s="39" t="s">
        <v>129</v>
      </c>
      <c r="B125" s="72" t="s">
        <v>141</v>
      </c>
      <c r="C125" s="82" t="s">
        <v>142</v>
      </c>
      <c r="D125" s="122" t="s">
        <v>186</v>
      </c>
      <c r="E125" s="85" t="s">
        <v>145</v>
      </c>
      <c r="F125" s="86" t="s">
        <v>146</v>
      </c>
      <c r="G125" s="84" t="s">
        <v>152</v>
      </c>
      <c r="H125" s="82" t="s">
        <v>188</v>
      </c>
      <c r="I125" s="121" t="s">
        <v>143</v>
      </c>
      <c r="K125" s="73" t="s">
        <v>129</v>
      </c>
      <c r="L125" s="50" t="s">
        <v>141</v>
      </c>
      <c r="M125" s="89" t="s">
        <v>142</v>
      </c>
      <c r="N125" s="50" t="s">
        <v>189</v>
      </c>
      <c r="O125" s="50" t="s">
        <v>148</v>
      </c>
      <c r="P125" s="90" t="s">
        <v>146</v>
      </c>
      <c r="Q125" s="91" t="s">
        <v>152</v>
      </c>
      <c r="R125" s="91" t="s">
        <v>155</v>
      </c>
      <c r="S125" s="125" t="s">
        <v>143</v>
      </c>
    </row>
    <row r="126" spans="1:19">
      <c r="A126" s="41">
        <v>62</v>
      </c>
      <c r="B126" s="56">
        <f>B13</f>
        <v>1975.3999999999999</v>
      </c>
      <c r="C126" s="56">
        <f>B126*12</f>
        <v>23704.799999999999</v>
      </c>
      <c r="D126" s="56">
        <f>C126*0.9</f>
        <v>21334.32</v>
      </c>
      <c r="E126" s="56">
        <f>$G$16</f>
        <v>2167.5</v>
      </c>
      <c r="F126" s="56">
        <f>IF(A126&lt;=$H$4,E126*12,D126)</f>
        <v>26010</v>
      </c>
      <c r="G126" s="83">
        <f>$B$9</f>
        <v>23704</v>
      </c>
      <c r="H126" s="83">
        <f>(F126+C126)-G126</f>
        <v>26010.800000000003</v>
      </c>
      <c r="I126" s="80">
        <f>$H$4*(1+$B$5)+H126</f>
        <v>286010.8</v>
      </c>
      <c r="K126" s="61">
        <v>62</v>
      </c>
      <c r="L126" s="62">
        <v>0</v>
      </c>
      <c r="M126" s="62">
        <f>L126*12</f>
        <v>0</v>
      </c>
      <c r="N126" s="62">
        <f>M126*$B$4</f>
        <v>0</v>
      </c>
      <c r="O126" s="62">
        <f>E126</f>
        <v>2167.5</v>
      </c>
      <c r="P126" s="62">
        <f>O126*12</f>
        <v>26010</v>
      </c>
      <c r="Q126" s="87">
        <f>$B$9</f>
        <v>23704</v>
      </c>
      <c r="R126" s="87">
        <f>IF(K126&lt;=$H$6,(M126+P126)-Q126,(IF(P126&gt;=N126,P126-Q126,N126-G127)))</f>
        <v>2306</v>
      </c>
      <c r="S126" s="88">
        <f>($H$4)*(1+$B$5)+P126+R126-C126</f>
        <v>264611.20000000001</v>
      </c>
    </row>
    <row r="127" spans="1:19">
      <c r="A127" s="41">
        <v>63</v>
      </c>
      <c r="B127" s="56">
        <f>B126*(1+$B$4)</f>
        <v>2024.7849999999996</v>
      </c>
      <c r="C127" s="56">
        <f t="shared" ref="C127:C164" si="32">B127*12</f>
        <v>24297.419999999995</v>
      </c>
      <c r="D127" s="56">
        <f t="shared" ref="D127:D164" si="33">C127*0.9</f>
        <v>21867.677999999996</v>
      </c>
      <c r="E127" s="56">
        <f>E126*(1+$B$4)</f>
        <v>2221.6875</v>
      </c>
      <c r="F127" s="56">
        <f>E127*12</f>
        <v>26660.25</v>
      </c>
      <c r="G127" s="83">
        <f>G126*(1+$B$4)</f>
        <v>24296.6</v>
      </c>
      <c r="H127" s="83">
        <f>IF(A127&lt;=$H$5,C127+F127-G127,(IF(F127&gt;=D127,F127-G127,D126-G127)))</f>
        <v>26661.07</v>
      </c>
      <c r="I127" s="80">
        <f>I126*(1+$B$5)+H127</f>
        <v>324112.30200000003</v>
      </c>
      <c r="K127" s="41">
        <v>63</v>
      </c>
      <c r="L127" s="56">
        <v>0</v>
      </c>
      <c r="M127" s="56">
        <f t="shared" ref="M127:M164" si="34">L127*12</f>
        <v>0</v>
      </c>
      <c r="N127" s="62">
        <f t="shared" ref="N127:N133" si="35">M127*$B$4</f>
        <v>0</v>
      </c>
      <c r="O127" s="56">
        <f>O126*(1+$B$4)</f>
        <v>2221.6875</v>
      </c>
      <c r="P127" s="56">
        <f t="shared" ref="P127:P164" si="36">O127*12</f>
        <v>26660.25</v>
      </c>
      <c r="Q127" s="83">
        <f>Q126*(1+$B$4)</f>
        <v>24296.6</v>
      </c>
      <c r="R127" s="87">
        <f>IF(K127&lt;=$H$5,(M127+P127)-Q127,(IF(P127&gt;=N127,P127-Q127,N127-Q127)))</f>
        <v>2363.6500000000015</v>
      </c>
      <c r="S127" s="88">
        <f>S126*(1+$B$5)+R127</f>
        <v>277559.29800000007</v>
      </c>
    </row>
    <row r="128" spans="1:19">
      <c r="A128" s="41">
        <v>64</v>
      </c>
      <c r="B128" s="56">
        <f t="shared" ref="B128:B164" si="37">B127*(1+$B$4)</f>
        <v>2075.4046249999992</v>
      </c>
      <c r="C128" s="56">
        <f t="shared" si="32"/>
        <v>24904.855499999991</v>
      </c>
      <c r="D128" s="56">
        <f t="shared" si="33"/>
        <v>22414.369949999993</v>
      </c>
      <c r="E128" s="56">
        <f t="shared" ref="E128:E164" si="38">E127*(1+$B$4)</f>
        <v>2277.2296874999997</v>
      </c>
      <c r="F128" s="56">
        <f t="shared" ref="F128:F164" si="39">E128*12</f>
        <v>27326.756249999999</v>
      </c>
      <c r="G128" s="83">
        <f t="shared" ref="G128:G164" si="40">G127*(1+$B$4)</f>
        <v>24904.014999999996</v>
      </c>
      <c r="H128" s="83">
        <f t="shared" ref="H128:H164" si="41">IF(A128&lt;=$H$5,C128+F128-G128,(IF(F128&gt;=D128,F128-G128,D127-G128)))</f>
        <v>27327.596749999993</v>
      </c>
      <c r="I128" s="80">
        <f t="shared" ref="I128:I164" si="42">I127*(1+$B$5)+H128</f>
        <v>364404.39082999999</v>
      </c>
      <c r="K128" s="41">
        <v>64</v>
      </c>
      <c r="L128" s="56">
        <v>0</v>
      </c>
      <c r="M128" s="56">
        <f t="shared" si="34"/>
        <v>0</v>
      </c>
      <c r="N128" s="62">
        <f t="shared" si="35"/>
        <v>0</v>
      </c>
      <c r="O128" s="56">
        <f t="shared" ref="O128:O147" si="43">O127*(1+$B$4)</f>
        <v>2277.2296874999997</v>
      </c>
      <c r="P128" s="56">
        <f t="shared" si="36"/>
        <v>27326.756249999999</v>
      </c>
      <c r="Q128" s="83">
        <f t="shared" ref="Q128:Q164" si="44">Q127*(1+$B$4)</f>
        <v>24904.014999999996</v>
      </c>
      <c r="R128" s="87">
        <f t="shared" ref="R128:R164" si="45">IF(K128&lt;=$H$5,(M128+P128)-Q128,(IF(P128&gt;=N128,P128-Q128,N128-Q128)))</f>
        <v>2422.7412500000028</v>
      </c>
      <c r="S128" s="88">
        <f t="shared" ref="S128:S164" si="46">S127*(1+$B$5)+R128</f>
        <v>291084.41117000009</v>
      </c>
    </row>
    <row r="129" spans="1:25">
      <c r="A129" s="41">
        <v>65</v>
      </c>
      <c r="B129" s="56">
        <f t="shared" si="37"/>
        <v>2127.289740624999</v>
      </c>
      <c r="C129" s="56">
        <f t="shared" si="32"/>
        <v>25527.476887499986</v>
      </c>
      <c r="D129" s="56">
        <f t="shared" si="33"/>
        <v>22974.729198749988</v>
      </c>
      <c r="E129" s="56">
        <f t="shared" si="38"/>
        <v>2334.1604296874993</v>
      </c>
      <c r="F129" s="56">
        <f t="shared" si="39"/>
        <v>28009.925156249992</v>
      </c>
      <c r="G129" s="83">
        <f t="shared" si="40"/>
        <v>25526.615374999994</v>
      </c>
      <c r="H129" s="83">
        <f t="shared" si="41"/>
        <v>28010.786668749985</v>
      </c>
      <c r="I129" s="80">
        <f t="shared" si="42"/>
        <v>406991.35313195002</v>
      </c>
      <c r="K129" s="41">
        <v>65</v>
      </c>
      <c r="L129" s="56">
        <v>0</v>
      </c>
      <c r="M129" s="56">
        <f t="shared" si="34"/>
        <v>0</v>
      </c>
      <c r="N129" s="62">
        <f t="shared" si="35"/>
        <v>0</v>
      </c>
      <c r="O129" s="56">
        <f t="shared" si="43"/>
        <v>2334.1604296874993</v>
      </c>
      <c r="P129" s="56">
        <f t="shared" si="36"/>
        <v>28009.925156249992</v>
      </c>
      <c r="Q129" s="83">
        <f t="shared" si="44"/>
        <v>25526.615374999994</v>
      </c>
      <c r="R129" s="87">
        <f t="shared" si="45"/>
        <v>2483.3097812499982</v>
      </c>
      <c r="S129" s="88">
        <f t="shared" si="46"/>
        <v>305211.09739805013</v>
      </c>
    </row>
    <row r="130" spans="1:25">
      <c r="A130" s="41">
        <v>66</v>
      </c>
      <c r="B130" s="56">
        <f t="shared" si="37"/>
        <v>2180.4719841406236</v>
      </c>
      <c r="C130" s="56">
        <f t="shared" si="32"/>
        <v>26165.663809687481</v>
      </c>
      <c r="D130" s="56">
        <f t="shared" si="33"/>
        <v>23549.097428718735</v>
      </c>
      <c r="E130" s="56">
        <f t="shared" si="38"/>
        <v>2392.5144404296866</v>
      </c>
      <c r="F130" s="56">
        <f t="shared" si="39"/>
        <v>28710.173285156241</v>
      </c>
      <c r="G130" s="83">
        <f t="shared" si="40"/>
        <v>26164.780759374993</v>
      </c>
      <c r="H130" s="83">
        <f t="shared" si="41"/>
        <v>28711.056335468729</v>
      </c>
      <c r="I130" s="80">
        <f t="shared" si="42"/>
        <v>451982.06359269674</v>
      </c>
      <c r="K130" s="41">
        <v>66</v>
      </c>
      <c r="L130" s="56">
        <v>0</v>
      </c>
      <c r="M130" s="56">
        <f t="shared" si="34"/>
        <v>0</v>
      </c>
      <c r="N130" s="62">
        <f t="shared" si="35"/>
        <v>0</v>
      </c>
      <c r="O130" s="56">
        <f t="shared" si="43"/>
        <v>2392.5144404296866</v>
      </c>
      <c r="P130" s="56">
        <f t="shared" si="36"/>
        <v>28710.173285156241</v>
      </c>
      <c r="Q130" s="83">
        <f t="shared" si="44"/>
        <v>26164.780759374993</v>
      </c>
      <c r="R130" s="87">
        <f t="shared" si="45"/>
        <v>2545.392525781248</v>
      </c>
      <c r="S130" s="88">
        <f t="shared" si="46"/>
        <v>319964.93381975341</v>
      </c>
    </row>
    <row r="131" spans="1:25">
      <c r="A131" s="41">
        <v>67</v>
      </c>
      <c r="B131" s="56">
        <f t="shared" si="37"/>
        <v>2234.9837837441391</v>
      </c>
      <c r="C131" s="56">
        <f t="shared" si="32"/>
        <v>26819.80540492967</v>
      </c>
      <c r="D131" s="56">
        <f t="shared" si="33"/>
        <v>24137.824864436705</v>
      </c>
      <c r="E131" s="56">
        <f t="shared" si="38"/>
        <v>2452.3273014404285</v>
      </c>
      <c r="F131" s="56">
        <f t="shared" si="39"/>
        <v>29427.927617285142</v>
      </c>
      <c r="G131" s="83">
        <f t="shared" si="40"/>
        <v>26818.900278359364</v>
      </c>
      <c r="H131" s="83">
        <f t="shared" si="41"/>
        <v>29428.832743855452</v>
      </c>
      <c r="I131" s="80">
        <f t="shared" si="42"/>
        <v>499490.17888026003</v>
      </c>
      <c r="K131" s="41">
        <v>67</v>
      </c>
      <c r="L131" s="56">
        <v>0</v>
      </c>
      <c r="M131" s="56">
        <f t="shared" si="34"/>
        <v>0</v>
      </c>
      <c r="N131" s="62">
        <f t="shared" si="35"/>
        <v>0</v>
      </c>
      <c r="O131" s="56">
        <f t="shared" si="43"/>
        <v>2452.3273014404285</v>
      </c>
      <c r="P131" s="56">
        <f t="shared" si="36"/>
        <v>29427.927617285142</v>
      </c>
      <c r="Q131" s="83">
        <f t="shared" si="44"/>
        <v>26818.900278359364</v>
      </c>
      <c r="R131" s="87">
        <f t="shared" si="45"/>
        <v>2609.0273389257782</v>
      </c>
      <c r="S131" s="88">
        <f t="shared" si="46"/>
        <v>335372.55851146928</v>
      </c>
    </row>
    <row r="132" spans="1:25">
      <c r="A132" s="41">
        <v>68</v>
      </c>
      <c r="B132" s="56">
        <f t="shared" si="37"/>
        <v>2290.8583783377426</v>
      </c>
      <c r="C132" s="56">
        <f t="shared" si="32"/>
        <v>27490.300540052911</v>
      </c>
      <c r="D132" s="56">
        <f t="shared" si="33"/>
        <v>24741.270486047619</v>
      </c>
      <c r="E132" s="56">
        <f t="shared" si="38"/>
        <v>2513.635483976439</v>
      </c>
      <c r="F132" s="56">
        <f t="shared" si="39"/>
        <v>30163.625807717268</v>
      </c>
      <c r="G132" s="83">
        <f t="shared" si="40"/>
        <v>27489.372785318345</v>
      </c>
      <c r="H132" s="83">
        <f t="shared" si="41"/>
        <v>30164.553562451831</v>
      </c>
      <c r="I132" s="80">
        <f t="shared" si="42"/>
        <v>549634.33959792228</v>
      </c>
      <c r="K132" s="41">
        <v>68</v>
      </c>
      <c r="L132" s="56">
        <v>0</v>
      </c>
      <c r="M132" s="56">
        <f t="shared" si="34"/>
        <v>0</v>
      </c>
      <c r="N132" s="62">
        <f t="shared" si="35"/>
        <v>0</v>
      </c>
      <c r="O132" s="56">
        <f t="shared" si="43"/>
        <v>2513.635483976439</v>
      </c>
      <c r="P132" s="56">
        <f t="shared" si="36"/>
        <v>30163.625807717268</v>
      </c>
      <c r="Q132" s="83">
        <f t="shared" si="44"/>
        <v>27489.372785318345</v>
      </c>
      <c r="R132" s="87">
        <f t="shared" si="45"/>
        <v>2674.2530223989233</v>
      </c>
      <c r="S132" s="88">
        <f t="shared" si="46"/>
        <v>351461.71387432696</v>
      </c>
    </row>
    <row r="133" spans="1:25">
      <c r="A133" s="41">
        <v>69</v>
      </c>
      <c r="B133" s="56">
        <f t="shared" si="37"/>
        <v>2348.1298377961862</v>
      </c>
      <c r="C133" s="56">
        <f t="shared" si="32"/>
        <v>28177.558053554232</v>
      </c>
      <c r="D133" s="56">
        <f t="shared" si="33"/>
        <v>25359.802248198808</v>
      </c>
      <c r="E133" s="56">
        <f t="shared" si="38"/>
        <v>2576.4763710758498</v>
      </c>
      <c r="F133" s="56">
        <f t="shared" si="39"/>
        <v>30917.716452910197</v>
      </c>
      <c r="G133" s="83">
        <f t="shared" si="40"/>
        <v>28176.607104951301</v>
      </c>
      <c r="H133" s="83">
        <f t="shared" si="41"/>
        <v>30918.667401513125</v>
      </c>
      <c r="I133" s="80">
        <f t="shared" si="42"/>
        <v>602538.38058335229</v>
      </c>
      <c r="K133" s="41">
        <v>69</v>
      </c>
      <c r="L133" s="56">
        <v>0</v>
      </c>
      <c r="M133" s="56">
        <f t="shared" si="34"/>
        <v>0</v>
      </c>
      <c r="N133" s="62">
        <f t="shared" si="35"/>
        <v>0</v>
      </c>
      <c r="O133" s="56">
        <f t="shared" si="43"/>
        <v>2576.4763710758498</v>
      </c>
      <c r="P133" s="56">
        <f t="shared" si="36"/>
        <v>30917.716452910197</v>
      </c>
      <c r="Q133" s="83">
        <f t="shared" si="44"/>
        <v>28176.607104951301</v>
      </c>
      <c r="R133" s="87">
        <f t="shared" si="45"/>
        <v>2741.1093479588963</v>
      </c>
      <c r="S133" s="88">
        <f t="shared" si="46"/>
        <v>368261.29177725891</v>
      </c>
    </row>
    <row r="134" spans="1:25">
      <c r="A134" s="41">
        <v>70</v>
      </c>
      <c r="B134" s="56">
        <f t="shared" si="37"/>
        <v>2406.8330837410908</v>
      </c>
      <c r="C134" s="56">
        <f t="shared" si="32"/>
        <v>28881.997004893092</v>
      </c>
      <c r="D134" s="56">
        <f t="shared" si="33"/>
        <v>25993.797304403783</v>
      </c>
      <c r="E134" s="56">
        <f t="shared" si="38"/>
        <v>2640.8882803527458</v>
      </c>
      <c r="F134" s="56">
        <f t="shared" si="39"/>
        <v>31690.65936423295</v>
      </c>
      <c r="G134" s="83">
        <f t="shared" si="40"/>
        <v>28881.022282575082</v>
      </c>
      <c r="H134" s="83">
        <f t="shared" si="41"/>
        <v>31691.634086550956</v>
      </c>
      <c r="I134" s="80">
        <f t="shared" si="42"/>
        <v>658331.5498932373</v>
      </c>
      <c r="K134" s="41">
        <v>70</v>
      </c>
      <c r="L134" s="56">
        <f>B21</f>
        <v>3499.28</v>
      </c>
      <c r="M134" s="56">
        <f t="shared" si="34"/>
        <v>41991.360000000001</v>
      </c>
      <c r="N134" s="62">
        <f>M134*0.9</f>
        <v>37792.224000000002</v>
      </c>
      <c r="O134" s="56">
        <f t="shared" si="43"/>
        <v>2640.8882803527458</v>
      </c>
      <c r="P134" s="56">
        <f t="shared" si="36"/>
        <v>31690.65936423295</v>
      </c>
      <c r="Q134" s="83">
        <f t="shared" si="44"/>
        <v>28881.022282575082</v>
      </c>
      <c r="R134" s="87">
        <f t="shared" si="45"/>
        <v>44800.997081657872</v>
      </c>
      <c r="S134" s="88">
        <f t="shared" si="46"/>
        <v>427792.74053000717</v>
      </c>
    </row>
    <row r="135" spans="1:25">
      <c r="A135" s="41">
        <v>71</v>
      </c>
      <c r="B135" s="56">
        <f t="shared" si="37"/>
        <v>2467.0039108346177</v>
      </c>
      <c r="C135" s="56">
        <f t="shared" si="32"/>
        <v>29604.046930015415</v>
      </c>
      <c r="D135" s="56">
        <f t="shared" si="33"/>
        <v>26643.642237013875</v>
      </c>
      <c r="E135" s="56">
        <f t="shared" si="38"/>
        <v>2706.9104873615643</v>
      </c>
      <c r="F135" s="56">
        <f t="shared" si="39"/>
        <v>32482.925848338771</v>
      </c>
      <c r="G135" s="83">
        <f t="shared" si="40"/>
        <v>29603.047839639457</v>
      </c>
      <c r="H135" s="83">
        <f t="shared" si="41"/>
        <v>32483.924938714732</v>
      </c>
      <c r="I135" s="80">
        <f t="shared" si="42"/>
        <v>717148.73682768154</v>
      </c>
      <c r="K135" s="41">
        <v>71</v>
      </c>
      <c r="L135" s="56">
        <f t="shared" ref="L135:L164" si="47">L134*(1+$B$4)</f>
        <v>3586.7619999999997</v>
      </c>
      <c r="M135" s="56">
        <f t="shared" si="34"/>
        <v>43041.144</v>
      </c>
      <c r="N135" s="62">
        <f t="shared" ref="N135:N164" si="48">M135*0.9</f>
        <v>38737.029600000002</v>
      </c>
      <c r="O135" s="56">
        <f t="shared" si="43"/>
        <v>2706.9104873615643</v>
      </c>
      <c r="P135" s="56">
        <f t="shared" si="36"/>
        <v>32482.925848338771</v>
      </c>
      <c r="Q135" s="83">
        <f t="shared" si="44"/>
        <v>29603.047839639457</v>
      </c>
      <c r="R135" s="87">
        <f t="shared" si="45"/>
        <v>45921.022008699307</v>
      </c>
      <c r="S135" s="88">
        <f t="shared" si="46"/>
        <v>490825.47215990676</v>
      </c>
    </row>
    <row r="136" spans="1:25">
      <c r="A136" s="41">
        <v>72</v>
      </c>
      <c r="B136" s="56">
        <f t="shared" si="37"/>
        <v>2528.679008605483</v>
      </c>
      <c r="C136" s="56">
        <f t="shared" si="32"/>
        <v>30344.148103265798</v>
      </c>
      <c r="D136" s="56">
        <f t="shared" si="33"/>
        <v>27309.733292939218</v>
      </c>
      <c r="E136" s="56">
        <f t="shared" si="38"/>
        <v>2774.5832495456029</v>
      </c>
      <c r="F136" s="56">
        <f t="shared" si="39"/>
        <v>33294.998994547233</v>
      </c>
      <c r="G136" s="83">
        <f t="shared" si="40"/>
        <v>30343.124035630441</v>
      </c>
      <c r="H136" s="83">
        <f t="shared" si="41"/>
        <v>33296.02306218259</v>
      </c>
      <c r="I136" s="80">
        <f t="shared" si="42"/>
        <v>779130.70936297136</v>
      </c>
      <c r="K136" s="41">
        <v>72</v>
      </c>
      <c r="L136" s="56">
        <f t="shared" si="47"/>
        <v>3676.4310499999992</v>
      </c>
      <c r="M136" s="56">
        <f t="shared" si="34"/>
        <v>44117.172599999991</v>
      </c>
      <c r="N136" s="62">
        <f t="shared" si="48"/>
        <v>39705.455339999993</v>
      </c>
      <c r="O136" s="56">
        <f t="shared" si="43"/>
        <v>2774.5832495456029</v>
      </c>
      <c r="P136" s="56">
        <f t="shared" si="36"/>
        <v>33294.998994547233</v>
      </c>
      <c r="Q136" s="83">
        <f t="shared" si="44"/>
        <v>30343.124035630441</v>
      </c>
      <c r="R136" s="87">
        <f t="shared" si="45"/>
        <v>47069.047558916784</v>
      </c>
      <c r="S136" s="88">
        <f t="shared" si="46"/>
        <v>557527.5386052198</v>
      </c>
    </row>
    <row r="137" spans="1:25">
      <c r="A137" s="41">
        <v>73</v>
      </c>
      <c r="B137" s="56">
        <f t="shared" si="37"/>
        <v>2591.8959838206197</v>
      </c>
      <c r="C137" s="56">
        <f t="shared" si="32"/>
        <v>31102.751805847438</v>
      </c>
      <c r="D137" s="56">
        <f t="shared" si="33"/>
        <v>27992.476625262694</v>
      </c>
      <c r="E137" s="56">
        <f t="shared" si="38"/>
        <v>2843.9478307842428</v>
      </c>
      <c r="F137" s="56">
        <f t="shared" si="39"/>
        <v>34127.37396941091</v>
      </c>
      <c r="G137" s="83">
        <f t="shared" si="40"/>
        <v>31101.702136521199</v>
      </c>
      <c r="H137" s="83">
        <f t="shared" si="41"/>
        <v>34128.423638737149</v>
      </c>
      <c r="I137" s="80">
        <f t="shared" si="42"/>
        <v>844424.36137622746</v>
      </c>
      <c r="K137" s="41">
        <v>73</v>
      </c>
      <c r="L137" s="56">
        <f t="shared" si="47"/>
        <v>3768.341826249999</v>
      </c>
      <c r="M137" s="56">
        <f t="shared" si="34"/>
        <v>45220.101914999992</v>
      </c>
      <c r="N137" s="62">
        <f t="shared" si="48"/>
        <v>40698.091723499994</v>
      </c>
      <c r="O137" s="56">
        <f t="shared" si="43"/>
        <v>2843.9478307842428</v>
      </c>
      <c r="P137" s="56">
        <f t="shared" si="36"/>
        <v>34127.37396941091</v>
      </c>
      <c r="Q137" s="83">
        <f t="shared" si="44"/>
        <v>31101.702136521199</v>
      </c>
      <c r="R137" s="87">
        <f t="shared" si="45"/>
        <v>48245.773747889703</v>
      </c>
      <c r="S137" s="88">
        <f t="shared" si="46"/>
        <v>628074.4138973183</v>
      </c>
    </row>
    <row r="138" spans="1:25">
      <c r="A138" s="41">
        <v>74</v>
      </c>
      <c r="B138" s="56">
        <f t="shared" si="37"/>
        <v>2656.693383416135</v>
      </c>
      <c r="C138" s="56">
        <f t="shared" si="32"/>
        <v>31880.320600993618</v>
      </c>
      <c r="D138" s="56">
        <f t="shared" si="33"/>
        <v>28692.288540894257</v>
      </c>
      <c r="E138" s="56">
        <f t="shared" si="38"/>
        <v>2915.0465265538487</v>
      </c>
      <c r="F138" s="56">
        <f t="shared" si="39"/>
        <v>34980.558318646188</v>
      </c>
      <c r="G138" s="83">
        <f t="shared" si="40"/>
        <v>31879.244689934225</v>
      </c>
      <c r="H138" s="83">
        <f t="shared" si="41"/>
        <v>34981.634229705574</v>
      </c>
      <c r="I138" s="80">
        <f t="shared" si="42"/>
        <v>913182.97006098216</v>
      </c>
      <c r="K138" s="41">
        <v>74</v>
      </c>
      <c r="L138" s="56">
        <f t="shared" si="47"/>
        <v>3862.5503719062485</v>
      </c>
      <c r="M138" s="56">
        <f t="shared" si="34"/>
        <v>46350.604462874981</v>
      </c>
      <c r="N138" s="62">
        <f t="shared" si="48"/>
        <v>41715.544016587482</v>
      </c>
      <c r="O138" s="56">
        <f t="shared" si="43"/>
        <v>2915.0465265538487</v>
      </c>
      <c r="P138" s="56">
        <f t="shared" si="36"/>
        <v>34980.558318646188</v>
      </c>
      <c r="Q138" s="83">
        <f t="shared" si="44"/>
        <v>31879.244689934225</v>
      </c>
      <c r="R138" s="87">
        <f t="shared" si="45"/>
        <v>49451.918091586944</v>
      </c>
      <c r="S138" s="88">
        <f t="shared" si="46"/>
        <v>702649.30854479794</v>
      </c>
      <c r="Y138" t="str">
        <f>"Compare Saving of Married Frank and Bill at rate of return of " &amp; B5*100 &amp; "% and Cola of " &amp; B4*100 &amp; "% " &amp; "Yearly Expenses = $" &amp; B9 &amp; " Frank and Bill pass at age " &amp; H5</f>
        <v>Compare Saving of Married Frank and Bill at rate of return of 4% and Cola of 2.5% Yearly Expenses = $23704 Frank and Bill pass at age 80</v>
      </c>
    </row>
    <row r="139" spans="1:25">
      <c r="A139" s="41">
        <v>75</v>
      </c>
      <c r="B139" s="56">
        <f t="shared" si="37"/>
        <v>2723.1107180015383</v>
      </c>
      <c r="C139" s="56">
        <f t="shared" si="32"/>
        <v>32677.328616018458</v>
      </c>
      <c r="D139" s="56">
        <f t="shared" si="33"/>
        <v>29409.595754416612</v>
      </c>
      <c r="E139" s="56">
        <f t="shared" si="38"/>
        <v>2987.9226897176945</v>
      </c>
      <c r="F139" s="56">
        <f t="shared" si="39"/>
        <v>35855.072276612336</v>
      </c>
      <c r="G139" s="83">
        <f t="shared" si="40"/>
        <v>32676.225807182578</v>
      </c>
      <c r="H139" s="83">
        <f t="shared" si="41"/>
        <v>35856.175085448223</v>
      </c>
      <c r="I139" s="80">
        <f t="shared" si="42"/>
        <v>985566.46394886973</v>
      </c>
      <c r="K139" s="41">
        <v>75</v>
      </c>
      <c r="L139" s="56">
        <f t="shared" si="47"/>
        <v>3959.1141312039044</v>
      </c>
      <c r="M139" s="56">
        <f t="shared" si="34"/>
        <v>47509.369574446857</v>
      </c>
      <c r="N139" s="62">
        <f t="shared" si="48"/>
        <v>42758.432617002174</v>
      </c>
      <c r="O139" s="56">
        <f t="shared" si="43"/>
        <v>2987.9226897176945</v>
      </c>
      <c r="P139" s="56">
        <f t="shared" si="36"/>
        <v>35855.072276612336</v>
      </c>
      <c r="Q139" s="83">
        <f t="shared" si="44"/>
        <v>32676.225807182578</v>
      </c>
      <c r="R139" s="87">
        <f t="shared" si="45"/>
        <v>50688.216043876615</v>
      </c>
      <c r="S139" s="88">
        <f t="shared" si="46"/>
        <v>781443.4969304665</v>
      </c>
    </row>
    <row r="140" spans="1:25">
      <c r="A140" s="41">
        <v>76</v>
      </c>
      <c r="B140" s="56">
        <f t="shared" si="37"/>
        <v>2791.1884859515767</v>
      </c>
      <c r="C140" s="56">
        <f t="shared" si="32"/>
        <v>33494.261831418917</v>
      </c>
      <c r="D140" s="56">
        <f t="shared" si="33"/>
        <v>30144.835648277025</v>
      </c>
      <c r="E140" s="56">
        <f t="shared" si="38"/>
        <v>3062.6207569606368</v>
      </c>
      <c r="F140" s="56">
        <f t="shared" si="39"/>
        <v>36751.449083527637</v>
      </c>
      <c r="G140" s="83">
        <f t="shared" si="40"/>
        <v>33493.13145236214</v>
      </c>
      <c r="H140" s="83">
        <f t="shared" si="41"/>
        <v>36752.579462584414</v>
      </c>
      <c r="I140" s="80">
        <f t="shared" si="42"/>
        <v>1061741.7019694089</v>
      </c>
      <c r="K140" s="41">
        <v>76</v>
      </c>
      <c r="L140" s="56">
        <f t="shared" si="47"/>
        <v>4058.0919844840018</v>
      </c>
      <c r="M140" s="56">
        <f t="shared" si="34"/>
        <v>48697.103813808018</v>
      </c>
      <c r="N140" s="62">
        <f t="shared" si="48"/>
        <v>43827.39343242722</v>
      </c>
      <c r="O140" s="56">
        <f t="shared" si="43"/>
        <v>3062.6207569606368</v>
      </c>
      <c r="P140" s="56">
        <f t="shared" si="36"/>
        <v>36751.449083527637</v>
      </c>
      <c r="Q140" s="83">
        <f t="shared" si="44"/>
        <v>33493.13145236214</v>
      </c>
      <c r="R140" s="87">
        <f t="shared" si="45"/>
        <v>51955.421444973515</v>
      </c>
      <c r="S140" s="88">
        <f t="shared" si="46"/>
        <v>864656.65825265879</v>
      </c>
    </row>
    <row r="141" spans="1:25">
      <c r="A141" s="41">
        <v>77</v>
      </c>
      <c r="B141" s="56">
        <f t="shared" si="37"/>
        <v>2860.968198100366</v>
      </c>
      <c r="C141" s="56">
        <f t="shared" si="32"/>
        <v>34331.618377204388</v>
      </c>
      <c r="D141" s="56">
        <f t="shared" si="33"/>
        <v>30898.456539483948</v>
      </c>
      <c r="E141" s="56">
        <f t="shared" si="38"/>
        <v>3139.1862758846523</v>
      </c>
      <c r="F141" s="56">
        <f t="shared" si="39"/>
        <v>37670.235310615826</v>
      </c>
      <c r="G141" s="83">
        <f t="shared" si="40"/>
        <v>34330.45973867119</v>
      </c>
      <c r="H141" s="83">
        <f t="shared" si="41"/>
        <v>37671.393949149024</v>
      </c>
      <c r="I141" s="80">
        <f t="shared" si="42"/>
        <v>1141882.7639973343</v>
      </c>
      <c r="K141" s="41">
        <v>77</v>
      </c>
      <c r="L141" s="56">
        <f t="shared" si="47"/>
        <v>4159.5442840961014</v>
      </c>
      <c r="M141" s="56">
        <f t="shared" si="34"/>
        <v>49914.53140915322</v>
      </c>
      <c r="N141" s="62">
        <f t="shared" si="48"/>
        <v>44923.078268237899</v>
      </c>
      <c r="O141" s="56">
        <f t="shared" si="43"/>
        <v>3139.1862758846523</v>
      </c>
      <c r="P141" s="56">
        <f t="shared" si="36"/>
        <v>37670.235310615826</v>
      </c>
      <c r="Q141" s="83">
        <f t="shared" si="44"/>
        <v>34330.45973867119</v>
      </c>
      <c r="R141" s="87">
        <f t="shared" si="45"/>
        <v>53254.306981097856</v>
      </c>
      <c r="S141" s="88">
        <f t="shared" si="46"/>
        <v>952497.23156386311</v>
      </c>
    </row>
    <row r="142" spans="1:25">
      <c r="A142" s="41">
        <v>78</v>
      </c>
      <c r="B142" s="56">
        <f t="shared" si="37"/>
        <v>2932.492403052875</v>
      </c>
      <c r="C142" s="56">
        <f t="shared" si="32"/>
        <v>35189.908836634502</v>
      </c>
      <c r="D142" s="56">
        <f t="shared" si="33"/>
        <v>31670.917952971053</v>
      </c>
      <c r="E142" s="56">
        <f t="shared" si="38"/>
        <v>3217.6659327817683</v>
      </c>
      <c r="F142" s="56">
        <f t="shared" si="39"/>
        <v>38611.991193381218</v>
      </c>
      <c r="G142" s="83">
        <f t="shared" si="40"/>
        <v>35188.72123213797</v>
      </c>
      <c r="H142" s="83">
        <f t="shared" si="41"/>
        <v>38613.17879787775</v>
      </c>
      <c r="I142" s="80">
        <f t="shared" si="42"/>
        <v>1226171.2533551056</v>
      </c>
      <c r="K142" s="41">
        <v>78</v>
      </c>
      <c r="L142" s="56">
        <f t="shared" si="47"/>
        <v>4263.5328911985034</v>
      </c>
      <c r="M142" s="56">
        <f t="shared" si="34"/>
        <v>51162.394694382041</v>
      </c>
      <c r="N142" s="62">
        <f t="shared" si="48"/>
        <v>46046.155224943839</v>
      </c>
      <c r="O142" s="56">
        <f t="shared" si="43"/>
        <v>3217.6659327817683</v>
      </c>
      <c r="P142" s="56">
        <f t="shared" si="36"/>
        <v>38611.991193381218</v>
      </c>
      <c r="Q142" s="83">
        <f t="shared" si="44"/>
        <v>35188.72123213797</v>
      </c>
      <c r="R142" s="87">
        <f t="shared" si="45"/>
        <v>54585.664655625289</v>
      </c>
      <c r="S142" s="88">
        <f t="shared" si="46"/>
        <v>1045182.7854820429</v>
      </c>
    </row>
    <row r="143" spans="1:25">
      <c r="A143" s="41">
        <v>79</v>
      </c>
      <c r="B143" s="56">
        <f t="shared" si="37"/>
        <v>3005.8047131291964</v>
      </c>
      <c r="C143" s="56">
        <f t="shared" si="32"/>
        <v>36069.656557550356</v>
      </c>
      <c r="D143" s="56">
        <f t="shared" si="33"/>
        <v>32462.690901795322</v>
      </c>
      <c r="E143" s="56">
        <f t="shared" si="38"/>
        <v>3298.1075811013125</v>
      </c>
      <c r="F143" s="56">
        <f t="shared" si="39"/>
        <v>39577.29097321575</v>
      </c>
      <c r="G143" s="83">
        <f t="shared" si="40"/>
        <v>36068.439262941414</v>
      </c>
      <c r="H143" s="83">
        <f t="shared" si="41"/>
        <v>39578.508267824691</v>
      </c>
      <c r="I143" s="80">
        <f t="shared" si="42"/>
        <v>1314796.6117571348</v>
      </c>
      <c r="K143" s="41">
        <v>79</v>
      </c>
      <c r="L143" s="56">
        <f t="shared" si="47"/>
        <v>4370.1212134784655</v>
      </c>
      <c r="M143" s="56">
        <f t="shared" si="34"/>
        <v>52441.454561741586</v>
      </c>
      <c r="N143" s="62">
        <f t="shared" si="48"/>
        <v>47197.30910556743</v>
      </c>
      <c r="O143" s="56">
        <f t="shared" si="43"/>
        <v>3298.1075811013125</v>
      </c>
      <c r="P143" s="56">
        <f t="shared" si="36"/>
        <v>39577.29097321575</v>
      </c>
      <c r="Q143" s="83">
        <f t="shared" si="44"/>
        <v>36068.439262941414</v>
      </c>
      <c r="R143" s="87">
        <f t="shared" si="45"/>
        <v>55950.306272015914</v>
      </c>
      <c r="S143" s="88">
        <f t="shared" si="46"/>
        <v>1142940.4031733405</v>
      </c>
    </row>
    <row r="144" spans="1:25">
      <c r="A144" s="41">
        <v>80</v>
      </c>
      <c r="B144" s="56">
        <f t="shared" si="37"/>
        <v>3080.949830957426</v>
      </c>
      <c r="C144" s="56">
        <f t="shared" si="32"/>
        <v>36971.39797148911</v>
      </c>
      <c r="D144" s="56">
        <f t="shared" si="33"/>
        <v>33274.258174340197</v>
      </c>
      <c r="E144" s="56">
        <f t="shared" si="38"/>
        <v>3380.560270628845</v>
      </c>
      <c r="F144" s="56">
        <f t="shared" si="39"/>
        <v>40566.723247546142</v>
      </c>
      <c r="G144" s="83">
        <f t="shared" si="40"/>
        <v>36970.150244514945</v>
      </c>
      <c r="H144" s="83">
        <f t="shared" si="41"/>
        <v>40567.970974520307</v>
      </c>
      <c r="I144" s="80">
        <f t="shared" si="42"/>
        <v>1407956.4472019405</v>
      </c>
      <c r="K144" s="41">
        <v>80</v>
      </c>
      <c r="L144" s="56">
        <f t="shared" si="47"/>
        <v>4479.3742438154268</v>
      </c>
      <c r="M144" s="56">
        <f t="shared" si="34"/>
        <v>53752.490925785125</v>
      </c>
      <c r="N144" s="62">
        <f t="shared" si="48"/>
        <v>48377.241833206615</v>
      </c>
      <c r="O144" s="56">
        <f t="shared" si="43"/>
        <v>3380.560270628845</v>
      </c>
      <c r="P144" s="56">
        <f t="shared" si="36"/>
        <v>40566.723247546142</v>
      </c>
      <c r="Q144" s="83">
        <f t="shared" si="44"/>
        <v>36970.150244514945</v>
      </c>
      <c r="R144" s="87">
        <f t="shared" si="45"/>
        <v>57349.063928816329</v>
      </c>
      <c r="S144" s="88">
        <f t="shared" si="46"/>
        <v>1246007.0832290903</v>
      </c>
    </row>
    <row r="145" spans="1:21">
      <c r="A145" s="41">
        <v>81</v>
      </c>
      <c r="B145" s="56">
        <f t="shared" si="37"/>
        <v>3157.9735767313614</v>
      </c>
      <c r="C145" s="56">
        <f t="shared" si="32"/>
        <v>37895.682920776337</v>
      </c>
      <c r="D145" s="56">
        <f t="shared" si="33"/>
        <v>34106.114628698706</v>
      </c>
      <c r="E145" s="56">
        <f t="shared" si="38"/>
        <v>3465.0742773945658</v>
      </c>
      <c r="F145" s="56">
        <f t="shared" si="39"/>
        <v>41580.89132873479</v>
      </c>
      <c r="G145" s="83">
        <f t="shared" si="40"/>
        <v>37894.404000627816</v>
      </c>
      <c r="H145" s="83">
        <f>IF(A145&lt;=$H$5,C145+F145-G145,(IF(F145&gt;=D145,F145-G145,D144-G145)))</f>
        <v>3686.487328106974</v>
      </c>
      <c r="I145" s="80">
        <f t="shared" si="42"/>
        <v>1467961.1924181252</v>
      </c>
      <c r="K145" s="41">
        <v>81</v>
      </c>
      <c r="L145" s="56">
        <f t="shared" si="47"/>
        <v>4591.3585999108118</v>
      </c>
      <c r="M145" s="56">
        <f t="shared" si="34"/>
        <v>55096.303198929745</v>
      </c>
      <c r="N145" s="62">
        <f t="shared" si="48"/>
        <v>49586.672879036771</v>
      </c>
      <c r="O145" s="56">
        <f t="shared" si="43"/>
        <v>3465.0742773945658</v>
      </c>
      <c r="P145" s="56">
        <f t="shared" si="36"/>
        <v>41580.89132873479</v>
      </c>
      <c r="Q145" s="83">
        <f t="shared" si="44"/>
        <v>37894.404000627816</v>
      </c>
      <c r="R145" s="87">
        <f t="shared" si="45"/>
        <v>11692.268878408955</v>
      </c>
      <c r="S145" s="88">
        <f t="shared" si="46"/>
        <v>1307539.6354366629</v>
      </c>
      <c r="U145" s="2"/>
    </row>
    <row r="146" spans="1:21">
      <c r="A146" s="41">
        <v>82</v>
      </c>
      <c r="B146" s="56">
        <f t="shared" si="37"/>
        <v>3236.9229161496451</v>
      </c>
      <c r="C146" s="56">
        <f t="shared" si="32"/>
        <v>38843.074993795744</v>
      </c>
      <c r="D146" s="56">
        <f t="shared" si="33"/>
        <v>34958.76749441617</v>
      </c>
      <c r="E146" s="56">
        <f t="shared" si="38"/>
        <v>3551.7011343294298</v>
      </c>
      <c r="F146" s="56">
        <f t="shared" si="39"/>
        <v>42620.413611953161</v>
      </c>
      <c r="G146" s="83">
        <f t="shared" si="40"/>
        <v>38841.764100643508</v>
      </c>
      <c r="H146" s="83">
        <f t="shared" si="41"/>
        <v>3778.6495113096535</v>
      </c>
      <c r="I146" s="80">
        <f t="shared" si="42"/>
        <v>1530458.2896261599</v>
      </c>
      <c r="K146" s="41">
        <v>82</v>
      </c>
      <c r="L146" s="56">
        <f t="shared" si="47"/>
        <v>4706.1425649085813</v>
      </c>
      <c r="M146" s="56">
        <f t="shared" si="34"/>
        <v>56473.710778902976</v>
      </c>
      <c r="N146" s="62">
        <f t="shared" si="48"/>
        <v>50826.339701012679</v>
      </c>
      <c r="O146" s="56">
        <f t="shared" si="43"/>
        <v>3551.7011343294298</v>
      </c>
      <c r="P146" s="56">
        <f t="shared" si="36"/>
        <v>42620.413611953161</v>
      </c>
      <c r="Q146" s="83">
        <f t="shared" si="44"/>
        <v>38841.764100643508</v>
      </c>
      <c r="R146" s="87">
        <f t="shared" si="45"/>
        <v>11984.575600369171</v>
      </c>
      <c r="S146" s="88">
        <f t="shared" si="46"/>
        <v>1371825.7964544985</v>
      </c>
      <c r="T146" s="2"/>
    </row>
    <row r="147" spans="1:21">
      <c r="A147" s="41">
        <v>83</v>
      </c>
      <c r="B147" s="56">
        <f t="shared" si="37"/>
        <v>3317.8459890533859</v>
      </c>
      <c r="C147" s="56">
        <f t="shared" si="32"/>
        <v>39814.151868640634</v>
      </c>
      <c r="D147" s="56">
        <f t="shared" si="33"/>
        <v>35832.736681776572</v>
      </c>
      <c r="E147" s="56">
        <f t="shared" si="38"/>
        <v>3640.4936626876652</v>
      </c>
      <c r="F147" s="56">
        <f t="shared" si="39"/>
        <v>43685.923952251978</v>
      </c>
      <c r="G147" s="83">
        <f t="shared" si="40"/>
        <v>39812.808203159591</v>
      </c>
      <c r="H147" s="83">
        <f t="shared" si="41"/>
        <v>3873.115749092387</v>
      </c>
      <c r="I147" s="80">
        <f t="shared" si="42"/>
        <v>1595549.7369602986</v>
      </c>
      <c r="K147" s="41">
        <v>83</v>
      </c>
      <c r="L147" s="56">
        <f t="shared" si="47"/>
        <v>4823.7961290312951</v>
      </c>
      <c r="M147" s="56">
        <f t="shared" si="34"/>
        <v>57885.553548375538</v>
      </c>
      <c r="N147" s="62">
        <f t="shared" si="48"/>
        <v>52096.998193537984</v>
      </c>
      <c r="O147" s="56">
        <f t="shared" si="43"/>
        <v>3640.4936626876652</v>
      </c>
      <c r="P147" s="56">
        <f t="shared" si="36"/>
        <v>43685.923952251978</v>
      </c>
      <c r="Q147" s="83">
        <f t="shared" si="44"/>
        <v>39812.808203159591</v>
      </c>
      <c r="R147" s="87">
        <f t="shared" si="45"/>
        <v>12284.189990378392</v>
      </c>
      <c r="S147" s="88">
        <f t="shared" si="46"/>
        <v>1438983.0183030569</v>
      </c>
    </row>
    <row r="148" spans="1:21">
      <c r="A148" s="41">
        <v>84</v>
      </c>
      <c r="B148" s="56">
        <f t="shared" si="37"/>
        <v>3400.7921387797201</v>
      </c>
      <c r="C148" s="56">
        <f t="shared" si="32"/>
        <v>40809.505665356643</v>
      </c>
      <c r="D148" s="56">
        <f t="shared" si="33"/>
        <v>36728.55509882098</v>
      </c>
      <c r="E148" s="56">
        <f t="shared" si="38"/>
        <v>3731.5060042548566</v>
      </c>
      <c r="F148" s="56">
        <f t="shared" si="39"/>
        <v>44778.072051058276</v>
      </c>
      <c r="G148" s="83">
        <f t="shared" si="40"/>
        <v>40808.128408238576</v>
      </c>
      <c r="H148" s="83">
        <f t="shared" si="41"/>
        <v>3969.9436428197005</v>
      </c>
      <c r="I148" s="80">
        <f t="shared" si="42"/>
        <v>1663341.6700815305</v>
      </c>
      <c r="K148" s="41">
        <v>84</v>
      </c>
      <c r="L148" s="56">
        <f t="shared" si="47"/>
        <v>4944.3910322570773</v>
      </c>
      <c r="M148" s="56">
        <f t="shared" si="34"/>
        <v>59332.692387084928</v>
      </c>
      <c r="N148" s="62">
        <f t="shared" si="48"/>
        <v>53399.423148376438</v>
      </c>
      <c r="O148" s="56">
        <f>L148*0.9</f>
        <v>4449.9519290313701</v>
      </c>
      <c r="P148" s="56">
        <f t="shared" si="36"/>
        <v>53399.423148376445</v>
      </c>
      <c r="Q148" s="83">
        <f t="shared" si="44"/>
        <v>40808.128408238576</v>
      </c>
      <c r="R148" s="87">
        <f t="shared" si="45"/>
        <v>12591.29474013787</v>
      </c>
      <c r="S148" s="88">
        <f t="shared" si="46"/>
        <v>1509133.6337753171</v>
      </c>
    </row>
    <row r="149" spans="1:21">
      <c r="A149" s="41">
        <v>85</v>
      </c>
      <c r="B149" s="56">
        <f t="shared" si="37"/>
        <v>3485.8119422492127</v>
      </c>
      <c r="C149" s="56">
        <f t="shared" si="32"/>
        <v>41829.743306990553</v>
      </c>
      <c r="D149" s="56">
        <f t="shared" si="33"/>
        <v>37646.768976291496</v>
      </c>
      <c r="E149" s="56">
        <f t="shared" si="38"/>
        <v>3824.7936543612277</v>
      </c>
      <c r="F149" s="56">
        <f t="shared" si="39"/>
        <v>45897.523852334736</v>
      </c>
      <c r="G149" s="83">
        <f t="shared" si="40"/>
        <v>41828.331618444536</v>
      </c>
      <c r="H149" s="83">
        <f t="shared" si="41"/>
        <v>4069.1922338902004</v>
      </c>
      <c r="I149" s="80">
        <f t="shared" si="42"/>
        <v>1733944.529118682</v>
      </c>
      <c r="K149" s="41">
        <v>85</v>
      </c>
      <c r="L149" s="56">
        <f t="shared" si="47"/>
        <v>5068.0008080635034</v>
      </c>
      <c r="M149" s="56">
        <f t="shared" si="34"/>
        <v>60816.009696762041</v>
      </c>
      <c r="N149" s="62">
        <f t="shared" si="48"/>
        <v>54734.408727085836</v>
      </c>
      <c r="O149" s="56">
        <f t="shared" ref="O149:O164" si="49">L149*0.9</f>
        <v>4561.2007272571536</v>
      </c>
      <c r="P149" s="56">
        <f t="shared" si="36"/>
        <v>54734.408727085844</v>
      </c>
      <c r="Q149" s="83">
        <f t="shared" si="44"/>
        <v>41828.331618444536</v>
      </c>
      <c r="R149" s="87">
        <f t="shared" si="45"/>
        <v>12906.077108641308</v>
      </c>
      <c r="S149" s="88">
        <f t="shared" si="46"/>
        <v>1582405.0562349712</v>
      </c>
    </row>
    <row r="150" spans="1:21">
      <c r="A150" s="41">
        <v>86</v>
      </c>
      <c r="B150" s="56">
        <f t="shared" si="37"/>
        <v>3572.9572408054428</v>
      </c>
      <c r="C150" s="56">
        <f t="shared" si="32"/>
        <v>42875.486889665313</v>
      </c>
      <c r="D150" s="56">
        <f t="shared" si="33"/>
        <v>38587.93820069878</v>
      </c>
      <c r="E150" s="56">
        <f t="shared" si="38"/>
        <v>3920.4134957202582</v>
      </c>
      <c r="F150" s="56">
        <f t="shared" si="39"/>
        <v>47044.961948643097</v>
      </c>
      <c r="G150" s="83">
        <f t="shared" si="40"/>
        <v>42874.039908905645</v>
      </c>
      <c r="H150" s="83">
        <f t="shared" si="41"/>
        <v>4170.922039737452</v>
      </c>
      <c r="I150" s="80">
        <f t="shared" si="42"/>
        <v>1807473.2323231669</v>
      </c>
      <c r="K150" s="41">
        <v>86</v>
      </c>
      <c r="L150" s="56">
        <f t="shared" si="47"/>
        <v>5194.7008282650904</v>
      </c>
      <c r="M150" s="56">
        <f t="shared" si="34"/>
        <v>62336.409939181089</v>
      </c>
      <c r="N150" s="62">
        <f t="shared" si="48"/>
        <v>56102.768945262978</v>
      </c>
      <c r="O150" s="56">
        <f t="shared" si="49"/>
        <v>4675.2307454385818</v>
      </c>
      <c r="P150" s="56">
        <f t="shared" si="36"/>
        <v>56102.768945262986</v>
      </c>
      <c r="Q150" s="83">
        <f t="shared" si="44"/>
        <v>42874.039908905645</v>
      </c>
      <c r="R150" s="87">
        <f t="shared" si="45"/>
        <v>13228.729036357341</v>
      </c>
      <c r="S150" s="88">
        <f t="shared" si="46"/>
        <v>1658929.9875207273</v>
      </c>
    </row>
    <row r="151" spans="1:21">
      <c r="A151" s="41">
        <v>87</v>
      </c>
      <c r="B151" s="56">
        <f t="shared" si="37"/>
        <v>3662.2811718255784</v>
      </c>
      <c r="C151" s="56">
        <f t="shared" si="32"/>
        <v>43947.374061906943</v>
      </c>
      <c r="D151" s="56">
        <f t="shared" si="33"/>
        <v>39552.636655716247</v>
      </c>
      <c r="E151" s="56">
        <f t="shared" si="38"/>
        <v>4018.4238331132642</v>
      </c>
      <c r="F151" s="56">
        <f t="shared" si="39"/>
        <v>48221.085997359172</v>
      </c>
      <c r="G151" s="83">
        <f t="shared" si="40"/>
        <v>43945.890906628279</v>
      </c>
      <c r="H151" s="83">
        <f t="shared" si="41"/>
        <v>4275.1950907308928</v>
      </c>
      <c r="I151" s="80">
        <f t="shared" si="42"/>
        <v>1884047.3567068246</v>
      </c>
      <c r="K151" s="41">
        <v>87</v>
      </c>
      <c r="L151" s="56">
        <f t="shared" si="47"/>
        <v>5324.5683489717176</v>
      </c>
      <c r="M151" s="56">
        <f t="shared" si="34"/>
        <v>63894.820187660611</v>
      </c>
      <c r="N151" s="62">
        <f t="shared" si="48"/>
        <v>57505.338168894552</v>
      </c>
      <c r="O151" s="56">
        <f t="shared" si="49"/>
        <v>4792.111514074546</v>
      </c>
      <c r="P151" s="56">
        <f t="shared" si="36"/>
        <v>57505.338168894552</v>
      </c>
      <c r="Q151" s="83">
        <f t="shared" si="44"/>
        <v>43945.890906628279</v>
      </c>
      <c r="R151" s="87">
        <f t="shared" si="45"/>
        <v>13559.447262266272</v>
      </c>
      <c r="S151" s="88">
        <f t="shared" si="46"/>
        <v>1738846.6342838227</v>
      </c>
    </row>
    <row r="152" spans="1:21">
      <c r="A152" s="41">
        <v>88</v>
      </c>
      <c r="B152" s="56">
        <f t="shared" si="37"/>
        <v>3753.8382011212175</v>
      </c>
      <c r="C152" s="56">
        <f t="shared" si="32"/>
        <v>45046.058413454608</v>
      </c>
      <c r="D152" s="56">
        <f t="shared" si="33"/>
        <v>40541.452572109149</v>
      </c>
      <c r="E152" s="56">
        <f t="shared" si="38"/>
        <v>4118.8844289410954</v>
      </c>
      <c r="F152" s="56">
        <f t="shared" si="39"/>
        <v>49426.613147293145</v>
      </c>
      <c r="G152" s="83">
        <f t="shared" si="40"/>
        <v>45044.538179293981</v>
      </c>
      <c r="H152" s="83">
        <f t="shared" si="41"/>
        <v>4382.0749679991641</v>
      </c>
      <c r="I152" s="80">
        <f t="shared" si="42"/>
        <v>1963791.325943097</v>
      </c>
      <c r="K152" s="41">
        <v>88</v>
      </c>
      <c r="L152" s="56">
        <f t="shared" si="47"/>
        <v>5457.68255769601</v>
      </c>
      <c r="M152" s="56">
        <f t="shared" si="34"/>
        <v>65492.190692352116</v>
      </c>
      <c r="N152" s="62">
        <f t="shared" si="48"/>
        <v>58942.971623116908</v>
      </c>
      <c r="O152" s="56">
        <f t="shared" si="49"/>
        <v>4911.9143019264093</v>
      </c>
      <c r="P152" s="56">
        <f t="shared" si="36"/>
        <v>58942.971623116915</v>
      </c>
      <c r="Q152" s="83">
        <f t="shared" si="44"/>
        <v>45044.538179293981</v>
      </c>
      <c r="R152" s="87">
        <f t="shared" si="45"/>
        <v>13898.433443822934</v>
      </c>
      <c r="S152" s="88">
        <f t="shared" si="46"/>
        <v>1822298.9330989986</v>
      </c>
    </row>
    <row r="153" spans="1:21">
      <c r="A153" s="41">
        <v>89</v>
      </c>
      <c r="B153" s="56">
        <f t="shared" si="37"/>
        <v>3847.6841561492474</v>
      </c>
      <c r="C153" s="56">
        <f t="shared" si="32"/>
        <v>46172.209873790969</v>
      </c>
      <c r="D153" s="56">
        <f t="shared" si="33"/>
        <v>41554.988886411877</v>
      </c>
      <c r="E153" s="56">
        <f t="shared" si="38"/>
        <v>4221.8565396646227</v>
      </c>
      <c r="F153" s="56">
        <f t="shared" si="39"/>
        <v>50662.278475975472</v>
      </c>
      <c r="G153" s="83">
        <f t="shared" si="40"/>
        <v>46170.651633776324</v>
      </c>
      <c r="H153" s="83">
        <f t="shared" si="41"/>
        <v>4491.6268421991481</v>
      </c>
      <c r="I153" s="80">
        <f t="shared" si="42"/>
        <v>2046834.60582302</v>
      </c>
      <c r="K153" s="41">
        <v>89</v>
      </c>
      <c r="L153" s="56">
        <f t="shared" si="47"/>
        <v>5594.1246216384097</v>
      </c>
      <c r="M153" s="56">
        <f t="shared" si="34"/>
        <v>67129.495459660917</v>
      </c>
      <c r="N153" s="62">
        <f t="shared" si="48"/>
        <v>60416.545913694827</v>
      </c>
      <c r="O153" s="56">
        <f t="shared" si="49"/>
        <v>5034.7121594745686</v>
      </c>
      <c r="P153" s="56">
        <f t="shared" si="36"/>
        <v>60416.545913694819</v>
      </c>
      <c r="Q153" s="83">
        <f t="shared" si="44"/>
        <v>46170.651633776324</v>
      </c>
      <c r="R153" s="87">
        <f t="shared" si="45"/>
        <v>14245.894279918495</v>
      </c>
      <c r="S153" s="88">
        <f t="shared" si="46"/>
        <v>1909436.784702877</v>
      </c>
    </row>
    <row r="154" spans="1:21">
      <c r="A154" s="41">
        <v>90</v>
      </c>
      <c r="B154" s="56">
        <f t="shared" si="37"/>
        <v>3943.8762600529781</v>
      </c>
      <c r="C154" s="56">
        <f t="shared" si="32"/>
        <v>47326.51512063574</v>
      </c>
      <c r="D154" s="56">
        <f t="shared" si="33"/>
        <v>42593.863608572166</v>
      </c>
      <c r="E154" s="56">
        <f t="shared" si="38"/>
        <v>4327.4029531562383</v>
      </c>
      <c r="F154" s="56">
        <f t="shared" si="39"/>
        <v>51928.835437874863</v>
      </c>
      <c r="G154" s="83">
        <f t="shared" si="40"/>
        <v>47324.917924620728</v>
      </c>
      <c r="H154" s="83">
        <f t="shared" si="41"/>
        <v>4603.917513254135</v>
      </c>
      <c r="I154" s="80">
        <f t="shared" si="42"/>
        <v>2133311.9075691951</v>
      </c>
      <c r="K154" s="41">
        <v>90</v>
      </c>
      <c r="L154" s="56">
        <f t="shared" si="47"/>
        <v>5733.9777371793698</v>
      </c>
      <c r="M154" s="56">
        <f t="shared" si="34"/>
        <v>68807.732846152445</v>
      </c>
      <c r="N154" s="62">
        <f t="shared" si="48"/>
        <v>61926.959561537202</v>
      </c>
      <c r="O154" s="56">
        <f t="shared" si="49"/>
        <v>5160.5799634614332</v>
      </c>
      <c r="P154" s="56">
        <f t="shared" si="36"/>
        <v>61926.959561537195</v>
      </c>
      <c r="Q154" s="83">
        <f t="shared" si="44"/>
        <v>47324.917924620728</v>
      </c>
      <c r="R154" s="87">
        <f t="shared" si="45"/>
        <v>14602.041636916467</v>
      </c>
      <c r="S154" s="88">
        <f t="shared" si="46"/>
        <v>2000416.2977279087</v>
      </c>
    </row>
    <row r="155" spans="1:21">
      <c r="A155" s="41">
        <v>91</v>
      </c>
      <c r="B155" s="56">
        <f t="shared" si="37"/>
        <v>4042.4731665543022</v>
      </c>
      <c r="C155" s="56">
        <f t="shared" si="32"/>
        <v>48509.677998651627</v>
      </c>
      <c r="D155" s="56">
        <f t="shared" si="33"/>
        <v>43658.710198786466</v>
      </c>
      <c r="E155" s="56">
        <f t="shared" si="38"/>
        <v>4435.5880269851441</v>
      </c>
      <c r="F155" s="56">
        <f t="shared" si="39"/>
        <v>53227.056323821729</v>
      </c>
      <c r="G155" s="83">
        <f t="shared" si="40"/>
        <v>48508.040872736245</v>
      </c>
      <c r="H155" s="83">
        <f t="shared" si="41"/>
        <v>4719.0154510854845</v>
      </c>
      <c r="I155" s="80">
        <f t="shared" si="42"/>
        <v>2223363.3993230485</v>
      </c>
      <c r="K155" s="41">
        <v>91</v>
      </c>
      <c r="L155" s="56">
        <f t="shared" si="47"/>
        <v>5877.3271806088533</v>
      </c>
      <c r="M155" s="56">
        <f t="shared" si="34"/>
        <v>70527.926167306243</v>
      </c>
      <c r="N155" s="62">
        <f t="shared" si="48"/>
        <v>63475.133550575621</v>
      </c>
      <c r="O155" s="56">
        <f t="shared" si="49"/>
        <v>5289.5944625479679</v>
      </c>
      <c r="P155" s="56">
        <f t="shared" si="36"/>
        <v>63475.133550575614</v>
      </c>
      <c r="Q155" s="83">
        <f t="shared" si="44"/>
        <v>48508.040872736245</v>
      </c>
      <c r="R155" s="87">
        <f t="shared" si="45"/>
        <v>14967.09267783937</v>
      </c>
      <c r="S155" s="88">
        <f t="shared" si="46"/>
        <v>2095400.0423148645</v>
      </c>
    </row>
    <row r="156" spans="1:21">
      <c r="A156" s="41">
        <v>92</v>
      </c>
      <c r="B156" s="56">
        <f t="shared" si="37"/>
        <v>4143.5349957181597</v>
      </c>
      <c r="C156" s="56">
        <f t="shared" si="32"/>
        <v>49722.419948617913</v>
      </c>
      <c r="D156" s="56">
        <f t="shared" si="33"/>
        <v>44750.177953756123</v>
      </c>
      <c r="E156" s="56">
        <f t="shared" si="38"/>
        <v>4546.4777276597724</v>
      </c>
      <c r="F156" s="56">
        <f t="shared" si="39"/>
        <v>54557.732731917269</v>
      </c>
      <c r="G156" s="83">
        <f t="shared" si="40"/>
        <v>49720.741894554645</v>
      </c>
      <c r="H156" s="83">
        <f t="shared" si="41"/>
        <v>4836.990837362624</v>
      </c>
      <c r="I156" s="80">
        <f t="shared" si="42"/>
        <v>2317134.9261333332</v>
      </c>
      <c r="K156" s="41">
        <v>92</v>
      </c>
      <c r="L156" s="56">
        <f t="shared" si="47"/>
        <v>6024.2603601240744</v>
      </c>
      <c r="M156" s="56">
        <f t="shared" si="34"/>
        <v>72291.124321488896</v>
      </c>
      <c r="N156" s="62">
        <f t="shared" si="48"/>
        <v>65062.011889340007</v>
      </c>
      <c r="O156" s="56">
        <f t="shared" si="49"/>
        <v>5421.8343241116672</v>
      </c>
      <c r="P156" s="56">
        <f t="shared" si="36"/>
        <v>65062.011889340007</v>
      </c>
      <c r="Q156" s="83">
        <f t="shared" si="44"/>
        <v>49720.741894554645</v>
      </c>
      <c r="R156" s="87">
        <f t="shared" si="45"/>
        <v>15341.269994785362</v>
      </c>
      <c r="S156" s="88">
        <f t="shared" si="46"/>
        <v>2194557.3140022447</v>
      </c>
    </row>
    <row r="157" spans="1:21">
      <c r="A157" s="41">
        <v>93</v>
      </c>
      <c r="B157" s="56">
        <f t="shared" si="37"/>
        <v>4247.1233706111134</v>
      </c>
      <c r="C157" s="56">
        <f t="shared" si="32"/>
        <v>50965.480447333364</v>
      </c>
      <c r="D157" s="56">
        <f t="shared" si="33"/>
        <v>45868.932402600032</v>
      </c>
      <c r="E157" s="56">
        <f t="shared" si="38"/>
        <v>4660.1396708512666</v>
      </c>
      <c r="F157" s="56">
        <f t="shared" si="39"/>
        <v>55921.676050215203</v>
      </c>
      <c r="G157" s="83">
        <f t="shared" si="40"/>
        <v>50963.760441918508</v>
      </c>
      <c r="H157" s="83">
        <f t="shared" si="41"/>
        <v>4957.9156082966947</v>
      </c>
      <c r="I157" s="80">
        <f t="shared" si="42"/>
        <v>2414778.2387869633</v>
      </c>
      <c r="K157" s="41">
        <v>93</v>
      </c>
      <c r="L157" s="56">
        <f t="shared" si="47"/>
        <v>6174.866869127176</v>
      </c>
      <c r="M157" s="56">
        <f t="shared" si="34"/>
        <v>74098.402429526119</v>
      </c>
      <c r="N157" s="62">
        <f t="shared" si="48"/>
        <v>66688.562186573516</v>
      </c>
      <c r="O157" s="56">
        <f t="shared" si="49"/>
        <v>5557.3801822144587</v>
      </c>
      <c r="P157" s="56">
        <f t="shared" si="36"/>
        <v>66688.562186573501</v>
      </c>
      <c r="Q157" s="83">
        <f t="shared" si="44"/>
        <v>50963.760441918508</v>
      </c>
      <c r="R157" s="87">
        <f t="shared" si="45"/>
        <v>15724.801744654993</v>
      </c>
      <c r="S157" s="88">
        <f t="shared" si="46"/>
        <v>2298064.4083069894</v>
      </c>
    </row>
    <row r="158" spans="1:21">
      <c r="A158" s="41">
        <v>94</v>
      </c>
      <c r="B158" s="56">
        <f t="shared" si="37"/>
        <v>4353.3014548763913</v>
      </c>
      <c r="C158" s="56">
        <f t="shared" si="32"/>
        <v>52239.617458516695</v>
      </c>
      <c r="D158" s="56">
        <f t="shared" si="33"/>
        <v>47015.65571266503</v>
      </c>
      <c r="E158" s="56">
        <f t="shared" si="38"/>
        <v>4776.6431626225476</v>
      </c>
      <c r="F158" s="56">
        <f t="shared" si="39"/>
        <v>57319.717951470571</v>
      </c>
      <c r="G158" s="83">
        <f t="shared" si="40"/>
        <v>52237.854452966465</v>
      </c>
      <c r="H158" s="83">
        <f t="shared" si="41"/>
        <v>5081.8634985041062</v>
      </c>
      <c r="I158" s="80">
        <f t="shared" si="42"/>
        <v>2516451.2318369462</v>
      </c>
      <c r="K158" s="41">
        <v>94</v>
      </c>
      <c r="L158" s="56">
        <f t="shared" si="47"/>
        <v>6329.2385408553546</v>
      </c>
      <c r="M158" s="56">
        <f t="shared" si="34"/>
        <v>75950.862490264262</v>
      </c>
      <c r="N158" s="62">
        <f t="shared" si="48"/>
        <v>68355.776241237836</v>
      </c>
      <c r="O158" s="56">
        <f t="shared" si="49"/>
        <v>5696.3146867698197</v>
      </c>
      <c r="P158" s="56">
        <f t="shared" si="36"/>
        <v>68355.776241237836</v>
      </c>
      <c r="Q158" s="83">
        <f t="shared" si="44"/>
        <v>52237.854452966465</v>
      </c>
      <c r="R158" s="87">
        <f t="shared" si="45"/>
        <v>16117.921788271371</v>
      </c>
      <c r="S158" s="88">
        <f t="shared" si="46"/>
        <v>2406104.9064275404</v>
      </c>
    </row>
    <row r="159" spans="1:21">
      <c r="A159" s="41">
        <v>95</v>
      </c>
      <c r="B159" s="56">
        <f t="shared" si="37"/>
        <v>4462.1339912483008</v>
      </c>
      <c r="C159" s="56">
        <f t="shared" si="32"/>
        <v>53545.607894979606</v>
      </c>
      <c r="D159" s="56">
        <f t="shared" si="33"/>
        <v>48191.047105481644</v>
      </c>
      <c r="E159" s="56">
        <f t="shared" si="38"/>
        <v>4896.0592416881109</v>
      </c>
      <c r="F159" s="56">
        <f t="shared" si="39"/>
        <v>58752.710900257327</v>
      </c>
      <c r="G159" s="83">
        <f t="shared" si="40"/>
        <v>53543.800814290626</v>
      </c>
      <c r="H159" s="83">
        <f t="shared" si="41"/>
        <v>5208.9100859667014</v>
      </c>
      <c r="I159" s="80">
        <f t="shared" si="42"/>
        <v>2622318.1911963909</v>
      </c>
      <c r="K159" s="41">
        <v>95</v>
      </c>
      <c r="L159" s="56">
        <f t="shared" si="47"/>
        <v>6487.4695043767379</v>
      </c>
      <c r="M159" s="56">
        <f t="shared" si="34"/>
        <v>77849.634052520851</v>
      </c>
      <c r="N159" s="62">
        <f t="shared" si="48"/>
        <v>70064.670647268766</v>
      </c>
      <c r="O159" s="56">
        <f t="shared" si="49"/>
        <v>5838.7225539390638</v>
      </c>
      <c r="P159" s="56">
        <f t="shared" si="36"/>
        <v>70064.670647268766</v>
      </c>
      <c r="Q159" s="83">
        <f t="shared" si="44"/>
        <v>53543.800814290626</v>
      </c>
      <c r="R159" s="87">
        <f t="shared" si="45"/>
        <v>16520.86983297814</v>
      </c>
      <c r="S159" s="88">
        <f t="shared" si="46"/>
        <v>2518869.9725176203</v>
      </c>
    </row>
    <row r="160" spans="1:21">
      <c r="A160" s="41">
        <v>96</v>
      </c>
      <c r="B160" s="56">
        <f t="shared" si="37"/>
        <v>4573.6873410295084</v>
      </c>
      <c r="C160" s="56">
        <f t="shared" si="32"/>
        <v>54884.248092354101</v>
      </c>
      <c r="D160" s="56">
        <f t="shared" si="33"/>
        <v>49395.823283118691</v>
      </c>
      <c r="E160" s="56">
        <f t="shared" si="38"/>
        <v>5018.4607227303131</v>
      </c>
      <c r="F160" s="56">
        <f t="shared" si="39"/>
        <v>60221.528672763758</v>
      </c>
      <c r="G160" s="83">
        <f t="shared" si="40"/>
        <v>54882.395834647883</v>
      </c>
      <c r="H160" s="83">
        <f t="shared" si="41"/>
        <v>5339.1328381158746</v>
      </c>
      <c r="I160" s="80">
        <f t="shared" si="42"/>
        <v>2732550.0516823628</v>
      </c>
      <c r="K160" s="41">
        <v>96</v>
      </c>
      <c r="L160" s="56">
        <f t="shared" si="47"/>
        <v>6649.6562419861557</v>
      </c>
      <c r="M160" s="56">
        <f t="shared" si="34"/>
        <v>79795.874903833872</v>
      </c>
      <c r="N160" s="62">
        <f t="shared" si="48"/>
        <v>71816.287413450482</v>
      </c>
      <c r="O160" s="56">
        <f t="shared" si="49"/>
        <v>5984.6906177875398</v>
      </c>
      <c r="P160" s="56">
        <f t="shared" si="36"/>
        <v>71816.287413450482</v>
      </c>
      <c r="Q160" s="83">
        <f t="shared" si="44"/>
        <v>54882.395834647883</v>
      </c>
      <c r="R160" s="87">
        <f t="shared" si="45"/>
        <v>16933.891578802599</v>
      </c>
      <c r="S160" s="88">
        <f t="shared" si="46"/>
        <v>2636558.6629971275</v>
      </c>
    </row>
    <row r="161" spans="1:19">
      <c r="A161" s="41">
        <v>97</v>
      </c>
      <c r="B161" s="56">
        <f t="shared" si="37"/>
        <v>4688.0295245552461</v>
      </c>
      <c r="C161" s="56">
        <f t="shared" si="32"/>
        <v>56256.354294662953</v>
      </c>
      <c r="D161" s="56">
        <f t="shared" si="33"/>
        <v>50630.718865196657</v>
      </c>
      <c r="E161" s="56">
        <f t="shared" si="38"/>
        <v>5143.9222407985708</v>
      </c>
      <c r="F161" s="56">
        <f t="shared" si="39"/>
        <v>61727.066889582849</v>
      </c>
      <c r="G161" s="83">
        <f t="shared" si="40"/>
        <v>56254.455730514077</v>
      </c>
      <c r="H161" s="83">
        <f t="shared" si="41"/>
        <v>5472.6111590687724</v>
      </c>
      <c r="I161" s="80">
        <f t="shared" si="42"/>
        <v>2847324.6649087262</v>
      </c>
      <c r="K161" s="41">
        <v>97</v>
      </c>
      <c r="L161" s="56">
        <f t="shared" si="47"/>
        <v>6815.8976480358087</v>
      </c>
      <c r="M161" s="56">
        <f t="shared" si="34"/>
        <v>81790.771776429698</v>
      </c>
      <c r="N161" s="62">
        <f t="shared" si="48"/>
        <v>73611.694598786737</v>
      </c>
      <c r="O161" s="56">
        <f t="shared" si="49"/>
        <v>6134.3078832322281</v>
      </c>
      <c r="P161" s="56">
        <f t="shared" si="36"/>
        <v>73611.694598786737</v>
      </c>
      <c r="Q161" s="83">
        <f t="shared" si="44"/>
        <v>56254.455730514077</v>
      </c>
      <c r="R161" s="87">
        <f t="shared" si="45"/>
        <v>17357.23886827266</v>
      </c>
      <c r="S161" s="88">
        <f t="shared" si="46"/>
        <v>2759378.2483852855</v>
      </c>
    </row>
    <row r="162" spans="1:19">
      <c r="A162" s="41">
        <v>98</v>
      </c>
      <c r="B162" s="56">
        <f t="shared" si="37"/>
        <v>4805.2302626691271</v>
      </c>
      <c r="C162" s="56">
        <f t="shared" si="32"/>
        <v>57662.763152029525</v>
      </c>
      <c r="D162" s="56">
        <f t="shared" si="33"/>
        <v>51896.486836826574</v>
      </c>
      <c r="E162" s="56">
        <f t="shared" si="38"/>
        <v>5272.5202968185349</v>
      </c>
      <c r="F162" s="56">
        <f t="shared" si="39"/>
        <v>63270.243561822419</v>
      </c>
      <c r="G162" s="83">
        <f t="shared" si="40"/>
        <v>57660.817123776927</v>
      </c>
      <c r="H162" s="83">
        <f t="shared" si="41"/>
        <v>5609.4264380454915</v>
      </c>
      <c r="I162" s="80">
        <f t="shared" si="42"/>
        <v>2966827.0779431211</v>
      </c>
      <c r="K162" s="41">
        <v>98</v>
      </c>
      <c r="L162" s="56">
        <f t="shared" si="47"/>
        <v>6986.2950892367035</v>
      </c>
      <c r="M162" s="56">
        <f t="shared" si="34"/>
        <v>83835.541070840438</v>
      </c>
      <c r="N162" s="62">
        <f t="shared" si="48"/>
        <v>75451.986963756397</v>
      </c>
      <c r="O162" s="56">
        <f t="shared" si="49"/>
        <v>6287.6655803130334</v>
      </c>
      <c r="P162" s="56">
        <f t="shared" si="36"/>
        <v>75451.986963756397</v>
      </c>
      <c r="Q162" s="83">
        <f t="shared" si="44"/>
        <v>57660.817123776927</v>
      </c>
      <c r="R162" s="87">
        <f t="shared" si="45"/>
        <v>17791.16983997947</v>
      </c>
      <c r="S162" s="88">
        <f t="shared" si="46"/>
        <v>2887544.5481606768</v>
      </c>
    </row>
    <row r="163" spans="1:19">
      <c r="A163" s="41">
        <v>99</v>
      </c>
      <c r="B163" s="56">
        <f t="shared" si="37"/>
        <v>4925.3610192358547</v>
      </c>
      <c r="C163" s="56">
        <f t="shared" si="32"/>
        <v>59104.33223083026</v>
      </c>
      <c r="D163" s="56">
        <f t="shared" si="33"/>
        <v>53193.899007747234</v>
      </c>
      <c r="E163" s="56">
        <f t="shared" si="38"/>
        <v>5404.3333042389977</v>
      </c>
      <c r="F163" s="56">
        <f t="shared" si="39"/>
        <v>64851.999650867976</v>
      </c>
      <c r="G163" s="83">
        <f t="shared" si="40"/>
        <v>59102.337551871344</v>
      </c>
      <c r="H163" s="83">
        <f t="shared" si="41"/>
        <v>5749.6620989966323</v>
      </c>
      <c r="I163" s="80">
        <f t="shared" si="42"/>
        <v>3091249.8231598428</v>
      </c>
      <c r="K163" s="41">
        <v>99</v>
      </c>
      <c r="L163" s="56">
        <f t="shared" si="47"/>
        <v>7160.9524664676201</v>
      </c>
      <c r="M163" s="56">
        <f t="shared" si="34"/>
        <v>85931.429597611437</v>
      </c>
      <c r="N163" s="62">
        <f t="shared" si="48"/>
        <v>77338.286637850295</v>
      </c>
      <c r="O163" s="56">
        <f t="shared" si="49"/>
        <v>6444.8572198208585</v>
      </c>
      <c r="P163" s="56">
        <f t="shared" si="36"/>
        <v>77338.286637850309</v>
      </c>
      <c r="Q163" s="83">
        <f t="shared" si="44"/>
        <v>59102.337551871344</v>
      </c>
      <c r="R163" s="87">
        <f t="shared" si="45"/>
        <v>18235.949085978966</v>
      </c>
      <c r="S163" s="88">
        <f t="shared" si="46"/>
        <v>3021282.2791730827</v>
      </c>
    </row>
    <row r="164" spans="1:19" ht="15" thickBot="1">
      <c r="A164" s="43">
        <v>100</v>
      </c>
      <c r="B164" s="56">
        <f t="shared" si="37"/>
        <v>5048.4950447167503</v>
      </c>
      <c r="C164" s="56">
        <f t="shared" si="32"/>
        <v>60581.940536601003</v>
      </c>
      <c r="D164" s="56">
        <f t="shared" si="33"/>
        <v>54523.746482940907</v>
      </c>
      <c r="E164" s="56">
        <f t="shared" si="38"/>
        <v>5539.441636844972</v>
      </c>
      <c r="F164" s="56">
        <f t="shared" si="39"/>
        <v>66473.299642139667</v>
      </c>
      <c r="G164" s="83">
        <f t="shared" si="40"/>
        <v>60579.895990668119</v>
      </c>
      <c r="H164" s="83">
        <f t="shared" si="41"/>
        <v>5893.4036514715481</v>
      </c>
      <c r="I164" s="80">
        <f t="shared" si="42"/>
        <v>3220793.2197377081</v>
      </c>
      <c r="K164" s="43">
        <v>100</v>
      </c>
      <c r="L164" s="59">
        <f t="shared" si="47"/>
        <v>7339.9762781293102</v>
      </c>
      <c r="M164" s="59">
        <f t="shared" si="34"/>
        <v>88079.715337551723</v>
      </c>
      <c r="N164" s="62">
        <f t="shared" si="48"/>
        <v>79271.743803796548</v>
      </c>
      <c r="O164" s="56">
        <f t="shared" si="49"/>
        <v>6605.9786503163796</v>
      </c>
      <c r="P164" s="56">
        <f t="shared" si="36"/>
        <v>79271.743803796562</v>
      </c>
      <c r="Q164" s="83">
        <f t="shared" si="44"/>
        <v>60579.895990668119</v>
      </c>
      <c r="R164" s="87">
        <f t="shared" si="45"/>
        <v>18691.847813128443</v>
      </c>
      <c r="S164" s="88">
        <f t="shared" si="46"/>
        <v>3160825.4181531346</v>
      </c>
    </row>
    <row r="165" spans="1:19">
      <c r="D165" s="96"/>
    </row>
  </sheetData>
  <conditionalFormatting sqref="A126:I164 K126:S164">
    <cfRule type="expression" dxfId="57" priority="4">
      <formula>MOD(ROW(),2)=1</formula>
    </cfRule>
  </conditionalFormatting>
  <conditionalFormatting sqref="A26:O64">
    <cfRule type="expression" dxfId="56" priority="1">
      <formula>MOD(ROW(),2)=1</formula>
    </cfRule>
  </conditionalFormatting>
  <conditionalFormatting sqref="J77:Q115">
    <cfRule type="expression" dxfId="55" priority="6">
      <formula>MOD(ROW(),2)=1</formula>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8DE36-85DD-422E-86B4-11F8922FD397}">
  <dimension ref="A1:AG48"/>
  <sheetViews>
    <sheetView zoomScaleNormal="100" workbookViewId="0">
      <pane xSplit="2" topLeftCell="C1" activePane="topRight" state="frozen"/>
      <selection pane="topRight" activeCell="Q18" sqref="Q18"/>
    </sheetView>
  </sheetViews>
  <sheetFormatPr defaultRowHeight="14.4"/>
  <cols>
    <col min="2" max="2" width="14.33203125" customWidth="1"/>
    <col min="3" max="3" width="14.88671875" customWidth="1"/>
    <col min="4" max="4" width="12" customWidth="1"/>
    <col min="5" max="5" width="14.88671875" customWidth="1"/>
    <col min="7" max="7" width="16.5546875" customWidth="1"/>
    <col min="8" max="8" width="12.33203125" customWidth="1"/>
    <col min="9" max="10" width="11" customWidth="1"/>
    <col min="11" max="11" width="16.6640625" customWidth="1"/>
    <col min="12" max="12" width="11.6640625" customWidth="1"/>
    <col min="13" max="13" width="14.6640625" customWidth="1"/>
    <col min="14" max="14" width="16.21875" customWidth="1"/>
    <col min="15" max="16" width="14.6640625" customWidth="1"/>
    <col min="17" max="17" width="16.109375" customWidth="1"/>
    <col min="18" max="19" width="13.5546875" customWidth="1"/>
    <col min="20" max="21" width="14.88671875" customWidth="1"/>
    <col min="22" max="22" width="16.109375" customWidth="1"/>
    <col min="23" max="23" width="14.88671875" customWidth="1"/>
    <col min="24" max="24" width="15.6640625" customWidth="1"/>
    <col min="25" max="25" width="15.33203125" customWidth="1"/>
    <col min="26" max="26" width="17.6640625" customWidth="1"/>
    <col min="27" max="27" width="13.33203125" customWidth="1"/>
    <col min="28" max="28" width="17.6640625" customWidth="1"/>
    <col min="29" max="29" width="13.33203125" bestFit="1" customWidth="1"/>
    <col min="30" max="30" width="12.6640625" customWidth="1"/>
    <col min="31" max="31" width="13.33203125" customWidth="1"/>
    <col min="32" max="32" width="12.33203125" bestFit="1" customWidth="1"/>
    <col min="33" max="33" width="14.5546875" customWidth="1"/>
  </cols>
  <sheetData>
    <row r="1" spans="1:33">
      <c r="A1" s="14" t="s">
        <v>0</v>
      </c>
    </row>
    <row r="2" spans="1:33">
      <c r="B2" s="14" t="s">
        <v>1</v>
      </c>
      <c r="C2" s="4">
        <f>Main!B11</f>
        <v>2822</v>
      </c>
    </row>
    <row r="3" spans="1:33" ht="28.8">
      <c r="B3" s="21" t="s">
        <v>100</v>
      </c>
      <c r="C3" s="13">
        <f>Main!B12</f>
        <v>22</v>
      </c>
      <c r="D3" s="1"/>
      <c r="E3" s="79" t="s">
        <v>178</v>
      </c>
      <c r="F3" s="12">
        <f>'SSI cola for the year'!F5</f>
        <v>3.7294117647058829</v>
      </c>
      <c r="H3" s="21"/>
      <c r="I3" s="12"/>
    </row>
    <row r="4" spans="1:33">
      <c r="B4" s="21" t="s">
        <v>111</v>
      </c>
      <c r="C4" s="1">
        <f>Main!B13</f>
        <v>2.5000000000000001E-2</v>
      </c>
      <c r="E4" s="14"/>
      <c r="F4" s="1"/>
    </row>
    <row r="5" spans="1:33" ht="28.8">
      <c r="B5" s="93" t="s">
        <v>177</v>
      </c>
      <c r="C5" s="1">
        <f>Main!B14</f>
        <v>0.04</v>
      </c>
      <c r="E5" s="79" t="s">
        <v>175</v>
      </c>
      <c r="F5" s="1">
        <f>Main!E12</f>
        <v>3.2639639639639652E-2</v>
      </c>
    </row>
    <row r="6" spans="1:33">
      <c r="B6" s="14" t="s">
        <v>93</v>
      </c>
      <c r="C6" s="1">
        <f>Main!B15</f>
        <v>0.04</v>
      </c>
    </row>
    <row r="7" spans="1:33">
      <c r="B7" s="21"/>
      <c r="C7" s="1"/>
    </row>
    <row r="8" spans="1:33" ht="57.6">
      <c r="B8" s="14" t="s">
        <v>2</v>
      </c>
      <c r="C8" s="14" t="s">
        <v>3</v>
      </c>
      <c r="D8" s="14" t="s">
        <v>106</v>
      </c>
      <c r="E8" s="14" t="s">
        <v>4</v>
      </c>
      <c r="F8" s="14"/>
      <c r="G8" s="21" t="s">
        <v>102</v>
      </c>
      <c r="H8" s="21" t="s">
        <v>103</v>
      </c>
      <c r="I8" s="21" t="s">
        <v>105</v>
      </c>
      <c r="J8" s="21"/>
      <c r="K8" s="21" t="s">
        <v>104</v>
      </c>
      <c r="L8" s="21" t="s">
        <v>88</v>
      </c>
      <c r="M8" s="21" t="s">
        <v>87</v>
      </c>
      <c r="N8" s="21" t="s">
        <v>90</v>
      </c>
      <c r="O8" s="21" t="s">
        <v>89</v>
      </c>
      <c r="P8" s="21" t="s">
        <v>92</v>
      </c>
      <c r="Q8" s="21" t="s">
        <v>91</v>
      </c>
      <c r="R8" s="21" t="s">
        <v>94</v>
      </c>
      <c r="S8" s="21" t="s">
        <v>95</v>
      </c>
      <c r="T8" s="21" t="s">
        <v>96</v>
      </c>
      <c r="U8" s="21" t="s">
        <v>179</v>
      </c>
      <c r="V8" s="21" t="s">
        <v>91</v>
      </c>
      <c r="W8" s="21"/>
      <c r="X8" s="21" t="s">
        <v>97</v>
      </c>
      <c r="Y8" s="22" t="s">
        <v>98</v>
      </c>
      <c r="Z8" s="21" t="s">
        <v>99</v>
      </c>
      <c r="AA8" s="21" t="s">
        <v>101</v>
      </c>
      <c r="AB8" s="21" t="s">
        <v>112</v>
      </c>
      <c r="AC8" s="21" t="s">
        <v>113</v>
      </c>
      <c r="AD8" s="21" t="s">
        <v>115</v>
      </c>
      <c r="AE8" s="21" t="s">
        <v>114</v>
      </c>
      <c r="AF8" s="21" t="s">
        <v>117</v>
      </c>
      <c r="AG8" s="21" t="s">
        <v>118</v>
      </c>
    </row>
    <row r="9" spans="1:33">
      <c r="B9">
        <v>62</v>
      </c>
      <c r="C9" s="2">
        <f>C2*D9</f>
        <v>1975.3999999999999</v>
      </c>
      <c r="D9" s="3">
        <v>0.7</v>
      </c>
      <c r="G9" s="2">
        <f>C9</f>
        <v>1975.3999999999999</v>
      </c>
      <c r="H9" s="2"/>
      <c r="K9" s="2">
        <f>$C$9*12</f>
        <v>23704.799999999999</v>
      </c>
      <c r="L9" s="2">
        <f>K9</f>
        <v>23704.799999999999</v>
      </c>
      <c r="M9" s="2">
        <f>K9</f>
        <v>23704.799999999999</v>
      </c>
      <c r="N9">
        <v>0</v>
      </c>
      <c r="O9">
        <v>0</v>
      </c>
      <c r="P9">
        <v>0</v>
      </c>
      <c r="Q9">
        <v>0</v>
      </c>
      <c r="R9" s="2">
        <f>M9</f>
        <v>23704.799999999999</v>
      </c>
      <c r="S9" s="2">
        <f t="shared" ref="S9:S13" si="0">O9</f>
        <v>0</v>
      </c>
      <c r="T9" s="2">
        <f t="shared" ref="T9:T16" si="1">Q9</f>
        <v>0</v>
      </c>
      <c r="U9" s="2">
        <f>R9</f>
        <v>23704.799999999999</v>
      </c>
      <c r="V9">
        <v>0</v>
      </c>
      <c r="W9" s="2"/>
      <c r="X9" s="2">
        <f>PV($C$5,$C$3,K9,,0)</f>
        <v>-342560.79876311979</v>
      </c>
      <c r="Y9" s="2" t="e">
        <f>PV($C$5,C3-5,#REF!)</f>
        <v>#REF!</v>
      </c>
      <c r="Z9" s="2" t="e">
        <f>PV($C$5,$C$3-8,#REF!)</f>
        <v>#REF!</v>
      </c>
      <c r="AA9" s="2">
        <f>NPV($C$5,L9:L34)</f>
        <v>497144.78293587064</v>
      </c>
      <c r="AB9" s="2">
        <f>NPV($C$5,N9:N34)</f>
        <v>552028.26708197466</v>
      </c>
      <c r="AC9" s="2">
        <f>NPV($C$5,P9:P34)</f>
        <v>573489.85047128669</v>
      </c>
      <c r="AD9" s="2">
        <f>FV($C$5,$C$3-8,,R17)</f>
        <v>-427382.93837257859</v>
      </c>
      <c r="AE9" s="2">
        <f>FV($C$5,$C$3-5,,R14)</f>
        <v>-325147.93084406271</v>
      </c>
      <c r="AF9" s="2">
        <f>AD9/(1+$C$5)^($C$3)</f>
        <v>-180336.53300887215</v>
      </c>
      <c r="AG9" s="2">
        <f>AE9/(1+$C$5)^($C$3)</f>
        <v>-137197.92087794995</v>
      </c>
    </row>
    <row r="10" spans="1:33">
      <c r="B10">
        <v>63</v>
      </c>
      <c r="C10" s="2">
        <f>C2*D10</f>
        <v>2116.5</v>
      </c>
      <c r="D10" s="3">
        <v>0.75</v>
      </c>
      <c r="E10" s="1">
        <f t="shared" ref="E10:E17" si="2">(C10-C9)/C9</f>
        <v>7.1428571428571508E-2</v>
      </c>
      <c r="G10" s="2">
        <f t="shared" ref="G10:G47" si="3">G9*(1+$C$4)</f>
        <v>2024.7849999999996</v>
      </c>
      <c r="H10" s="2"/>
      <c r="K10" s="2">
        <f>K9+$K$9</f>
        <v>47409.599999999999</v>
      </c>
      <c r="L10" s="2">
        <f t="shared" ref="L10:L47" si="4">L9+(L9*$C$4)</f>
        <v>24297.42</v>
      </c>
      <c r="M10" s="2">
        <f>M9+L10</f>
        <v>48002.22</v>
      </c>
      <c r="N10">
        <v>0</v>
      </c>
      <c r="O10">
        <v>0</v>
      </c>
      <c r="P10">
        <v>0</v>
      </c>
      <c r="Q10">
        <v>0</v>
      </c>
      <c r="R10" s="2">
        <f t="shared" ref="R10:R16" si="5">L10+(1+$C$5)*R9</f>
        <v>48950.411999999997</v>
      </c>
      <c r="S10" s="2">
        <f t="shared" si="0"/>
        <v>0</v>
      </c>
      <c r="T10" s="2">
        <f t="shared" si="1"/>
        <v>0</v>
      </c>
      <c r="U10" s="2">
        <f t="shared" ref="U10:U16" si="6">R10</f>
        <v>48950.411999999997</v>
      </c>
      <c r="V10">
        <v>0</v>
      </c>
      <c r="W10" s="2"/>
    </row>
    <row r="11" spans="1:33">
      <c r="B11">
        <v>64</v>
      </c>
      <c r="C11" s="2">
        <f>C2*D11</f>
        <v>2257.6</v>
      </c>
      <c r="D11" s="3">
        <v>0.8</v>
      </c>
      <c r="E11" s="1">
        <f t="shared" si="2"/>
        <v>6.6666666666666624E-2</v>
      </c>
      <c r="G11" s="2">
        <f t="shared" si="3"/>
        <v>2075.4046249999992</v>
      </c>
      <c r="H11" s="2"/>
      <c r="K11" s="2">
        <f t="shared" ref="K11:K47" si="7">K10+$K$9</f>
        <v>71114.399999999994</v>
      </c>
      <c r="L11" s="2">
        <f t="shared" si="4"/>
        <v>24904.855499999998</v>
      </c>
      <c r="M11" s="2">
        <f t="shared" ref="M11:M47" si="8">M10+L11</f>
        <v>72907.075500000006</v>
      </c>
      <c r="N11">
        <v>0</v>
      </c>
      <c r="O11">
        <v>0</v>
      </c>
      <c r="P11">
        <v>0</v>
      </c>
      <c r="Q11">
        <v>0</v>
      </c>
      <c r="R11" s="2">
        <f t="shared" si="5"/>
        <v>75813.283979999993</v>
      </c>
      <c r="S11" s="2">
        <f t="shared" si="0"/>
        <v>0</v>
      </c>
      <c r="T11" s="2">
        <f t="shared" si="1"/>
        <v>0</v>
      </c>
      <c r="U11" s="2">
        <f t="shared" si="6"/>
        <v>75813.283979999993</v>
      </c>
      <c r="V11">
        <v>0</v>
      </c>
      <c r="W11" s="2"/>
    </row>
    <row r="12" spans="1:33">
      <c r="B12">
        <v>65</v>
      </c>
      <c r="C12" s="2">
        <f>C2*D12</f>
        <v>2446.674</v>
      </c>
      <c r="D12" s="1">
        <v>0.86699999999999999</v>
      </c>
      <c r="E12" s="1">
        <f t="shared" si="2"/>
        <v>8.3750000000000033E-2</v>
      </c>
      <c r="G12" s="2">
        <f t="shared" si="3"/>
        <v>2127.289740624999</v>
      </c>
      <c r="H12" s="2"/>
      <c r="K12" s="2">
        <f t="shared" si="7"/>
        <v>94819.199999999997</v>
      </c>
      <c r="L12" s="2">
        <f t="shared" si="4"/>
        <v>25527.476887499997</v>
      </c>
      <c r="M12" s="2">
        <f t="shared" si="8"/>
        <v>98434.552387500007</v>
      </c>
      <c r="N12">
        <v>0</v>
      </c>
      <c r="O12">
        <v>0</v>
      </c>
      <c r="P12">
        <v>0</v>
      </c>
      <c r="Q12">
        <v>0</v>
      </c>
      <c r="R12" s="2">
        <f t="shared" si="5"/>
        <v>104373.2922267</v>
      </c>
      <c r="S12" s="2">
        <f t="shared" si="0"/>
        <v>0</v>
      </c>
      <c r="T12" s="2">
        <f t="shared" si="1"/>
        <v>0</v>
      </c>
      <c r="U12" s="2">
        <f t="shared" si="6"/>
        <v>104373.2922267</v>
      </c>
      <c r="V12">
        <v>0</v>
      </c>
      <c r="W12" s="2"/>
      <c r="AF12" s="2">
        <f>FV(C5,C3,0,AF9)</f>
        <v>427382.93837257859</v>
      </c>
      <c r="AG12" s="2">
        <f>FV(C5,20,0,AG9)</f>
        <v>300617.53961174435</v>
      </c>
    </row>
    <row r="13" spans="1:33">
      <c r="B13">
        <v>66</v>
      </c>
      <c r="C13" s="2">
        <f>C2*D13</f>
        <v>2632.9259999999999</v>
      </c>
      <c r="D13" s="1">
        <v>0.93300000000000005</v>
      </c>
      <c r="E13" s="1">
        <f t="shared" si="2"/>
        <v>7.612456747404843E-2</v>
      </c>
      <c r="G13" s="2">
        <f t="shared" si="3"/>
        <v>2180.4719841406236</v>
      </c>
      <c r="H13" s="2"/>
      <c r="K13" s="2">
        <f t="shared" si="7"/>
        <v>118524</v>
      </c>
      <c r="L13" s="2">
        <f t="shared" si="4"/>
        <v>26165.663809687496</v>
      </c>
      <c r="M13" s="2">
        <f t="shared" si="8"/>
        <v>124600.2161971875</v>
      </c>
      <c r="N13">
        <v>0</v>
      </c>
      <c r="O13">
        <v>0</v>
      </c>
      <c r="P13">
        <v>0</v>
      </c>
      <c r="Q13">
        <v>0</v>
      </c>
      <c r="R13" s="2">
        <f t="shared" si="5"/>
        <v>134713.88772545551</v>
      </c>
      <c r="S13" s="2">
        <f t="shared" si="0"/>
        <v>0</v>
      </c>
      <c r="T13" s="2">
        <f t="shared" si="1"/>
        <v>0</v>
      </c>
      <c r="U13" s="2">
        <f t="shared" si="6"/>
        <v>134713.88772545551</v>
      </c>
      <c r="V13">
        <v>0</v>
      </c>
      <c r="W13" s="2"/>
    </row>
    <row r="14" spans="1:33">
      <c r="B14">
        <v>67</v>
      </c>
      <c r="C14" s="2">
        <f>C2*D14</f>
        <v>2822</v>
      </c>
      <c r="D14" s="3">
        <v>1</v>
      </c>
      <c r="E14" s="1">
        <f t="shared" si="2"/>
        <v>7.1811361200428747E-2</v>
      </c>
      <c r="G14" s="2">
        <f t="shared" si="3"/>
        <v>2234.9837837441391</v>
      </c>
      <c r="H14" s="2">
        <f>C14*(1+$C$4)^(B14-B9)</f>
        <v>3192.8339767773427</v>
      </c>
      <c r="K14" s="2">
        <f t="shared" si="7"/>
        <v>142228.79999999999</v>
      </c>
      <c r="L14" s="2">
        <f t="shared" si="4"/>
        <v>26819.805404929684</v>
      </c>
      <c r="M14" s="2">
        <f t="shared" si="8"/>
        <v>151420.02160211719</v>
      </c>
      <c r="N14" s="2">
        <f>H14*12</f>
        <v>38314.007721328111</v>
      </c>
      <c r="O14" s="2">
        <f>N14</f>
        <v>38314.007721328111</v>
      </c>
      <c r="P14">
        <v>0</v>
      </c>
      <c r="Q14">
        <v>0</v>
      </c>
      <c r="R14" s="2">
        <f t="shared" si="5"/>
        <v>166922.24863940341</v>
      </c>
      <c r="S14" s="2">
        <f>O14</f>
        <v>38314.007721328111</v>
      </c>
      <c r="T14" s="2">
        <f t="shared" si="1"/>
        <v>0</v>
      </c>
      <c r="U14" s="2">
        <f t="shared" si="6"/>
        <v>166922.24863940341</v>
      </c>
      <c r="V14">
        <v>0</v>
      </c>
      <c r="W14" s="2"/>
    </row>
    <row r="15" spans="1:33">
      <c r="B15">
        <v>68</v>
      </c>
      <c r="C15" s="2">
        <f>C2*D15</f>
        <v>3047.76</v>
      </c>
      <c r="D15" s="3">
        <v>1.08</v>
      </c>
      <c r="E15" s="1">
        <f t="shared" si="2"/>
        <v>8.0000000000000071E-2</v>
      </c>
      <c r="G15" s="2">
        <f t="shared" si="3"/>
        <v>2290.8583783377426</v>
      </c>
      <c r="H15" s="2">
        <f t="shared" ref="H15:H47" si="9">H14*(1+$C$4)</f>
        <v>3272.654826196776</v>
      </c>
      <c r="K15" s="2">
        <f t="shared" si="7"/>
        <v>165933.59999999998</v>
      </c>
      <c r="L15" s="2">
        <f t="shared" si="4"/>
        <v>27490.300540052925</v>
      </c>
      <c r="M15" s="2">
        <f t="shared" si="8"/>
        <v>178910.32214217013</v>
      </c>
      <c r="N15" s="2">
        <f t="shared" ref="N15:N47" si="10">H15*12</f>
        <v>39271.85791436131</v>
      </c>
      <c r="O15" s="2">
        <f t="shared" ref="O15:O47" si="11">O14+N15</f>
        <v>77585.865635689421</v>
      </c>
      <c r="P15">
        <v>0</v>
      </c>
      <c r="Q15">
        <v>0</v>
      </c>
      <c r="R15" s="2">
        <f t="shared" si="5"/>
        <v>201089.43912503248</v>
      </c>
      <c r="S15" s="2">
        <f>(S14*(1+$C$5))+N15</f>
        <v>79118.425944542541</v>
      </c>
      <c r="T15" s="2">
        <f t="shared" si="1"/>
        <v>0</v>
      </c>
      <c r="U15" s="2">
        <f t="shared" si="6"/>
        <v>201089.43912503248</v>
      </c>
      <c r="V15">
        <v>0</v>
      </c>
      <c r="W15" s="2"/>
    </row>
    <row r="16" spans="1:33">
      <c r="B16">
        <v>69</v>
      </c>
      <c r="C16" s="2">
        <f>C2*D16</f>
        <v>3273.52</v>
      </c>
      <c r="D16" s="3">
        <v>1.1599999999999999</v>
      </c>
      <c r="E16" s="1">
        <f t="shared" si="2"/>
        <v>7.4074074074073987E-2</v>
      </c>
      <c r="G16" s="2">
        <f t="shared" si="3"/>
        <v>2348.1298377961862</v>
      </c>
      <c r="H16" s="2">
        <f t="shared" si="9"/>
        <v>3354.4711968516949</v>
      </c>
      <c r="K16" s="2">
        <f t="shared" si="7"/>
        <v>189638.39999999997</v>
      </c>
      <c r="L16" s="2">
        <f t="shared" si="4"/>
        <v>28177.55805355425</v>
      </c>
      <c r="M16" s="2">
        <f t="shared" si="8"/>
        <v>207087.88019572437</v>
      </c>
      <c r="N16" s="2">
        <f t="shared" si="10"/>
        <v>40253.654362220339</v>
      </c>
      <c r="O16" s="2">
        <f t="shared" si="11"/>
        <v>117839.51999790975</v>
      </c>
      <c r="P16">
        <v>0</v>
      </c>
      <c r="Q16">
        <v>0</v>
      </c>
      <c r="R16" s="2">
        <f t="shared" si="5"/>
        <v>237310.57474358802</v>
      </c>
      <c r="S16" s="2">
        <f>(S15*(1+$C$5))+N16</f>
        <v>122536.81734454457</v>
      </c>
      <c r="T16" s="2">
        <f t="shared" si="1"/>
        <v>0</v>
      </c>
      <c r="U16" s="2">
        <f t="shared" si="6"/>
        <v>237310.57474358802</v>
      </c>
      <c r="V16">
        <v>0</v>
      </c>
      <c r="W16" s="2"/>
    </row>
    <row r="17" spans="2:30">
      <c r="B17">
        <v>70</v>
      </c>
      <c r="C17" s="2">
        <f>C2*D17</f>
        <v>3499.28</v>
      </c>
      <c r="D17" s="3">
        <v>1.24</v>
      </c>
      <c r="E17" s="1">
        <f t="shared" si="2"/>
        <v>6.8965517241379379E-2</v>
      </c>
      <c r="G17" s="2">
        <f t="shared" si="3"/>
        <v>2406.8330837410908</v>
      </c>
      <c r="H17" s="2">
        <f t="shared" si="9"/>
        <v>3438.332976772987</v>
      </c>
      <c r="I17" s="2">
        <f>C17*(1+$C$4)^(B17-B9)</f>
        <v>4263.5328911985052</v>
      </c>
      <c r="J17" s="2"/>
      <c r="K17" s="2">
        <f t="shared" si="7"/>
        <v>213343.19999999995</v>
      </c>
      <c r="L17" s="2">
        <f t="shared" si="4"/>
        <v>28881.997004893106</v>
      </c>
      <c r="M17" s="2">
        <f t="shared" si="8"/>
        <v>235969.87720061748</v>
      </c>
      <c r="N17" s="2">
        <f t="shared" si="10"/>
        <v>41259.995721275845</v>
      </c>
      <c r="O17" s="2">
        <f t="shared" si="11"/>
        <v>159099.51571918558</v>
      </c>
      <c r="P17" s="2">
        <f>I17*12</f>
        <v>51162.394694382063</v>
      </c>
      <c r="Q17" s="2">
        <f>P17</f>
        <v>51162.394694382063</v>
      </c>
      <c r="R17" s="2">
        <f t="shared" ref="R17:R47" si="12">R16*(1+$C$5)</f>
        <v>246802.99773333155</v>
      </c>
      <c r="S17" s="2">
        <f t="shared" ref="S17:S47" si="13">(S16*(1+$C$5))</f>
        <v>127438.29003832636</v>
      </c>
      <c r="T17" s="2">
        <v>0</v>
      </c>
      <c r="U17" s="2">
        <f>N17+R17</f>
        <v>288062.99345460738</v>
      </c>
      <c r="V17" s="2">
        <f>P17</f>
        <v>51162.394694382063</v>
      </c>
      <c r="W17" s="2"/>
    </row>
    <row r="18" spans="2:30">
      <c r="B18">
        <v>71</v>
      </c>
      <c r="G18" s="2">
        <f t="shared" si="3"/>
        <v>2467.0039108346177</v>
      </c>
      <c r="H18" s="2">
        <f t="shared" si="9"/>
        <v>3524.2913011923115</v>
      </c>
      <c r="I18" s="2">
        <f t="shared" ref="I18:I47" si="14">I17*(1+$C$4)</f>
        <v>4370.1212134784673</v>
      </c>
      <c r="J18" s="2"/>
      <c r="K18" s="2">
        <f t="shared" si="7"/>
        <v>237047.99999999994</v>
      </c>
      <c r="L18" s="2">
        <f t="shared" si="4"/>
        <v>29604.046930015433</v>
      </c>
      <c r="M18" s="2">
        <f t="shared" si="8"/>
        <v>265573.92413063289</v>
      </c>
      <c r="N18" s="2">
        <f t="shared" si="10"/>
        <v>42291.495614307736</v>
      </c>
      <c r="O18" s="2">
        <f t="shared" si="11"/>
        <v>201391.01133349331</v>
      </c>
      <c r="P18" s="2">
        <f>I18*12</f>
        <v>52441.454561741608</v>
      </c>
      <c r="Q18" s="2">
        <f>Q17+$P$18</f>
        <v>103603.84925612368</v>
      </c>
      <c r="R18" s="2">
        <f t="shared" si="12"/>
        <v>256675.11764266482</v>
      </c>
      <c r="S18" s="2">
        <f t="shared" si="13"/>
        <v>132535.82163985941</v>
      </c>
      <c r="T18" s="2">
        <v>0</v>
      </c>
      <c r="U18" s="2">
        <f t="shared" ref="U18:U47" si="15">R18+K18-$K$16</f>
        <v>304084.71764266479</v>
      </c>
      <c r="V18" s="2">
        <f>V17+P18</f>
        <v>103603.84925612368</v>
      </c>
      <c r="W18" s="2"/>
    </row>
    <row r="19" spans="2:30">
      <c r="B19">
        <v>72</v>
      </c>
      <c r="G19" s="2">
        <f t="shared" si="3"/>
        <v>2528.679008605483</v>
      </c>
      <c r="H19" s="2">
        <f t="shared" si="9"/>
        <v>3612.3985837221189</v>
      </c>
      <c r="I19" s="2">
        <f t="shared" si="14"/>
        <v>4479.3742438154286</v>
      </c>
      <c r="J19" s="2"/>
      <c r="K19" s="2">
        <f t="shared" si="7"/>
        <v>260752.79999999993</v>
      </c>
      <c r="L19" s="2">
        <f t="shared" si="4"/>
        <v>30344.148103265819</v>
      </c>
      <c r="M19" s="2">
        <f t="shared" si="8"/>
        <v>295918.07223389868</v>
      </c>
      <c r="N19" s="2">
        <f t="shared" si="10"/>
        <v>43348.783004665427</v>
      </c>
      <c r="O19" s="2">
        <f t="shared" si="11"/>
        <v>244739.79433815874</v>
      </c>
      <c r="P19" s="2">
        <f t="shared" ref="P19:P47" si="16">I19*12</f>
        <v>53752.49092578514</v>
      </c>
      <c r="Q19" s="2">
        <f>Q18+P19</f>
        <v>157356.3401819088</v>
      </c>
      <c r="R19" s="2">
        <f t="shared" si="12"/>
        <v>266942.12234837143</v>
      </c>
      <c r="S19" s="2">
        <f t="shared" si="13"/>
        <v>137837.25450545378</v>
      </c>
      <c r="T19" s="2">
        <v>0</v>
      </c>
      <c r="U19" s="2">
        <f t="shared" si="15"/>
        <v>338056.52234837139</v>
      </c>
      <c r="V19" s="2">
        <f t="shared" ref="V19:V22" si="17">V18+P19</f>
        <v>157356.3401819088</v>
      </c>
      <c r="W19" s="2"/>
      <c r="AD19" t="s">
        <v>180</v>
      </c>
    </row>
    <row r="20" spans="2:30">
      <c r="B20">
        <v>73</v>
      </c>
      <c r="G20" s="2">
        <f t="shared" si="3"/>
        <v>2591.8959838206197</v>
      </c>
      <c r="H20" s="2">
        <f t="shared" si="9"/>
        <v>3702.7085483151714</v>
      </c>
      <c r="I20" s="2">
        <f t="shared" si="14"/>
        <v>4591.3585999108136</v>
      </c>
      <c r="J20" s="2"/>
      <c r="K20" s="2">
        <f t="shared" si="7"/>
        <v>284457.59999999992</v>
      </c>
      <c r="L20" s="2">
        <f t="shared" si="4"/>
        <v>31102.751805847463</v>
      </c>
      <c r="M20" s="2">
        <f t="shared" si="8"/>
        <v>327020.82403974613</v>
      </c>
      <c r="N20" s="2">
        <f t="shared" si="10"/>
        <v>44432.502579782056</v>
      </c>
      <c r="O20" s="2">
        <f t="shared" si="11"/>
        <v>289172.29691794078</v>
      </c>
      <c r="P20" s="2">
        <f t="shared" si="16"/>
        <v>55096.30319892976</v>
      </c>
      <c r="Q20" s="2">
        <f t="shared" ref="Q20:Q47" si="18">Q19+P20</f>
        <v>212452.64338083856</v>
      </c>
      <c r="R20" s="2">
        <f t="shared" si="12"/>
        <v>277619.8072423063</v>
      </c>
      <c r="S20" s="2">
        <f t="shared" si="13"/>
        <v>143350.74468567193</v>
      </c>
      <c r="T20" s="2">
        <v>0</v>
      </c>
      <c r="U20" s="2">
        <f t="shared" si="15"/>
        <v>372439.00724230631</v>
      </c>
      <c r="V20" s="2">
        <f t="shared" si="17"/>
        <v>212452.64338083856</v>
      </c>
      <c r="W20" s="2"/>
      <c r="AD20" t="s">
        <v>116</v>
      </c>
    </row>
    <row r="21" spans="2:30">
      <c r="B21">
        <v>74</v>
      </c>
      <c r="G21" s="2">
        <f t="shared" si="3"/>
        <v>2656.693383416135</v>
      </c>
      <c r="H21" s="2">
        <f t="shared" si="9"/>
        <v>3795.2762620230501</v>
      </c>
      <c r="I21" s="2">
        <f t="shared" si="14"/>
        <v>4706.1425649085832</v>
      </c>
      <c r="J21" s="2"/>
      <c r="K21" s="2">
        <f t="shared" si="7"/>
        <v>308162.39999999991</v>
      </c>
      <c r="L21" s="2">
        <f t="shared" si="4"/>
        <v>31880.320600993651</v>
      </c>
      <c r="M21" s="2">
        <f t="shared" si="8"/>
        <v>358901.14464073977</v>
      </c>
      <c r="N21" s="2">
        <f t="shared" si="10"/>
        <v>45543.315144276603</v>
      </c>
      <c r="O21" s="2">
        <f t="shared" si="11"/>
        <v>334715.61206221738</v>
      </c>
      <c r="P21" s="2">
        <f t="shared" si="16"/>
        <v>56473.710778902998</v>
      </c>
      <c r="Q21" s="2">
        <f t="shared" si="18"/>
        <v>268926.35415974155</v>
      </c>
      <c r="R21" s="2">
        <f t="shared" si="12"/>
        <v>288724.59953199857</v>
      </c>
      <c r="S21" s="2">
        <f t="shared" si="13"/>
        <v>149084.77447309881</v>
      </c>
      <c r="T21" s="2">
        <v>0</v>
      </c>
      <c r="U21" s="2">
        <f t="shared" si="15"/>
        <v>407248.59953199857</v>
      </c>
      <c r="V21" s="2">
        <f t="shared" si="17"/>
        <v>268926.35415974155</v>
      </c>
      <c r="W21" s="2"/>
    </row>
    <row r="22" spans="2:30">
      <c r="B22">
        <v>75</v>
      </c>
      <c r="G22" s="2">
        <f t="shared" si="3"/>
        <v>2723.1107180015383</v>
      </c>
      <c r="H22" s="2">
        <f t="shared" si="9"/>
        <v>3890.158168573626</v>
      </c>
      <c r="I22" s="2">
        <f t="shared" si="14"/>
        <v>4823.7961290312969</v>
      </c>
      <c r="J22" s="2"/>
      <c r="K22" s="2">
        <f t="shared" si="7"/>
        <v>331867.1999999999</v>
      </c>
      <c r="L22" s="2">
        <f t="shared" si="4"/>
        <v>32677.328616018494</v>
      </c>
      <c r="M22" s="2">
        <f t="shared" si="8"/>
        <v>391578.4732567583</v>
      </c>
      <c r="N22" s="2">
        <f t="shared" si="10"/>
        <v>46681.898022883513</v>
      </c>
      <c r="O22" s="2">
        <f t="shared" si="11"/>
        <v>381397.51008510089</v>
      </c>
      <c r="P22" s="2">
        <f t="shared" si="16"/>
        <v>57885.553548375567</v>
      </c>
      <c r="Q22" s="2">
        <f t="shared" si="18"/>
        <v>326811.9077081171</v>
      </c>
      <c r="R22" s="2">
        <f t="shared" si="12"/>
        <v>300273.58351327851</v>
      </c>
      <c r="S22" s="2">
        <f t="shared" si="13"/>
        <v>155048.16545202277</v>
      </c>
      <c r="T22" s="2">
        <v>0</v>
      </c>
      <c r="U22" s="2">
        <f t="shared" si="15"/>
        <v>442502.3835132785</v>
      </c>
      <c r="V22" s="2">
        <f t="shared" si="17"/>
        <v>326811.9077081171</v>
      </c>
      <c r="W22" s="2"/>
    </row>
    <row r="23" spans="2:30">
      <c r="B23">
        <v>76</v>
      </c>
      <c r="G23" s="2">
        <f t="shared" si="3"/>
        <v>2791.1884859515767</v>
      </c>
      <c r="H23" s="2">
        <f t="shared" si="9"/>
        <v>3987.4121227879664</v>
      </c>
      <c r="I23" s="2">
        <f t="shared" si="14"/>
        <v>4944.3910322570791</v>
      </c>
      <c r="J23" s="2"/>
      <c r="K23" s="2">
        <f t="shared" si="7"/>
        <v>355571.99999999988</v>
      </c>
      <c r="L23" s="2">
        <f t="shared" si="4"/>
        <v>33494.26183141896</v>
      </c>
      <c r="M23" s="2">
        <f t="shared" si="8"/>
        <v>425072.73508817726</v>
      </c>
      <c r="N23" s="2">
        <f t="shared" si="10"/>
        <v>47848.945473455598</v>
      </c>
      <c r="O23" s="2">
        <f t="shared" si="11"/>
        <v>429246.45555855648</v>
      </c>
      <c r="P23" s="2">
        <f t="shared" si="16"/>
        <v>59332.69238708495</v>
      </c>
      <c r="Q23" s="2">
        <f t="shared" si="18"/>
        <v>386144.60009520204</v>
      </c>
      <c r="R23" s="2">
        <f t="shared" si="12"/>
        <v>312284.52685380966</v>
      </c>
      <c r="S23" s="2">
        <f t="shared" si="13"/>
        <v>161250.09207010368</v>
      </c>
      <c r="T23" s="2">
        <v>0</v>
      </c>
      <c r="U23" s="2">
        <f t="shared" si="15"/>
        <v>478218.12685380963</v>
      </c>
      <c r="V23" s="2">
        <f>V22+P23</f>
        <v>386144.60009520204</v>
      </c>
      <c r="W23" s="2"/>
    </row>
    <row r="24" spans="2:30">
      <c r="B24">
        <v>77</v>
      </c>
      <c r="G24" s="2">
        <f t="shared" si="3"/>
        <v>2860.968198100366</v>
      </c>
      <c r="H24" s="2">
        <f t="shared" si="9"/>
        <v>4087.0974258576653</v>
      </c>
      <c r="I24" s="2">
        <f t="shared" si="14"/>
        <v>5068.0008080635052</v>
      </c>
      <c r="J24" s="2"/>
      <c r="K24" s="2">
        <f t="shared" si="7"/>
        <v>379276.79999999987</v>
      </c>
      <c r="L24" s="2">
        <f t="shared" si="4"/>
        <v>34331.618377204431</v>
      </c>
      <c r="M24" s="2">
        <f t="shared" si="8"/>
        <v>459404.35346538166</v>
      </c>
      <c r="N24" s="2">
        <f t="shared" si="10"/>
        <v>49045.169110291987</v>
      </c>
      <c r="O24" s="2">
        <f t="shared" si="11"/>
        <v>478291.62466884847</v>
      </c>
      <c r="P24" s="2">
        <f t="shared" si="16"/>
        <v>60816.009696762063</v>
      </c>
      <c r="Q24" s="2">
        <f t="shared" si="18"/>
        <v>446960.60979196412</v>
      </c>
      <c r="R24" s="2">
        <f t="shared" si="12"/>
        <v>324775.90792796208</v>
      </c>
      <c r="S24" s="2">
        <f t="shared" si="13"/>
        <v>167700.09575290783</v>
      </c>
      <c r="T24" s="2">
        <v>0</v>
      </c>
      <c r="U24" s="2">
        <f t="shared" si="15"/>
        <v>514414.30792796199</v>
      </c>
      <c r="V24" s="2">
        <f t="shared" ref="V24:V47" si="19">V23+P24</f>
        <v>446960.60979196412</v>
      </c>
      <c r="W24" s="2"/>
    </row>
    <row r="25" spans="2:30">
      <c r="B25">
        <v>78</v>
      </c>
      <c r="G25" s="2">
        <f t="shared" si="3"/>
        <v>2932.492403052875</v>
      </c>
      <c r="H25" s="2">
        <f t="shared" si="9"/>
        <v>4189.2748615041064</v>
      </c>
      <c r="I25" s="2">
        <f t="shared" si="14"/>
        <v>5194.7008282650922</v>
      </c>
      <c r="J25" s="2"/>
      <c r="K25" s="2">
        <f t="shared" si="7"/>
        <v>402981.59999999986</v>
      </c>
      <c r="L25" s="2">
        <f t="shared" si="4"/>
        <v>35189.908836634539</v>
      </c>
      <c r="M25" s="2">
        <f t="shared" si="8"/>
        <v>494594.2623020162</v>
      </c>
      <c r="N25" s="2">
        <f t="shared" si="10"/>
        <v>50271.298338049281</v>
      </c>
      <c r="O25" s="2">
        <f t="shared" si="11"/>
        <v>528562.92300689779</v>
      </c>
      <c r="P25" s="2">
        <f t="shared" si="16"/>
        <v>62336.409939181103</v>
      </c>
      <c r="Q25" s="2">
        <f t="shared" si="18"/>
        <v>509297.01973114524</v>
      </c>
      <c r="R25" s="2">
        <f t="shared" si="12"/>
        <v>337766.94424508058</v>
      </c>
      <c r="S25" s="2">
        <f t="shared" si="13"/>
        <v>174408.09958302416</v>
      </c>
      <c r="T25" s="2">
        <v>0</v>
      </c>
      <c r="U25" s="2">
        <f t="shared" si="15"/>
        <v>551110.14424508042</v>
      </c>
      <c r="V25" s="2">
        <f t="shared" si="19"/>
        <v>509297.01973114524</v>
      </c>
      <c r="W25" s="2"/>
    </row>
    <row r="26" spans="2:30">
      <c r="B26">
        <v>79</v>
      </c>
      <c r="G26" s="2">
        <f t="shared" si="3"/>
        <v>3005.8047131291964</v>
      </c>
      <c r="H26" s="2">
        <f t="shared" si="9"/>
        <v>4294.0067330417087</v>
      </c>
      <c r="I26" s="2">
        <f t="shared" si="14"/>
        <v>5324.5683489717194</v>
      </c>
      <c r="J26" s="2"/>
      <c r="K26" s="2">
        <f t="shared" si="7"/>
        <v>426686.39999999985</v>
      </c>
      <c r="L26" s="2">
        <f t="shared" si="4"/>
        <v>36069.656557550399</v>
      </c>
      <c r="M26" s="2">
        <f t="shared" si="8"/>
        <v>530663.91885956656</v>
      </c>
      <c r="N26" s="2">
        <f t="shared" si="10"/>
        <v>51528.080796500508</v>
      </c>
      <c r="O26" s="2">
        <f t="shared" si="11"/>
        <v>580091.00380339834</v>
      </c>
      <c r="P26" s="2">
        <f t="shared" si="16"/>
        <v>63894.820187660633</v>
      </c>
      <c r="Q26" s="2">
        <f t="shared" si="18"/>
        <v>573191.83991880587</v>
      </c>
      <c r="R26" s="2">
        <f t="shared" si="12"/>
        <v>351277.62201488379</v>
      </c>
      <c r="S26" s="2">
        <f t="shared" si="13"/>
        <v>181384.42356634513</v>
      </c>
      <c r="T26" s="2">
        <v>0</v>
      </c>
      <c r="U26" s="2">
        <f t="shared" si="15"/>
        <v>588325.62201488367</v>
      </c>
      <c r="V26" s="2">
        <f t="shared" si="19"/>
        <v>573191.83991880587</v>
      </c>
      <c r="W26" s="2"/>
    </row>
    <row r="27" spans="2:30">
      <c r="B27">
        <v>80</v>
      </c>
      <c r="G27" s="2">
        <f t="shared" si="3"/>
        <v>3080.949830957426</v>
      </c>
      <c r="H27" s="2">
        <f t="shared" si="9"/>
        <v>4401.3569013677507</v>
      </c>
      <c r="I27" s="2">
        <f t="shared" si="14"/>
        <v>5457.6825576960118</v>
      </c>
      <c r="J27" s="2"/>
      <c r="K27" s="2">
        <f t="shared" si="7"/>
        <v>450391.19999999984</v>
      </c>
      <c r="L27" s="2">
        <f t="shared" si="4"/>
        <v>36971.397971489161</v>
      </c>
      <c r="M27" s="2">
        <f t="shared" si="8"/>
        <v>567635.31683105568</v>
      </c>
      <c r="N27" s="2">
        <f t="shared" si="10"/>
        <v>52816.282816413004</v>
      </c>
      <c r="O27" s="2">
        <f t="shared" si="11"/>
        <v>632907.28661981132</v>
      </c>
      <c r="P27" s="2">
        <f t="shared" si="16"/>
        <v>65492.190692352146</v>
      </c>
      <c r="Q27" s="2">
        <f t="shared" si="18"/>
        <v>638684.030611158</v>
      </c>
      <c r="R27" s="2">
        <f t="shared" si="12"/>
        <v>365328.72689547914</v>
      </c>
      <c r="S27" s="2">
        <f t="shared" si="13"/>
        <v>188639.80050899895</v>
      </c>
      <c r="T27" s="2">
        <v>0</v>
      </c>
      <c r="U27" s="2">
        <f t="shared" si="15"/>
        <v>626081.52689547907</v>
      </c>
      <c r="V27" s="2">
        <f t="shared" si="19"/>
        <v>638684.030611158</v>
      </c>
      <c r="W27" s="2"/>
    </row>
    <row r="28" spans="2:30">
      <c r="B28">
        <v>81</v>
      </c>
      <c r="G28" s="2">
        <f t="shared" si="3"/>
        <v>3157.9735767313614</v>
      </c>
      <c r="H28" s="2">
        <f t="shared" si="9"/>
        <v>4511.3908239019438</v>
      </c>
      <c r="I28" s="2">
        <f t="shared" si="14"/>
        <v>5594.1246216384116</v>
      </c>
      <c r="J28" s="2"/>
      <c r="K28" s="2">
        <f t="shared" si="7"/>
        <v>474095.99999999983</v>
      </c>
      <c r="L28" s="2">
        <f t="shared" si="4"/>
        <v>37895.682920776388</v>
      </c>
      <c r="M28" s="2">
        <f t="shared" si="8"/>
        <v>605530.9997518321</v>
      </c>
      <c r="N28" s="2">
        <f t="shared" si="10"/>
        <v>54136.689886823326</v>
      </c>
      <c r="O28" s="2">
        <f t="shared" si="11"/>
        <v>687043.97650663462</v>
      </c>
      <c r="P28" s="2">
        <f t="shared" si="16"/>
        <v>67129.495459660946</v>
      </c>
      <c r="Q28" s="2">
        <f t="shared" si="18"/>
        <v>705813.526070819</v>
      </c>
      <c r="R28" s="2">
        <f t="shared" si="12"/>
        <v>379941.87597129832</v>
      </c>
      <c r="S28" s="2">
        <f t="shared" si="13"/>
        <v>196185.39252935891</v>
      </c>
      <c r="T28" s="2">
        <v>0</v>
      </c>
      <c r="U28" s="2">
        <f t="shared" si="15"/>
        <v>664399.47597129829</v>
      </c>
      <c r="V28" s="2">
        <f t="shared" si="19"/>
        <v>705813.526070819</v>
      </c>
      <c r="W28" s="2"/>
    </row>
    <row r="29" spans="2:30">
      <c r="B29">
        <v>82</v>
      </c>
      <c r="G29" s="2">
        <f t="shared" si="3"/>
        <v>3236.9229161496451</v>
      </c>
      <c r="H29" s="2">
        <f t="shared" si="9"/>
        <v>4624.175594499492</v>
      </c>
      <c r="I29" s="2">
        <f t="shared" si="14"/>
        <v>5733.9777371793716</v>
      </c>
      <c r="J29" s="2"/>
      <c r="K29" s="2">
        <f t="shared" si="7"/>
        <v>497800.79999999981</v>
      </c>
      <c r="L29" s="2">
        <f t="shared" si="4"/>
        <v>38843.074993795795</v>
      </c>
      <c r="M29" s="2">
        <f t="shared" si="8"/>
        <v>644374.07474562794</v>
      </c>
      <c r="N29" s="2">
        <f t="shared" si="10"/>
        <v>55490.107133993908</v>
      </c>
      <c r="O29" s="2">
        <f t="shared" si="11"/>
        <v>742534.08364062849</v>
      </c>
      <c r="P29" s="2">
        <f t="shared" si="16"/>
        <v>68807.732846152459</v>
      </c>
      <c r="Q29" s="2">
        <f t="shared" si="18"/>
        <v>774621.25891697151</v>
      </c>
      <c r="R29" s="2">
        <f t="shared" si="12"/>
        <v>395139.55101015029</v>
      </c>
      <c r="S29" s="2">
        <f t="shared" si="13"/>
        <v>204032.80823053326</v>
      </c>
      <c r="T29" s="2">
        <v>0</v>
      </c>
      <c r="U29" s="2">
        <f t="shared" si="15"/>
        <v>703301.95101015014</v>
      </c>
      <c r="V29" s="2">
        <f t="shared" si="19"/>
        <v>774621.25891697151</v>
      </c>
      <c r="W29" s="2"/>
    </row>
    <row r="30" spans="2:30">
      <c r="B30">
        <v>83</v>
      </c>
      <c r="G30" s="2">
        <f t="shared" si="3"/>
        <v>3317.8459890533859</v>
      </c>
      <c r="H30" s="2">
        <f t="shared" si="9"/>
        <v>4739.7799843619787</v>
      </c>
      <c r="I30" s="2">
        <f t="shared" si="14"/>
        <v>5877.3271806088551</v>
      </c>
      <c r="J30" s="2"/>
      <c r="K30" s="2">
        <f t="shared" si="7"/>
        <v>521505.5999999998</v>
      </c>
      <c r="L30" s="2">
        <f t="shared" si="4"/>
        <v>39814.151868640693</v>
      </c>
      <c r="M30" s="2">
        <f t="shared" si="8"/>
        <v>684188.22661426861</v>
      </c>
      <c r="N30" s="2">
        <f t="shared" si="10"/>
        <v>56877.35981234374</v>
      </c>
      <c r="O30" s="2">
        <f t="shared" si="11"/>
        <v>799411.44345297222</v>
      </c>
      <c r="P30" s="2">
        <f t="shared" si="16"/>
        <v>70527.926167306257</v>
      </c>
      <c r="Q30" s="2">
        <f t="shared" si="18"/>
        <v>845149.18508427776</v>
      </c>
      <c r="R30" s="2">
        <f t="shared" si="12"/>
        <v>410945.13305055629</v>
      </c>
      <c r="S30" s="2">
        <f t="shared" si="13"/>
        <v>212194.12055975461</v>
      </c>
      <c r="T30" s="2">
        <v>0</v>
      </c>
      <c r="U30" s="2">
        <f t="shared" si="15"/>
        <v>742812.33305055625</v>
      </c>
      <c r="V30" s="2">
        <f t="shared" si="19"/>
        <v>845149.18508427776</v>
      </c>
      <c r="W30" s="2"/>
    </row>
    <row r="31" spans="2:30">
      <c r="B31">
        <v>84</v>
      </c>
      <c r="G31" s="2">
        <f t="shared" si="3"/>
        <v>3400.7921387797201</v>
      </c>
      <c r="H31" s="2">
        <f t="shared" si="9"/>
        <v>4858.2744839710276</v>
      </c>
      <c r="I31" s="2">
        <f t="shared" si="14"/>
        <v>6024.2603601240762</v>
      </c>
      <c r="J31" s="2"/>
      <c r="K31" s="2">
        <f t="shared" si="7"/>
        <v>545210.39999999979</v>
      </c>
      <c r="L31" s="2">
        <f t="shared" si="4"/>
        <v>40809.505665356708</v>
      </c>
      <c r="M31" s="2">
        <f t="shared" si="8"/>
        <v>724997.73227962537</v>
      </c>
      <c r="N31" s="2">
        <f t="shared" si="10"/>
        <v>58299.293807652328</v>
      </c>
      <c r="O31" s="2">
        <f t="shared" si="11"/>
        <v>857710.73726062453</v>
      </c>
      <c r="P31" s="2">
        <f t="shared" si="16"/>
        <v>72291.124321488911</v>
      </c>
      <c r="Q31" s="2">
        <f t="shared" si="18"/>
        <v>917440.30940576666</v>
      </c>
      <c r="R31" s="2">
        <f t="shared" si="12"/>
        <v>427382.93837257859</v>
      </c>
      <c r="S31" s="2">
        <f t="shared" si="13"/>
        <v>220681.8853821448</v>
      </c>
      <c r="T31" s="2">
        <v>0</v>
      </c>
      <c r="U31" s="2">
        <f t="shared" si="15"/>
        <v>782954.93837257847</v>
      </c>
      <c r="V31" s="2">
        <f t="shared" si="19"/>
        <v>917440.30940576666</v>
      </c>
      <c r="W31" s="2"/>
    </row>
    <row r="32" spans="2:30">
      <c r="B32">
        <v>85</v>
      </c>
      <c r="G32" s="2">
        <f t="shared" si="3"/>
        <v>3485.8119422492127</v>
      </c>
      <c r="H32" s="2">
        <f t="shared" si="9"/>
        <v>4979.7313460703026</v>
      </c>
      <c r="I32" s="2">
        <f t="shared" si="14"/>
        <v>6174.8668691271778</v>
      </c>
      <c r="J32" s="2"/>
      <c r="K32" s="2">
        <f t="shared" si="7"/>
        <v>568915.19999999984</v>
      </c>
      <c r="L32" s="2">
        <f t="shared" si="4"/>
        <v>41829.743306990626</v>
      </c>
      <c r="M32" s="2">
        <f t="shared" si="8"/>
        <v>766827.47558661597</v>
      </c>
      <c r="N32" s="2">
        <f t="shared" si="10"/>
        <v>59756.776152843631</v>
      </c>
      <c r="O32" s="2">
        <f t="shared" si="11"/>
        <v>917467.51341346814</v>
      </c>
      <c r="P32" s="2">
        <f t="shared" si="16"/>
        <v>74098.402429526133</v>
      </c>
      <c r="Q32" s="2">
        <f t="shared" si="18"/>
        <v>991538.71183529275</v>
      </c>
      <c r="R32" s="2">
        <f t="shared" si="12"/>
        <v>444478.25590748177</v>
      </c>
      <c r="S32" s="2">
        <f t="shared" si="13"/>
        <v>229509.16079743061</v>
      </c>
      <c r="T32" s="2">
        <v>0</v>
      </c>
      <c r="U32" s="2">
        <f t="shared" si="15"/>
        <v>823755.05590748158</v>
      </c>
      <c r="V32" s="2">
        <f t="shared" si="19"/>
        <v>991538.71183529275</v>
      </c>
      <c r="W32" s="2"/>
    </row>
    <row r="33" spans="2:23">
      <c r="B33">
        <v>86</v>
      </c>
      <c r="G33" s="2">
        <f t="shared" si="3"/>
        <v>3572.9572408054428</v>
      </c>
      <c r="H33" s="2">
        <f t="shared" si="9"/>
        <v>5104.2246297220599</v>
      </c>
      <c r="I33" s="2">
        <f t="shared" si="14"/>
        <v>6329.2385408553564</v>
      </c>
      <c r="J33" s="2"/>
      <c r="K33" s="2">
        <f t="shared" si="7"/>
        <v>592619.99999999988</v>
      </c>
      <c r="L33" s="2">
        <f t="shared" si="4"/>
        <v>42875.486889665393</v>
      </c>
      <c r="M33" s="2">
        <f t="shared" si="8"/>
        <v>809702.96247628133</v>
      </c>
      <c r="N33" s="2">
        <f t="shared" si="10"/>
        <v>61250.695556664723</v>
      </c>
      <c r="O33" s="2">
        <f t="shared" si="11"/>
        <v>978718.20897013287</v>
      </c>
      <c r="P33" s="2">
        <f t="shared" si="16"/>
        <v>75950.862490264277</v>
      </c>
      <c r="Q33" s="2">
        <f>Q32+P33</f>
        <v>1067489.5743255571</v>
      </c>
      <c r="R33" s="2">
        <f t="shared" si="12"/>
        <v>462257.38614378107</v>
      </c>
      <c r="S33" s="2">
        <f t="shared" si="13"/>
        <v>238689.52722932785</v>
      </c>
      <c r="T33" s="2">
        <v>0</v>
      </c>
      <c r="U33" s="2">
        <f t="shared" si="15"/>
        <v>865238.98614378111</v>
      </c>
      <c r="V33" s="2">
        <f t="shared" si="19"/>
        <v>1067489.5743255571</v>
      </c>
      <c r="W33" s="2"/>
    </row>
    <row r="34" spans="2:23">
      <c r="B34">
        <v>87</v>
      </c>
      <c r="G34" s="2">
        <f t="shared" si="3"/>
        <v>3662.2811718255784</v>
      </c>
      <c r="H34" s="2">
        <f t="shared" si="9"/>
        <v>5231.8302454651111</v>
      </c>
      <c r="I34" s="2">
        <f t="shared" si="14"/>
        <v>6487.4695043767397</v>
      </c>
      <c r="J34" s="2"/>
      <c r="K34" s="2">
        <f t="shared" si="7"/>
        <v>616324.79999999993</v>
      </c>
      <c r="L34" s="2">
        <f t="shared" si="4"/>
        <v>43947.37406190703</v>
      </c>
      <c r="M34" s="2">
        <f t="shared" si="8"/>
        <v>853650.33653818839</v>
      </c>
      <c r="N34" s="2">
        <f t="shared" si="10"/>
        <v>62781.962945581334</v>
      </c>
      <c r="O34" s="2">
        <f t="shared" si="11"/>
        <v>1041500.1719157142</v>
      </c>
      <c r="P34" s="2">
        <f t="shared" si="16"/>
        <v>77849.63405252088</v>
      </c>
      <c r="Q34" s="2">
        <f t="shared" si="18"/>
        <v>1145339.208378078</v>
      </c>
      <c r="R34" s="2">
        <f t="shared" si="12"/>
        <v>480747.68158953235</v>
      </c>
      <c r="S34" s="2">
        <f t="shared" si="13"/>
        <v>248237.10831850098</v>
      </c>
      <c r="T34" s="2">
        <v>0</v>
      </c>
      <c r="U34" s="2">
        <f t="shared" si="15"/>
        <v>907434.08158953232</v>
      </c>
      <c r="V34" s="2">
        <f t="shared" si="19"/>
        <v>1145339.208378078</v>
      </c>
      <c r="W34" s="2"/>
    </row>
    <row r="35" spans="2:23">
      <c r="B35">
        <v>88</v>
      </c>
      <c r="G35" s="2">
        <f t="shared" si="3"/>
        <v>3753.8382011212175</v>
      </c>
      <c r="H35" s="2">
        <f t="shared" si="9"/>
        <v>5362.6260016017386</v>
      </c>
      <c r="I35" s="2">
        <f t="shared" si="14"/>
        <v>6649.6562419861575</v>
      </c>
      <c r="K35" s="2">
        <f t="shared" si="7"/>
        <v>640029.6</v>
      </c>
      <c r="L35" s="2">
        <f t="shared" si="4"/>
        <v>45046.05841345471</v>
      </c>
      <c r="M35" s="2">
        <f t="shared" si="8"/>
        <v>898696.39495164307</v>
      </c>
      <c r="N35" s="2">
        <f t="shared" si="10"/>
        <v>64351.512019220863</v>
      </c>
      <c r="O35" s="2">
        <f t="shared" si="11"/>
        <v>1105851.6839349351</v>
      </c>
      <c r="P35" s="2">
        <f t="shared" si="16"/>
        <v>79795.874903833886</v>
      </c>
      <c r="Q35" s="2">
        <f t="shared" si="18"/>
        <v>1225135.0832819119</v>
      </c>
      <c r="R35" s="2">
        <f t="shared" si="12"/>
        <v>499977.58885311364</v>
      </c>
      <c r="S35" s="2">
        <f t="shared" si="13"/>
        <v>258166.59265124102</v>
      </c>
      <c r="T35" s="2">
        <v>0</v>
      </c>
      <c r="U35" s="2">
        <f t="shared" si="15"/>
        <v>950368.78885311377</v>
      </c>
      <c r="V35" s="2">
        <f t="shared" si="19"/>
        <v>1225135.0832819119</v>
      </c>
      <c r="W35" s="2"/>
    </row>
    <row r="36" spans="2:23">
      <c r="B36">
        <v>89</v>
      </c>
      <c r="G36" s="2">
        <f t="shared" si="3"/>
        <v>3847.6841561492474</v>
      </c>
      <c r="H36" s="2">
        <f t="shared" si="9"/>
        <v>5496.6916516417814</v>
      </c>
      <c r="I36" s="2">
        <f t="shared" si="14"/>
        <v>6815.8976480358106</v>
      </c>
      <c r="K36" s="2">
        <f t="shared" si="7"/>
        <v>663734.4</v>
      </c>
      <c r="L36" s="2">
        <f t="shared" si="4"/>
        <v>46172.209873791078</v>
      </c>
      <c r="M36" s="2">
        <f t="shared" si="8"/>
        <v>944868.60482543416</v>
      </c>
      <c r="N36" s="2">
        <f t="shared" si="10"/>
        <v>65960.29981970138</v>
      </c>
      <c r="O36" s="2">
        <f t="shared" si="11"/>
        <v>1171811.9837546365</v>
      </c>
      <c r="P36" s="2">
        <f t="shared" si="16"/>
        <v>81790.771776429727</v>
      </c>
      <c r="Q36" s="2">
        <f t="shared" si="18"/>
        <v>1306925.8550583418</v>
      </c>
      <c r="R36" s="2">
        <f t="shared" si="12"/>
        <v>519976.69240723818</v>
      </c>
      <c r="S36" s="2">
        <f t="shared" si="13"/>
        <v>268493.25635729067</v>
      </c>
      <c r="T36" s="2">
        <v>0</v>
      </c>
      <c r="U36" s="2">
        <f t="shared" si="15"/>
        <v>994072.6924072383</v>
      </c>
      <c r="V36" s="2">
        <f t="shared" si="19"/>
        <v>1306925.8550583418</v>
      </c>
      <c r="W36" s="2"/>
    </row>
    <row r="37" spans="2:23">
      <c r="B37">
        <v>90</v>
      </c>
      <c r="G37" s="2">
        <f t="shared" si="3"/>
        <v>3943.8762600529781</v>
      </c>
      <c r="H37" s="2">
        <f t="shared" si="9"/>
        <v>5634.1089429328258</v>
      </c>
      <c r="I37" s="2">
        <f t="shared" si="14"/>
        <v>6986.2950892367053</v>
      </c>
      <c r="K37" s="2">
        <f t="shared" si="7"/>
        <v>687439.20000000007</v>
      </c>
      <c r="L37" s="2">
        <f t="shared" si="4"/>
        <v>47326.515120635857</v>
      </c>
      <c r="M37" s="2">
        <f t="shared" si="8"/>
        <v>992195.11994607002</v>
      </c>
      <c r="N37" s="2">
        <f t="shared" si="10"/>
        <v>67609.307315193902</v>
      </c>
      <c r="O37" s="2">
        <f t="shared" si="11"/>
        <v>1239421.2910698303</v>
      </c>
      <c r="P37" s="2">
        <f t="shared" si="16"/>
        <v>83835.541070840467</v>
      </c>
      <c r="Q37" s="2">
        <f t="shared" si="18"/>
        <v>1390761.3961291823</v>
      </c>
      <c r="R37" s="2">
        <f t="shared" si="12"/>
        <v>540775.76010352769</v>
      </c>
      <c r="S37" s="2">
        <f t="shared" si="13"/>
        <v>279232.98661158228</v>
      </c>
      <c r="T37" s="2">
        <v>0</v>
      </c>
      <c r="U37" s="2">
        <f t="shared" si="15"/>
        <v>1038576.5601035277</v>
      </c>
      <c r="V37" s="2">
        <f t="shared" si="19"/>
        <v>1390761.3961291823</v>
      </c>
      <c r="W37" s="2"/>
    </row>
    <row r="38" spans="2:23">
      <c r="B38">
        <v>91</v>
      </c>
      <c r="G38" s="2">
        <f t="shared" si="3"/>
        <v>4042.4731665543022</v>
      </c>
      <c r="H38" s="2">
        <f t="shared" si="9"/>
        <v>5774.9616665061458</v>
      </c>
      <c r="I38" s="2">
        <f t="shared" si="14"/>
        <v>7160.9524664676219</v>
      </c>
      <c r="K38" s="2">
        <f t="shared" si="7"/>
        <v>711144.00000000012</v>
      </c>
      <c r="L38" s="2">
        <f t="shared" si="4"/>
        <v>48509.67799865175</v>
      </c>
      <c r="M38" s="2">
        <f t="shared" si="8"/>
        <v>1040704.7979447218</v>
      </c>
      <c r="N38" s="2">
        <f t="shared" si="10"/>
        <v>69299.539998073742</v>
      </c>
      <c r="O38" s="2">
        <f t="shared" si="11"/>
        <v>1308720.8310679041</v>
      </c>
      <c r="P38" s="2">
        <f t="shared" si="16"/>
        <v>85931.429597611466</v>
      </c>
      <c r="Q38" s="2">
        <f t="shared" si="18"/>
        <v>1476692.8257267938</v>
      </c>
      <c r="R38" s="2">
        <f t="shared" si="12"/>
        <v>562406.79050766886</v>
      </c>
      <c r="S38" s="2">
        <f t="shared" si="13"/>
        <v>290402.30607604556</v>
      </c>
      <c r="T38" s="2">
        <v>0</v>
      </c>
      <c r="U38" s="2">
        <f t="shared" si="15"/>
        <v>1083912.3905076692</v>
      </c>
      <c r="V38" s="2">
        <f t="shared" si="19"/>
        <v>1476692.8257267938</v>
      </c>
      <c r="W38" s="2"/>
    </row>
    <row r="39" spans="2:23">
      <c r="B39">
        <v>92</v>
      </c>
      <c r="G39" s="2">
        <f t="shared" si="3"/>
        <v>4143.5349957181597</v>
      </c>
      <c r="H39" s="2">
        <f t="shared" si="9"/>
        <v>5919.3357081687991</v>
      </c>
      <c r="I39" s="2">
        <f t="shared" si="14"/>
        <v>7339.976278129312</v>
      </c>
      <c r="K39" s="2">
        <f t="shared" si="7"/>
        <v>734848.80000000016</v>
      </c>
      <c r="L39" s="2">
        <f t="shared" si="4"/>
        <v>49722.419948618044</v>
      </c>
      <c r="M39" s="2">
        <f t="shared" si="8"/>
        <v>1090427.2178933397</v>
      </c>
      <c r="N39" s="2">
        <f t="shared" si="10"/>
        <v>71032.028498025582</v>
      </c>
      <c r="O39" s="2">
        <f t="shared" si="11"/>
        <v>1379752.8595659297</v>
      </c>
      <c r="P39" s="2">
        <f t="shared" si="16"/>
        <v>88079.715337551752</v>
      </c>
      <c r="Q39" s="2">
        <f t="shared" si="18"/>
        <v>1564772.5410643455</v>
      </c>
      <c r="R39" s="2">
        <f t="shared" si="12"/>
        <v>584903.06212797563</v>
      </c>
      <c r="S39" s="2">
        <f t="shared" si="13"/>
        <v>302018.3983190874</v>
      </c>
      <c r="T39" s="2">
        <v>0</v>
      </c>
      <c r="U39" s="2">
        <f t="shared" si="15"/>
        <v>1130113.4621279759</v>
      </c>
      <c r="V39" s="2">
        <f t="shared" si="19"/>
        <v>1564772.5410643455</v>
      </c>
      <c r="W39" s="2"/>
    </row>
    <row r="40" spans="2:23">
      <c r="B40">
        <v>93</v>
      </c>
      <c r="G40" s="2">
        <f t="shared" si="3"/>
        <v>4247.1233706111134</v>
      </c>
      <c r="H40" s="2">
        <f t="shared" si="9"/>
        <v>6067.3191008730182</v>
      </c>
      <c r="I40" s="2">
        <f t="shared" si="14"/>
        <v>7523.4756850825443</v>
      </c>
      <c r="K40" s="2">
        <f t="shared" si="7"/>
        <v>758553.60000000021</v>
      </c>
      <c r="L40" s="2">
        <f t="shared" si="4"/>
        <v>50965.480447333495</v>
      </c>
      <c r="M40" s="2">
        <f t="shared" si="8"/>
        <v>1141392.6983406732</v>
      </c>
      <c r="N40" s="2">
        <f t="shared" si="10"/>
        <v>72807.829210476222</v>
      </c>
      <c r="O40" s="2">
        <f t="shared" si="11"/>
        <v>1452560.688776406</v>
      </c>
      <c r="P40" s="2">
        <f t="shared" si="16"/>
        <v>90281.708220990535</v>
      </c>
      <c r="Q40" s="2">
        <f t="shared" si="18"/>
        <v>1655054.2492853361</v>
      </c>
      <c r="R40" s="2">
        <f t="shared" si="12"/>
        <v>608299.18461309467</v>
      </c>
      <c r="S40" s="2">
        <f t="shared" si="13"/>
        <v>314099.13425185089</v>
      </c>
      <c r="T40" s="2">
        <v>0</v>
      </c>
      <c r="U40" s="2">
        <f t="shared" si="15"/>
        <v>1177214.3846130949</v>
      </c>
      <c r="V40" s="2">
        <f t="shared" si="19"/>
        <v>1655054.2492853361</v>
      </c>
      <c r="W40" s="2"/>
    </row>
    <row r="41" spans="2:23">
      <c r="B41">
        <v>94</v>
      </c>
      <c r="G41" s="2">
        <f t="shared" si="3"/>
        <v>4353.3014548763913</v>
      </c>
      <c r="H41" s="2">
        <f t="shared" si="9"/>
        <v>6219.002078394843</v>
      </c>
      <c r="I41" s="2">
        <f t="shared" si="14"/>
        <v>7711.5625772096073</v>
      </c>
      <c r="K41" s="2">
        <f t="shared" si="7"/>
        <v>782258.40000000026</v>
      </c>
      <c r="L41" s="2">
        <f t="shared" si="4"/>
        <v>52239.617458516834</v>
      </c>
      <c r="M41" s="2">
        <f t="shared" si="8"/>
        <v>1193632.31579919</v>
      </c>
      <c r="N41" s="2">
        <f t="shared" si="10"/>
        <v>74628.02494073812</v>
      </c>
      <c r="O41" s="2">
        <f t="shared" si="11"/>
        <v>1527188.7137171442</v>
      </c>
      <c r="P41" s="2">
        <f t="shared" si="16"/>
        <v>92538.750926515291</v>
      </c>
      <c r="Q41" s="2">
        <f t="shared" si="18"/>
        <v>1747593.0002118514</v>
      </c>
      <c r="R41" s="2">
        <f t="shared" si="12"/>
        <v>632631.15199761849</v>
      </c>
      <c r="S41" s="2">
        <f t="shared" si="13"/>
        <v>326663.09962192492</v>
      </c>
      <c r="T41" s="2">
        <v>0</v>
      </c>
      <c r="U41" s="2">
        <f t="shared" si="15"/>
        <v>1225251.1519976188</v>
      </c>
      <c r="V41" s="2">
        <f t="shared" si="19"/>
        <v>1747593.0002118514</v>
      </c>
      <c r="W41" s="2"/>
    </row>
    <row r="42" spans="2:23">
      <c r="B42">
        <v>95</v>
      </c>
      <c r="G42" s="2">
        <f t="shared" si="3"/>
        <v>4462.1339912483008</v>
      </c>
      <c r="H42" s="2">
        <f t="shared" si="9"/>
        <v>6374.4771303547132</v>
      </c>
      <c r="I42" s="2">
        <f t="shared" si="14"/>
        <v>7904.351641639847</v>
      </c>
      <c r="K42" s="2">
        <f t="shared" si="7"/>
        <v>805963.2000000003</v>
      </c>
      <c r="L42" s="2">
        <f t="shared" si="4"/>
        <v>53545.607894979752</v>
      </c>
      <c r="M42" s="2">
        <f t="shared" si="8"/>
        <v>1247177.9236941696</v>
      </c>
      <c r="N42" s="2">
        <f t="shared" si="10"/>
        <v>76493.725564256558</v>
      </c>
      <c r="O42" s="2">
        <f t="shared" si="11"/>
        <v>1603682.4392814008</v>
      </c>
      <c r="P42" s="2">
        <f t="shared" si="16"/>
        <v>94852.219699678157</v>
      </c>
      <c r="Q42" s="2">
        <f t="shared" si="18"/>
        <v>1842445.2199115297</v>
      </c>
      <c r="R42" s="2">
        <f t="shared" si="12"/>
        <v>657936.39807752322</v>
      </c>
      <c r="S42" s="2">
        <f t="shared" si="13"/>
        <v>339729.62360680191</v>
      </c>
      <c r="T42" s="2">
        <v>0</v>
      </c>
      <c r="U42" s="2">
        <f t="shared" si="15"/>
        <v>1274261.1980775236</v>
      </c>
      <c r="V42" s="2">
        <f t="shared" si="19"/>
        <v>1842445.2199115297</v>
      </c>
      <c r="W42" s="2"/>
    </row>
    <row r="43" spans="2:23">
      <c r="B43">
        <v>96</v>
      </c>
      <c r="G43" s="2">
        <f t="shared" si="3"/>
        <v>4573.6873410295084</v>
      </c>
      <c r="H43" s="2">
        <f t="shared" si="9"/>
        <v>6533.8390586135802</v>
      </c>
      <c r="I43" s="2">
        <f t="shared" si="14"/>
        <v>8101.9604326808421</v>
      </c>
      <c r="K43" s="2">
        <f t="shared" si="7"/>
        <v>829668.00000000035</v>
      </c>
      <c r="L43" s="2">
        <f t="shared" si="4"/>
        <v>54884.248092354246</v>
      </c>
      <c r="M43" s="2">
        <f t="shared" si="8"/>
        <v>1302062.1717865239</v>
      </c>
      <c r="N43" s="2">
        <f t="shared" si="10"/>
        <v>78406.068703362966</v>
      </c>
      <c r="O43" s="2">
        <f t="shared" si="11"/>
        <v>1682088.5079847637</v>
      </c>
      <c r="P43" s="2">
        <f t="shared" si="16"/>
        <v>97223.525192170113</v>
      </c>
      <c r="Q43" s="2">
        <f t="shared" si="18"/>
        <v>1939668.7451036999</v>
      </c>
      <c r="R43" s="2">
        <f t="shared" si="12"/>
        <v>684253.85400062415</v>
      </c>
      <c r="S43" s="2">
        <f t="shared" si="13"/>
        <v>353318.80855107401</v>
      </c>
      <c r="T43" s="2">
        <v>0</v>
      </c>
      <c r="U43" s="2">
        <f t="shared" si="15"/>
        <v>1324283.4540006246</v>
      </c>
      <c r="V43" s="2">
        <f t="shared" si="19"/>
        <v>1939668.7451036999</v>
      </c>
      <c r="W43" s="2"/>
    </row>
    <row r="44" spans="2:23">
      <c r="B44">
        <v>97</v>
      </c>
      <c r="G44" s="2">
        <f t="shared" si="3"/>
        <v>4688.0295245552461</v>
      </c>
      <c r="H44" s="2">
        <f t="shared" si="9"/>
        <v>6697.1850350789191</v>
      </c>
      <c r="I44" s="2">
        <f t="shared" si="14"/>
        <v>8304.5094434978619</v>
      </c>
      <c r="K44" s="2">
        <f t="shared" si="7"/>
        <v>853372.8000000004</v>
      </c>
      <c r="L44" s="2">
        <f t="shared" si="4"/>
        <v>56256.354294663106</v>
      </c>
      <c r="M44" s="2">
        <f t="shared" si="8"/>
        <v>1358318.526081187</v>
      </c>
      <c r="N44" s="2">
        <f t="shared" si="10"/>
        <v>80366.220420947036</v>
      </c>
      <c r="O44" s="2">
        <f t="shared" si="11"/>
        <v>1762454.7284057108</v>
      </c>
      <c r="P44" s="2">
        <f t="shared" si="16"/>
        <v>99654.11332197435</v>
      </c>
      <c r="Q44" s="2">
        <f t="shared" si="18"/>
        <v>2039322.8584256743</v>
      </c>
      <c r="R44" s="2">
        <f t="shared" si="12"/>
        <v>711624.0081606491</v>
      </c>
      <c r="S44" s="2">
        <f t="shared" si="13"/>
        <v>367451.56089311698</v>
      </c>
      <c r="T44" s="2">
        <v>0</v>
      </c>
      <c r="U44" s="2">
        <f t="shared" si="15"/>
        <v>1375358.4081606497</v>
      </c>
      <c r="V44" s="2">
        <f t="shared" si="19"/>
        <v>2039322.8584256743</v>
      </c>
      <c r="W44" s="2"/>
    </row>
    <row r="45" spans="2:23">
      <c r="B45">
        <v>98</v>
      </c>
      <c r="G45" s="2">
        <f t="shared" si="3"/>
        <v>4805.2302626691271</v>
      </c>
      <c r="H45" s="2">
        <f t="shared" si="9"/>
        <v>6864.6146609558918</v>
      </c>
      <c r="I45" s="2">
        <f t="shared" si="14"/>
        <v>8512.1221795853071</v>
      </c>
      <c r="K45" s="2">
        <f t="shared" si="7"/>
        <v>877077.60000000044</v>
      </c>
      <c r="L45" s="2">
        <f t="shared" si="4"/>
        <v>57662.763152029685</v>
      </c>
      <c r="M45" s="2">
        <f t="shared" si="8"/>
        <v>1415981.2892332166</v>
      </c>
      <c r="N45" s="2">
        <f t="shared" si="10"/>
        <v>82375.375931470699</v>
      </c>
      <c r="O45" s="2">
        <f t="shared" si="11"/>
        <v>1844830.1043371814</v>
      </c>
      <c r="P45" s="2">
        <f t="shared" si="16"/>
        <v>102145.46615502369</v>
      </c>
      <c r="Q45" s="2">
        <f t="shared" si="18"/>
        <v>2141468.3245806978</v>
      </c>
      <c r="R45" s="2">
        <f t="shared" si="12"/>
        <v>740088.96848707506</v>
      </c>
      <c r="S45" s="2">
        <f t="shared" si="13"/>
        <v>382149.6233288417</v>
      </c>
      <c r="T45" s="2">
        <v>0</v>
      </c>
      <c r="U45" s="2">
        <f t="shared" si="15"/>
        <v>1427528.1684870757</v>
      </c>
      <c r="V45" s="2">
        <f t="shared" si="19"/>
        <v>2141468.3245806978</v>
      </c>
      <c r="W45" s="2"/>
    </row>
    <row r="46" spans="2:23">
      <c r="B46">
        <v>99</v>
      </c>
      <c r="G46" s="2">
        <f t="shared" si="3"/>
        <v>4925.3610192358547</v>
      </c>
      <c r="H46" s="2">
        <f t="shared" si="9"/>
        <v>7036.230027479789</v>
      </c>
      <c r="I46" s="2">
        <f t="shared" si="14"/>
        <v>8724.925234074939</v>
      </c>
      <c r="K46" s="2">
        <f t="shared" si="7"/>
        <v>900782.40000000049</v>
      </c>
      <c r="L46" s="2">
        <f t="shared" si="4"/>
        <v>59104.332230830427</v>
      </c>
      <c r="M46" s="2">
        <f t="shared" si="8"/>
        <v>1475085.6214640469</v>
      </c>
      <c r="N46" s="2">
        <f t="shared" si="10"/>
        <v>84434.760329757468</v>
      </c>
      <c r="O46" s="2">
        <f t="shared" si="11"/>
        <v>1929264.8646669388</v>
      </c>
      <c r="P46" s="2">
        <f t="shared" si="16"/>
        <v>104699.10280889928</v>
      </c>
      <c r="Q46" s="2">
        <f t="shared" si="18"/>
        <v>2246167.4273895971</v>
      </c>
      <c r="R46" s="2">
        <f t="shared" si="12"/>
        <v>769692.52722655807</v>
      </c>
      <c r="S46" s="2">
        <f t="shared" si="13"/>
        <v>397435.60826199537</v>
      </c>
      <c r="T46" s="2">
        <v>0</v>
      </c>
      <c r="U46" s="2">
        <f t="shared" si="15"/>
        <v>1480836.5272265587</v>
      </c>
      <c r="V46" s="2">
        <f t="shared" si="19"/>
        <v>2246167.4273895971</v>
      </c>
      <c r="W46" s="2"/>
    </row>
    <row r="47" spans="2:23">
      <c r="B47">
        <v>100</v>
      </c>
      <c r="G47" s="2">
        <f t="shared" si="3"/>
        <v>5048.4950447167503</v>
      </c>
      <c r="H47" s="2">
        <f t="shared" si="9"/>
        <v>7212.135778166783</v>
      </c>
      <c r="I47" s="2">
        <f t="shared" si="14"/>
        <v>8943.0483649268117</v>
      </c>
      <c r="K47" s="2">
        <f t="shared" si="7"/>
        <v>924487.20000000054</v>
      </c>
      <c r="L47" s="2">
        <f t="shared" si="4"/>
        <v>60581.940536601185</v>
      </c>
      <c r="M47" s="2">
        <f t="shared" si="8"/>
        <v>1535667.5620006481</v>
      </c>
      <c r="N47" s="2">
        <f t="shared" si="10"/>
        <v>86545.629338001396</v>
      </c>
      <c r="O47" s="2">
        <f t="shared" si="11"/>
        <v>2015810.4940049401</v>
      </c>
      <c r="P47" s="2">
        <f t="shared" si="16"/>
        <v>107316.58037912173</v>
      </c>
      <c r="Q47" s="2">
        <f t="shared" si="18"/>
        <v>2353484.007768719</v>
      </c>
      <c r="R47" s="2">
        <f t="shared" si="12"/>
        <v>800480.22831562045</v>
      </c>
      <c r="S47" s="2">
        <f t="shared" si="13"/>
        <v>413333.03259247518</v>
      </c>
      <c r="T47" s="2">
        <v>0</v>
      </c>
      <c r="U47" s="2">
        <f t="shared" si="15"/>
        <v>1535329.028315621</v>
      </c>
      <c r="V47" s="2">
        <f t="shared" si="19"/>
        <v>2353484.007768719</v>
      </c>
      <c r="W47" s="2"/>
    </row>
    <row r="48" spans="2:23">
      <c r="Q48" s="2"/>
      <c r="V48" s="2"/>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86E87-9102-4867-883D-98F379F14A01}">
  <dimension ref="B2:M60"/>
  <sheetViews>
    <sheetView topLeftCell="A34" zoomScaleNormal="100" workbookViewId="0">
      <selection activeCell="P54" sqref="P54"/>
    </sheetView>
  </sheetViews>
  <sheetFormatPr defaultRowHeight="14.4"/>
  <cols>
    <col min="7" max="7" width="15.109375" customWidth="1"/>
    <col min="8" max="8" width="21.6640625" customWidth="1"/>
    <col min="9" max="9" width="10.44140625" customWidth="1"/>
    <col min="10" max="10" width="17.33203125" customWidth="1"/>
    <col min="11" max="11" width="11.44140625" customWidth="1"/>
  </cols>
  <sheetData>
    <row r="2" spans="2:13" ht="15" thickBot="1"/>
    <row r="3" spans="2:13" ht="15" thickBot="1">
      <c r="B3" s="30"/>
      <c r="C3" s="31"/>
      <c r="D3" s="31"/>
      <c r="E3" s="32"/>
    </row>
    <row r="4" spans="2:13">
      <c r="B4" s="147" t="s">
        <v>123</v>
      </c>
      <c r="C4" s="148"/>
      <c r="D4" s="148"/>
      <c r="E4" s="149"/>
      <c r="G4" s="53" t="s">
        <v>93</v>
      </c>
      <c r="H4" s="40">
        <f>Main!B14</f>
        <v>0.04</v>
      </c>
    </row>
    <row r="5" spans="2:13">
      <c r="B5" s="147" t="s">
        <v>124</v>
      </c>
      <c r="C5" s="148"/>
      <c r="D5" s="148"/>
      <c r="E5" s="149"/>
      <c r="G5" s="54" t="s">
        <v>132</v>
      </c>
      <c r="H5" s="42">
        <v>2000000</v>
      </c>
    </row>
    <row r="6" spans="2:13" ht="15" thickBot="1">
      <c r="B6" s="150" t="s">
        <v>125</v>
      </c>
      <c r="C6" s="151"/>
      <c r="D6" s="151"/>
      <c r="E6" s="152"/>
      <c r="G6" s="55" t="s">
        <v>121</v>
      </c>
      <c r="H6" s="44">
        <f>Main!B13</f>
        <v>2.5000000000000001E-2</v>
      </c>
    </row>
    <row r="7" spans="2:13">
      <c r="B7" s="153" t="s">
        <v>126</v>
      </c>
      <c r="C7" s="154"/>
      <c r="D7" s="154"/>
      <c r="E7" s="155"/>
    </row>
    <row r="8" spans="2:13" ht="27.6" customHeight="1">
      <c r="B8" s="153" t="s">
        <v>127</v>
      </c>
      <c r="C8" s="154"/>
      <c r="D8" s="154"/>
      <c r="E8" s="155"/>
    </row>
    <row r="9" spans="2:13" ht="27.6" customHeight="1">
      <c r="B9" s="153" t="s">
        <v>128</v>
      </c>
      <c r="C9" s="154"/>
      <c r="D9" s="154"/>
      <c r="E9" s="155"/>
    </row>
    <row r="10" spans="2:13" ht="15" thickBot="1">
      <c r="B10" s="144"/>
      <c r="C10" s="145"/>
      <c r="D10" s="145"/>
      <c r="E10" s="146"/>
    </row>
    <row r="11" spans="2:13" ht="43.8" thickBot="1">
      <c r="B11" s="33" t="s">
        <v>129</v>
      </c>
      <c r="C11" s="26" t="s">
        <v>130</v>
      </c>
      <c r="D11" s="25" t="s">
        <v>129</v>
      </c>
      <c r="E11" s="26" t="s">
        <v>130</v>
      </c>
      <c r="H11" s="48" t="s">
        <v>132</v>
      </c>
      <c r="I11" s="49"/>
      <c r="J11" s="50" t="s">
        <v>133</v>
      </c>
      <c r="K11" s="51" t="s">
        <v>134</v>
      </c>
      <c r="L11" s="49"/>
      <c r="M11" s="52" t="s">
        <v>135</v>
      </c>
    </row>
    <row r="12" spans="2:13">
      <c r="B12" s="34">
        <v>72</v>
      </c>
      <c r="C12" s="27">
        <v>27.4</v>
      </c>
      <c r="D12" s="24">
        <v>97</v>
      </c>
      <c r="E12" s="27">
        <v>7.8</v>
      </c>
      <c r="G12" s="126">
        <v>72</v>
      </c>
      <c r="H12" s="45">
        <f>H5</f>
        <v>2000000</v>
      </c>
      <c r="I12" s="46">
        <f>C12</f>
        <v>27.4</v>
      </c>
      <c r="J12" s="45">
        <f t="shared" ref="J12:J35" si="0">H12/I12</f>
        <v>72992.700729927004</v>
      </c>
      <c r="K12" s="47"/>
      <c r="M12" s="1">
        <f>J12/H12</f>
        <v>3.6496350364963501E-2</v>
      </c>
    </row>
    <row r="13" spans="2:13">
      <c r="B13" s="34">
        <v>73</v>
      </c>
      <c r="C13" s="27">
        <v>26.5</v>
      </c>
      <c r="D13" s="24">
        <v>98</v>
      </c>
      <c r="E13" s="27">
        <v>7.3</v>
      </c>
      <c r="G13" s="24">
        <v>73</v>
      </c>
      <c r="H13" s="36">
        <f t="shared" ref="H13:H36" si="1">(H12-J12)*(1+$H$4)</f>
        <v>2004087.5912408759</v>
      </c>
      <c r="I13" s="37">
        <f>C13</f>
        <v>26.5</v>
      </c>
      <c r="J13" s="36">
        <f t="shared" si="0"/>
        <v>75625.946839278331</v>
      </c>
      <c r="K13" s="36">
        <f>J12*(1+$H$6)</f>
        <v>74817.518248175169</v>
      </c>
      <c r="M13" s="1">
        <f t="shared" ref="M13:M60" si="2">J13/H13</f>
        <v>3.7735849056603772E-2</v>
      </c>
    </row>
    <row r="14" spans="2:13" ht="14.4" customHeight="1">
      <c r="B14" s="34">
        <v>74</v>
      </c>
      <c r="C14" s="27">
        <v>25.5</v>
      </c>
      <c r="D14" s="24">
        <v>99</v>
      </c>
      <c r="E14" s="27">
        <v>6.8</v>
      </c>
      <c r="G14" s="126">
        <v>74</v>
      </c>
      <c r="H14" s="36">
        <f t="shared" si="1"/>
        <v>2005600.1101776615</v>
      </c>
      <c r="I14" s="37">
        <f t="shared" ref="I14:I36" si="3">C14</f>
        <v>25.5</v>
      </c>
      <c r="J14" s="36">
        <f t="shared" si="0"/>
        <v>78650.984712849473</v>
      </c>
      <c r="K14" s="36">
        <f>K13*(1+$H$6)</f>
        <v>76687.956204379545</v>
      </c>
      <c r="M14" s="1">
        <f t="shared" si="2"/>
        <v>3.9215686274509803E-2</v>
      </c>
    </row>
    <row r="15" spans="2:13" ht="14.4" customHeight="1">
      <c r="B15" s="34">
        <v>75</v>
      </c>
      <c r="C15" s="27">
        <v>24.6</v>
      </c>
      <c r="D15" s="24">
        <v>100</v>
      </c>
      <c r="E15" s="27">
        <v>6.4</v>
      </c>
      <c r="G15" s="24">
        <v>75</v>
      </c>
      <c r="H15" s="36">
        <f t="shared" si="1"/>
        <v>2004027.0904834047</v>
      </c>
      <c r="I15" s="37">
        <f t="shared" si="3"/>
        <v>24.6</v>
      </c>
      <c r="J15" s="36">
        <f t="shared" si="0"/>
        <v>81464.515873309123</v>
      </c>
      <c r="K15" s="36">
        <f t="shared" ref="K15:K60" si="4">K14*(1+$H$6)</f>
        <v>78605.155109489031</v>
      </c>
      <c r="M15" s="1">
        <f t="shared" si="2"/>
        <v>4.0650406504065033E-2</v>
      </c>
    </row>
    <row r="16" spans="2:13" ht="15" customHeight="1" thickBot="1">
      <c r="B16" s="35">
        <v>76</v>
      </c>
      <c r="C16" s="29">
        <v>23.7</v>
      </c>
      <c r="D16" s="28">
        <v>101</v>
      </c>
      <c r="E16" s="29">
        <v>6</v>
      </c>
      <c r="G16" s="126">
        <v>76</v>
      </c>
      <c r="H16" s="36">
        <f t="shared" si="1"/>
        <v>1999465.0775944993</v>
      </c>
      <c r="I16" s="37">
        <f t="shared" si="3"/>
        <v>23.7</v>
      </c>
      <c r="J16" s="36">
        <f t="shared" si="0"/>
        <v>84365.615088375504</v>
      </c>
      <c r="K16" s="36">
        <f t="shared" si="4"/>
        <v>80570.283987226256</v>
      </c>
      <c r="M16" s="1">
        <f t="shared" si="2"/>
        <v>4.2194092827004225E-2</v>
      </c>
    </row>
    <row r="17" spans="2:13" ht="14.4" customHeight="1">
      <c r="B17" s="34">
        <v>77</v>
      </c>
      <c r="C17" s="27">
        <v>22.9</v>
      </c>
      <c r="D17" s="24">
        <v>102</v>
      </c>
      <c r="E17" s="27">
        <v>5.6</v>
      </c>
      <c r="G17" s="24">
        <v>77</v>
      </c>
      <c r="H17" s="36">
        <f t="shared" si="1"/>
        <v>1991703.4410063687</v>
      </c>
      <c r="I17" s="37">
        <f t="shared" si="3"/>
        <v>22.9</v>
      </c>
      <c r="J17" s="36">
        <f t="shared" si="0"/>
        <v>86973.949388924404</v>
      </c>
      <c r="K17" s="36">
        <f t="shared" si="4"/>
        <v>82584.541086906902</v>
      </c>
      <c r="M17" s="1">
        <f t="shared" si="2"/>
        <v>4.3668122270742363E-2</v>
      </c>
    </row>
    <row r="18" spans="2:13" ht="14.4" customHeight="1">
      <c r="B18" s="34">
        <v>78</v>
      </c>
      <c r="C18" s="27">
        <v>22</v>
      </c>
      <c r="D18" s="24">
        <v>103</v>
      </c>
      <c r="E18" s="27">
        <v>5.2</v>
      </c>
      <c r="G18" s="126">
        <v>78</v>
      </c>
      <c r="H18" s="36">
        <f t="shared" si="1"/>
        <v>1980918.6712821422</v>
      </c>
      <c r="I18" s="37">
        <f t="shared" si="3"/>
        <v>22</v>
      </c>
      <c r="J18" s="36">
        <f t="shared" si="0"/>
        <v>90041.757785551919</v>
      </c>
      <c r="K18" s="36">
        <f t="shared" si="4"/>
        <v>84649.154614079569</v>
      </c>
      <c r="M18" s="1">
        <f t="shared" si="2"/>
        <v>4.5454545454545456E-2</v>
      </c>
    </row>
    <row r="19" spans="2:13">
      <c r="B19" s="34">
        <v>79</v>
      </c>
      <c r="C19" s="27">
        <v>21.1</v>
      </c>
      <c r="D19" s="24">
        <v>104</v>
      </c>
      <c r="E19" s="27">
        <v>4.9000000000000004</v>
      </c>
      <c r="G19" s="24">
        <v>79</v>
      </c>
      <c r="H19" s="36">
        <f t="shared" si="1"/>
        <v>1966511.9900364538</v>
      </c>
      <c r="I19" s="37">
        <f t="shared" si="3"/>
        <v>21.1</v>
      </c>
      <c r="J19" s="36">
        <f t="shared" si="0"/>
        <v>93199.620380874578</v>
      </c>
      <c r="K19" s="36">
        <f t="shared" si="4"/>
        <v>86765.383479431548</v>
      </c>
      <c r="M19" s="1">
        <f t="shared" si="2"/>
        <v>4.7393364928909949E-2</v>
      </c>
    </row>
    <row r="20" spans="2:13">
      <c r="B20" s="34">
        <v>80</v>
      </c>
      <c r="C20" s="27">
        <v>20.2</v>
      </c>
      <c r="D20" s="24">
        <v>105</v>
      </c>
      <c r="E20" s="27">
        <v>4.5999999999999996</v>
      </c>
      <c r="G20" s="126">
        <v>80</v>
      </c>
      <c r="H20" s="36">
        <f t="shared" si="1"/>
        <v>1948244.8644418025</v>
      </c>
      <c r="I20" s="37">
        <f t="shared" si="3"/>
        <v>20.2</v>
      </c>
      <c r="J20" s="36">
        <f t="shared" si="0"/>
        <v>96447.765566425864</v>
      </c>
      <c r="K20" s="36">
        <f t="shared" si="4"/>
        <v>88934.518066417324</v>
      </c>
      <c r="M20" s="1">
        <f t="shared" si="2"/>
        <v>4.95049504950495E-2</v>
      </c>
    </row>
    <row r="21" spans="2:13" ht="15" thickBot="1">
      <c r="B21" s="35">
        <v>81</v>
      </c>
      <c r="C21" s="29">
        <v>19.399999999999999</v>
      </c>
      <c r="D21" s="28">
        <v>106</v>
      </c>
      <c r="E21" s="29">
        <v>4.3</v>
      </c>
      <c r="G21" s="24">
        <v>81</v>
      </c>
      <c r="H21" s="36">
        <f t="shared" si="1"/>
        <v>1925868.9828303917</v>
      </c>
      <c r="I21" s="37">
        <f t="shared" si="3"/>
        <v>19.399999999999999</v>
      </c>
      <c r="J21" s="36">
        <f t="shared" si="0"/>
        <v>99271.597053112986</v>
      </c>
      <c r="K21" s="36">
        <f t="shared" si="4"/>
        <v>91157.881018077751</v>
      </c>
      <c r="M21" s="1">
        <f t="shared" si="2"/>
        <v>5.1546391752577324E-2</v>
      </c>
    </row>
    <row r="22" spans="2:13">
      <c r="B22" s="34">
        <v>82</v>
      </c>
      <c r="C22" s="27">
        <v>18.5</v>
      </c>
      <c r="D22" s="24">
        <v>107</v>
      </c>
      <c r="E22" s="27">
        <v>4.0999999999999996</v>
      </c>
      <c r="G22" s="126">
        <v>82</v>
      </c>
      <c r="H22" s="36">
        <f t="shared" si="1"/>
        <v>1899661.2812083701</v>
      </c>
      <c r="I22" s="37">
        <f t="shared" si="3"/>
        <v>18.5</v>
      </c>
      <c r="J22" s="36">
        <f t="shared" si="0"/>
        <v>102684.39357883082</v>
      </c>
      <c r="K22" s="36">
        <f t="shared" si="4"/>
        <v>93436.828043529691</v>
      </c>
      <c r="M22" s="1">
        <f t="shared" si="2"/>
        <v>5.405405405405405E-2</v>
      </c>
    </row>
    <row r="23" spans="2:13">
      <c r="B23" s="34">
        <v>83</v>
      </c>
      <c r="C23" s="27">
        <v>17.7</v>
      </c>
      <c r="D23" s="24">
        <v>108</v>
      </c>
      <c r="E23" s="27">
        <v>3.9</v>
      </c>
      <c r="G23" s="24">
        <v>83</v>
      </c>
      <c r="H23" s="36">
        <f t="shared" si="1"/>
        <v>1868855.9631347209</v>
      </c>
      <c r="I23" s="37">
        <f t="shared" si="3"/>
        <v>17.7</v>
      </c>
      <c r="J23" s="36">
        <f t="shared" si="0"/>
        <v>105585.08266297859</v>
      </c>
      <c r="K23" s="36">
        <f t="shared" si="4"/>
        <v>95772.748744617929</v>
      </c>
      <c r="M23" s="1">
        <f t="shared" si="2"/>
        <v>5.6497175141242938E-2</v>
      </c>
    </row>
    <row r="24" spans="2:13">
      <c r="B24" s="34">
        <v>84</v>
      </c>
      <c r="C24" s="27">
        <v>16.8</v>
      </c>
      <c r="D24" s="24">
        <v>109</v>
      </c>
      <c r="E24" s="27">
        <v>3.7</v>
      </c>
      <c r="G24" s="126">
        <v>84</v>
      </c>
      <c r="H24" s="36">
        <f t="shared" si="1"/>
        <v>1833801.7156906121</v>
      </c>
      <c r="I24" s="37">
        <f t="shared" si="3"/>
        <v>16.8</v>
      </c>
      <c r="J24" s="36">
        <f t="shared" si="0"/>
        <v>109154.86402920309</v>
      </c>
      <c r="K24" s="36">
        <f t="shared" si="4"/>
        <v>98167.067463233368</v>
      </c>
      <c r="M24" s="1">
        <f t="shared" si="2"/>
        <v>5.9523809523809521E-2</v>
      </c>
    </row>
    <row r="25" spans="2:13">
      <c r="B25" s="34">
        <v>85</v>
      </c>
      <c r="C25" s="27">
        <v>16</v>
      </c>
      <c r="D25" s="24">
        <v>110</v>
      </c>
      <c r="E25" s="27">
        <v>3.5</v>
      </c>
      <c r="G25" s="24">
        <v>85</v>
      </c>
      <c r="H25" s="36">
        <f t="shared" si="1"/>
        <v>1793632.7257278655</v>
      </c>
      <c r="I25" s="37">
        <f t="shared" si="3"/>
        <v>16</v>
      </c>
      <c r="J25" s="36">
        <f t="shared" si="0"/>
        <v>112102.04535799159</v>
      </c>
      <c r="K25" s="36">
        <f t="shared" si="4"/>
        <v>100621.2441498142</v>
      </c>
      <c r="M25" s="1">
        <f t="shared" si="2"/>
        <v>6.25E-2</v>
      </c>
    </row>
    <row r="26" spans="2:13" ht="15" thickBot="1">
      <c r="B26" s="35">
        <v>86</v>
      </c>
      <c r="C26" s="29">
        <v>15.2</v>
      </c>
      <c r="D26" s="28">
        <v>111</v>
      </c>
      <c r="E26" s="29">
        <v>3.4</v>
      </c>
      <c r="G26" s="126">
        <v>86</v>
      </c>
      <c r="H26" s="36">
        <f t="shared" si="1"/>
        <v>1748791.9075846691</v>
      </c>
      <c r="I26" s="37">
        <f t="shared" si="3"/>
        <v>15.2</v>
      </c>
      <c r="J26" s="36">
        <f t="shared" si="0"/>
        <v>115052.09918320192</v>
      </c>
      <c r="K26" s="36">
        <f t="shared" si="4"/>
        <v>103136.77525355955</v>
      </c>
      <c r="M26" s="1">
        <f t="shared" si="2"/>
        <v>6.5789473684210537E-2</v>
      </c>
    </row>
    <row r="27" spans="2:13">
      <c r="B27" s="34">
        <v>87</v>
      </c>
      <c r="C27" s="27">
        <v>14.4</v>
      </c>
      <c r="D27" s="24">
        <v>112</v>
      </c>
      <c r="E27" s="27">
        <v>3.3</v>
      </c>
      <c r="G27" s="24">
        <v>87</v>
      </c>
      <c r="H27" s="36">
        <f t="shared" si="1"/>
        <v>1699089.4007375259</v>
      </c>
      <c r="I27" s="37">
        <f t="shared" si="3"/>
        <v>14.4</v>
      </c>
      <c r="J27" s="36">
        <f t="shared" si="0"/>
        <v>117992.31949566152</v>
      </c>
      <c r="K27" s="36">
        <f t="shared" si="4"/>
        <v>105715.19463489854</v>
      </c>
      <c r="M27" s="1">
        <f t="shared" si="2"/>
        <v>6.9444444444444448E-2</v>
      </c>
    </row>
    <row r="28" spans="2:13">
      <c r="B28" s="34">
        <v>88</v>
      </c>
      <c r="C28" s="27">
        <v>13.7</v>
      </c>
      <c r="D28" s="24">
        <v>113</v>
      </c>
      <c r="E28" s="27">
        <v>3.1</v>
      </c>
      <c r="G28" s="126">
        <v>88</v>
      </c>
      <c r="H28" s="36">
        <f t="shared" si="1"/>
        <v>1644340.9644915392</v>
      </c>
      <c r="I28" s="37">
        <f t="shared" si="3"/>
        <v>13.7</v>
      </c>
      <c r="J28" s="36">
        <f t="shared" si="0"/>
        <v>120024.88791909046</v>
      </c>
      <c r="K28" s="36">
        <f t="shared" si="4"/>
        <v>108358.07450077099</v>
      </c>
      <c r="M28" s="1">
        <f t="shared" si="2"/>
        <v>7.2992700729927015E-2</v>
      </c>
    </row>
    <row r="29" spans="2:13">
      <c r="B29" s="34">
        <v>89</v>
      </c>
      <c r="C29" s="27">
        <v>12.9</v>
      </c>
      <c r="D29" s="24">
        <v>114</v>
      </c>
      <c r="E29" s="27">
        <v>3</v>
      </c>
      <c r="G29" s="24">
        <v>89</v>
      </c>
      <c r="H29" s="36">
        <f t="shared" si="1"/>
        <v>1585288.7196353467</v>
      </c>
      <c r="I29" s="37">
        <f t="shared" si="3"/>
        <v>12.9</v>
      </c>
      <c r="J29" s="36">
        <f t="shared" si="0"/>
        <v>122890.59842134469</v>
      </c>
      <c r="K29" s="36">
        <f t="shared" si="4"/>
        <v>111067.02636329026</v>
      </c>
      <c r="M29" s="1">
        <f t="shared" si="2"/>
        <v>7.7519379844961239E-2</v>
      </c>
    </row>
    <row r="30" spans="2:13">
      <c r="B30" s="34">
        <v>90</v>
      </c>
      <c r="C30" s="27">
        <v>12.2</v>
      </c>
      <c r="D30" s="24">
        <v>115</v>
      </c>
      <c r="E30" s="27">
        <v>2.9</v>
      </c>
      <c r="G30" s="126">
        <v>90</v>
      </c>
      <c r="H30" s="36">
        <f t="shared" si="1"/>
        <v>1520894.0460625621</v>
      </c>
      <c r="I30" s="37">
        <f t="shared" si="3"/>
        <v>12.2</v>
      </c>
      <c r="J30" s="36">
        <f t="shared" si="0"/>
        <v>124663.44639857067</v>
      </c>
      <c r="K30" s="36">
        <f t="shared" si="4"/>
        <v>113843.70202237251</v>
      </c>
      <c r="M30" s="1">
        <f t="shared" si="2"/>
        <v>8.1967213114754092E-2</v>
      </c>
    </row>
    <row r="31" spans="2:13" ht="15" thickBot="1">
      <c r="B31" s="35">
        <v>91</v>
      </c>
      <c r="C31" s="29">
        <v>11.5</v>
      </c>
      <c r="D31" s="28">
        <v>116</v>
      </c>
      <c r="E31" s="29">
        <v>2.8</v>
      </c>
      <c r="G31" s="24">
        <v>91</v>
      </c>
      <c r="H31" s="36">
        <f t="shared" si="1"/>
        <v>1452079.8236505513</v>
      </c>
      <c r="I31" s="37">
        <f t="shared" si="3"/>
        <v>11.5</v>
      </c>
      <c r="J31" s="36">
        <f t="shared" si="0"/>
        <v>126267.81075222185</v>
      </c>
      <c r="K31" s="36">
        <f t="shared" si="4"/>
        <v>116689.79457293182</v>
      </c>
      <c r="M31" s="1">
        <f t="shared" si="2"/>
        <v>8.6956521739130432E-2</v>
      </c>
    </row>
    <row r="32" spans="2:13">
      <c r="B32" s="34">
        <v>92</v>
      </c>
      <c r="C32" s="27">
        <v>10.8</v>
      </c>
      <c r="D32" s="24">
        <v>117</v>
      </c>
      <c r="E32" s="27">
        <v>2.7</v>
      </c>
      <c r="G32" s="126">
        <v>92</v>
      </c>
      <c r="H32" s="36">
        <f t="shared" si="1"/>
        <v>1378844.4934142625</v>
      </c>
      <c r="I32" s="37">
        <f t="shared" si="3"/>
        <v>10.8</v>
      </c>
      <c r="J32" s="36">
        <f t="shared" si="0"/>
        <v>127670.78642724652</v>
      </c>
      <c r="K32" s="36">
        <f t="shared" si="4"/>
        <v>119607.03943725509</v>
      </c>
      <c r="M32" s="1">
        <f t="shared" si="2"/>
        <v>9.2592592592592587E-2</v>
      </c>
    </row>
    <row r="33" spans="2:13">
      <c r="B33" s="34">
        <v>93</v>
      </c>
      <c r="C33" s="27">
        <v>10.1</v>
      </c>
      <c r="D33" s="24">
        <v>118</v>
      </c>
      <c r="E33" s="27">
        <v>2.5</v>
      </c>
      <c r="G33" s="24">
        <v>93</v>
      </c>
      <c r="H33" s="36">
        <f t="shared" si="1"/>
        <v>1301220.6552664966</v>
      </c>
      <c r="I33" s="37">
        <f t="shared" si="3"/>
        <v>10.1</v>
      </c>
      <c r="J33" s="36">
        <f t="shared" si="0"/>
        <v>128833.72824420758</v>
      </c>
      <c r="K33" s="36">
        <f t="shared" si="4"/>
        <v>122597.21542318646</v>
      </c>
      <c r="M33" s="1">
        <f t="shared" si="2"/>
        <v>9.9009900990099015E-2</v>
      </c>
    </row>
    <row r="34" spans="2:13">
      <c r="B34" s="34">
        <v>94</v>
      </c>
      <c r="C34" s="27">
        <v>9.5</v>
      </c>
      <c r="D34" s="24">
        <v>119</v>
      </c>
      <c r="E34" s="27">
        <v>2.2999999999999998</v>
      </c>
      <c r="G34" s="126">
        <v>94</v>
      </c>
      <c r="H34" s="36">
        <f t="shared" si="1"/>
        <v>1219282.4041031806</v>
      </c>
      <c r="I34" s="37">
        <f t="shared" si="3"/>
        <v>9.5</v>
      </c>
      <c r="J34" s="36">
        <f t="shared" si="0"/>
        <v>128345.51622138743</v>
      </c>
      <c r="K34" s="36">
        <f t="shared" si="4"/>
        <v>125662.1458087661</v>
      </c>
      <c r="M34" s="1">
        <f t="shared" si="2"/>
        <v>0.10526315789473684</v>
      </c>
    </row>
    <row r="35" spans="2:13" ht="27.6">
      <c r="B35" s="34">
        <v>95</v>
      </c>
      <c r="C35" s="27">
        <v>8.9</v>
      </c>
      <c r="D35" s="24" t="s">
        <v>131</v>
      </c>
      <c r="E35" s="27">
        <v>2</v>
      </c>
      <c r="G35" s="24">
        <v>95</v>
      </c>
      <c r="H35" s="36">
        <f t="shared" si="1"/>
        <v>1134574.3633970649</v>
      </c>
      <c r="I35" s="37">
        <f t="shared" si="3"/>
        <v>8.9</v>
      </c>
      <c r="J35" s="36">
        <f t="shared" si="0"/>
        <v>127480.265550232</v>
      </c>
      <c r="K35" s="36">
        <f t="shared" si="4"/>
        <v>128803.69945398525</v>
      </c>
      <c r="M35" s="1">
        <f t="shared" si="2"/>
        <v>0.11235955056179775</v>
      </c>
    </row>
    <row r="36" spans="2:13" ht="15" thickBot="1">
      <c r="B36" s="35">
        <v>96</v>
      </c>
      <c r="C36" s="27">
        <v>8.4</v>
      </c>
      <c r="D36" s="24"/>
      <c r="E36" s="27"/>
      <c r="G36" s="126">
        <v>96</v>
      </c>
      <c r="H36" s="36">
        <f t="shared" si="1"/>
        <v>1047377.8617607062</v>
      </c>
      <c r="I36" s="37">
        <f t="shared" si="3"/>
        <v>8.4</v>
      </c>
      <c r="J36" s="36">
        <f t="shared" ref="J36:J60" si="5">H36/I36</f>
        <v>124687.84068579835</v>
      </c>
      <c r="K36" s="36">
        <f t="shared" si="4"/>
        <v>132023.79194033486</v>
      </c>
      <c r="M36" s="1">
        <f t="shared" si="2"/>
        <v>0.11904761904761904</v>
      </c>
    </row>
    <row r="37" spans="2:13">
      <c r="B37" s="34">
        <v>97</v>
      </c>
      <c r="C37" s="37"/>
      <c r="D37" s="37"/>
      <c r="E37" s="37"/>
      <c r="F37" s="37"/>
      <c r="G37" s="24">
        <v>97</v>
      </c>
      <c r="H37" s="36">
        <f t="shared" ref="H37:H60" si="6">(H36-J36)*(1+$H$4)</f>
        <v>959597.62191790424</v>
      </c>
      <c r="I37" s="37">
        <f>E12</f>
        <v>7.8</v>
      </c>
      <c r="J37" s="36">
        <f t="shared" si="5"/>
        <v>123025.33614332105</v>
      </c>
      <c r="K37" s="36">
        <f t="shared" si="4"/>
        <v>135324.38673884323</v>
      </c>
      <c r="M37" s="1">
        <f t="shared" si="2"/>
        <v>0.12820512820512819</v>
      </c>
    </row>
    <row r="38" spans="2:13" ht="15" thickBot="1">
      <c r="B38" s="35">
        <v>98</v>
      </c>
      <c r="C38" s="37"/>
      <c r="D38" s="37"/>
      <c r="E38" s="37"/>
      <c r="F38" s="37"/>
      <c r="G38" s="126">
        <v>98</v>
      </c>
      <c r="H38" s="36">
        <f t="shared" si="6"/>
        <v>870035.17720556655</v>
      </c>
      <c r="I38" s="37">
        <f t="shared" ref="I38:I60" si="7">E13</f>
        <v>7.3</v>
      </c>
      <c r="J38" s="36">
        <f t="shared" si="5"/>
        <v>119182.90098706391</v>
      </c>
      <c r="K38" s="36">
        <f t="shared" si="4"/>
        <v>138707.49640731429</v>
      </c>
      <c r="M38" s="1">
        <f t="shared" si="2"/>
        <v>0.13698630136986301</v>
      </c>
    </row>
    <row r="39" spans="2:13">
      <c r="B39" s="34">
        <v>99</v>
      </c>
      <c r="C39" s="37"/>
      <c r="D39" s="37"/>
      <c r="E39" s="37"/>
      <c r="F39" s="37"/>
      <c r="G39" s="24">
        <v>99</v>
      </c>
      <c r="H39" s="36">
        <f t="shared" si="6"/>
        <v>780886.36726724275</v>
      </c>
      <c r="I39" s="37">
        <f t="shared" si="7"/>
        <v>6.8</v>
      </c>
      <c r="J39" s="36">
        <f t="shared" si="5"/>
        <v>114836.23048047688</v>
      </c>
      <c r="K39" s="36">
        <f t="shared" si="4"/>
        <v>142175.18381749713</v>
      </c>
      <c r="M39" s="1">
        <f t="shared" si="2"/>
        <v>0.14705882352941177</v>
      </c>
    </row>
    <row r="40" spans="2:13" ht="15" thickBot="1">
      <c r="B40" s="35">
        <v>100</v>
      </c>
      <c r="C40" s="37"/>
      <c r="D40" s="37"/>
      <c r="E40" s="37"/>
      <c r="F40" s="37"/>
      <c r="G40" s="126">
        <v>100</v>
      </c>
      <c r="H40" s="36">
        <f t="shared" si="6"/>
        <v>692692.14225823653</v>
      </c>
      <c r="I40" s="37">
        <f t="shared" si="7"/>
        <v>6.4</v>
      </c>
      <c r="J40" s="36">
        <f t="shared" si="5"/>
        <v>108233.14722784945</v>
      </c>
      <c r="K40" s="36">
        <f t="shared" si="4"/>
        <v>145729.56341293454</v>
      </c>
      <c r="M40" s="1">
        <f t="shared" si="2"/>
        <v>0.15624999999999997</v>
      </c>
    </row>
    <row r="41" spans="2:13">
      <c r="B41" s="34">
        <v>101</v>
      </c>
      <c r="C41" s="37"/>
      <c r="D41" s="37"/>
      <c r="E41" s="37"/>
      <c r="F41" s="37"/>
      <c r="G41" s="24">
        <v>101</v>
      </c>
      <c r="H41" s="36">
        <f t="shared" si="6"/>
        <v>607837.35483160254</v>
      </c>
      <c r="I41" s="37">
        <f t="shared" si="7"/>
        <v>6</v>
      </c>
      <c r="J41" s="36">
        <f t="shared" si="5"/>
        <v>101306.22580526709</v>
      </c>
      <c r="K41" s="36">
        <f t="shared" si="4"/>
        <v>149372.80249825789</v>
      </c>
      <c r="M41" s="1">
        <f t="shared" si="2"/>
        <v>0.16666666666666669</v>
      </c>
    </row>
    <row r="42" spans="2:13" ht="15" thickBot="1">
      <c r="B42" s="35">
        <v>102</v>
      </c>
      <c r="C42" s="37"/>
      <c r="D42" s="37"/>
      <c r="E42" s="37"/>
      <c r="F42" s="37"/>
      <c r="G42" s="126">
        <v>102</v>
      </c>
      <c r="H42" s="36">
        <f t="shared" si="6"/>
        <v>526792.37418738892</v>
      </c>
      <c r="I42" s="37">
        <f t="shared" si="7"/>
        <v>5.6</v>
      </c>
      <c r="J42" s="36">
        <f t="shared" si="5"/>
        <v>94070.066819176602</v>
      </c>
      <c r="K42" s="36">
        <f t="shared" si="4"/>
        <v>153107.12256071431</v>
      </c>
      <c r="M42" s="1">
        <f t="shared" si="2"/>
        <v>0.17857142857142858</v>
      </c>
    </row>
    <row r="43" spans="2:13">
      <c r="B43" s="34">
        <v>103</v>
      </c>
      <c r="C43" s="37"/>
      <c r="D43" s="37"/>
      <c r="E43" s="37"/>
      <c r="F43" s="37"/>
      <c r="G43" s="24">
        <v>103</v>
      </c>
      <c r="H43" s="36">
        <f t="shared" si="6"/>
        <v>450031.19966294081</v>
      </c>
      <c r="I43" s="37">
        <f t="shared" si="7"/>
        <v>5.2</v>
      </c>
      <c r="J43" s="36">
        <f t="shared" si="5"/>
        <v>86544.461473642456</v>
      </c>
      <c r="K43" s="36">
        <f t="shared" si="4"/>
        <v>156934.80062473216</v>
      </c>
      <c r="M43" s="1">
        <f t="shared" si="2"/>
        <v>0.19230769230769229</v>
      </c>
    </row>
    <row r="44" spans="2:13" ht="15" thickBot="1">
      <c r="B44" s="35">
        <v>104</v>
      </c>
      <c r="C44" s="37"/>
      <c r="D44" s="37"/>
      <c r="E44" s="37"/>
      <c r="F44" s="37"/>
      <c r="G44" s="126">
        <v>104</v>
      </c>
      <c r="H44" s="36">
        <f t="shared" si="6"/>
        <v>378026.2077168703</v>
      </c>
      <c r="I44" s="37">
        <f t="shared" si="7"/>
        <v>4.9000000000000004</v>
      </c>
      <c r="J44" s="36">
        <f t="shared" si="5"/>
        <v>77148.205656504142</v>
      </c>
      <c r="K44" s="36">
        <f t="shared" si="4"/>
        <v>160858.17064035046</v>
      </c>
      <c r="M44" s="1">
        <f t="shared" si="2"/>
        <v>0.20408163265306123</v>
      </c>
    </row>
    <row r="45" spans="2:13">
      <c r="B45" s="34">
        <v>105</v>
      </c>
      <c r="C45" s="37"/>
      <c r="D45" s="37"/>
      <c r="E45" s="37"/>
      <c r="F45" s="37"/>
      <c r="G45" s="24">
        <v>105</v>
      </c>
      <c r="H45" s="36">
        <f t="shared" si="6"/>
        <v>312913.12214278081</v>
      </c>
      <c r="I45" s="37">
        <f t="shared" si="7"/>
        <v>4.5999999999999996</v>
      </c>
      <c r="J45" s="36">
        <f t="shared" si="5"/>
        <v>68024.591770169747</v>
      </c>
      <c r="K45" s="36">
        <f t="shared" si="4"/>
        <v>164879.62490635921</v>
      </c>
      <c r="M45" s="1">
        <f t="shared" si="2"/>
        <v>0.21739130434782611</v>
      </c>
    </row>
    <row r="46" spans="2:13" ht="15" thickBot="1">
      <c r="B46" s="35">
        <v>106</v>
      </c>
      <c r="C46" s="37"/>
      <c r="D46" s="37"/>
      <c r="E46" s="37"/>
      <c r="F46" s="37"/>
      <c r="G46" s="126">
        <v>106</v>
      </c>
      <c r="H46" s="36">
        <f t="shared" si="6"/>
        <v>254684.07158751553</v>
      </c>
      <c r="I46" s="37">
        <f t="shared" si="7"/>
        <v>4.3</v>
      </c>
      <c r="J46" s="36">
        <f t="shared" si="5"/>
        <v>59228.853857561757</v>
      </c>
      <c r="K46" s="36">
        <f t="shared" si="4"/>
        <v>169001.61552901816</v>
      </c>
      <c r="M46" s="1">
        <f t="shared" si="2"/>
        <v>0.23255813953488375</v>
      </c>
    </row>
    <row r="47" spans="2:13">
      <c r="B47" s="34">
        <v>107</v>
      </c>
      <c r="C47" s="37"/>
      <c r="D47" s="37"/>
      <c r="E47" s="37"/>
      <c r="F47" s="37"/>
      <c r="G47" s="24">
        <v>107</v>
      </c>
      <c r="H47" s="36">
        <f t="shared" si="6"/>
        <v>203273.42643915192</v>
      </c>
      <c r="I47" s="37">
        <f t="shared" si="7"/>
        <v>4.0999999999999996</v>
      </c>
      <c r="J47" s="36">
        <f t="shared" si="5"/>
        <v>49578.884497354135</v>
      </c>
      <c r="K47" s="36">
        <f t="shared" si="4"/>
        <v>173226.6559172436</v>
      </c>
      <c r="M47" s="1">
        <f t="shared" si="2"/>
        <v>0.24390243902439027</v>
      </c>
    </row>
    <row r="48" spans="2:13" ht="15" thickBot="1">
      <c r="B48" s="35">
        <v>108</v>
      </c>
      <c r="C48" s="37"/>
      <c r="D48" s="37"/>
      <c r="E48" s="37"/>
      <c r="F48" s="37"/>
      <c r="G48" s="126">
        <v>108</v>
      </c>
      <c r="H48" s="36">
        <f t="shared" si="6"/>
        <v>159842.32361946971</v>
      </c>
      <c r="I48" s="37">
        <f t="shared" si="7"/>
        <v>3.9</v>
      </c>
      <c r="J48" s="36">
        <f t="shared" si="5"/>
        <v>40985.211184479413</v>
      </c>
      <c r="K48" s="36">
        <f t="shared" si="4"/>
        <v>177557.32231517468</v>
      </c>
      <c r="M48" s="1">
        <f t="shared" si="2"/>
        <v>0.25641025641025639</v>
      </c>
    </row>
    <row r="49" spans="2:13">
      <c r="B49" s="34">
        <v>109</v>
      </c>
      <c r="C49" s="37"/>
      <c r="D49" s="37"/>
      <c r="E49" s="37"/>
      <c r="F49" s="37"/>
      <c r="G49" s="24">
        <v>109</v>
      </c>
      <c r="H49" s="36">
        <f t="shared" si="6"/>
        <v>123611.39693238991</v>
      </c>
      <c r="I49" s="37">
        <f t="shared" si="7"/>
        <v>3.7</v>
      </c>
      <c r="J49" s="36">
        <f t="shared" si="5"/>
        <v>33408.485657402678</v>
      </c>
      <c r="K49" s="36">
        <f t="shared" si="4"/>
        <v>181996.25537305404</v>
      </c>
      <c r="M49" s="1">
        <f t="shared" si="2"/>
        <v>0.27027027027027029</v>
      </c>
    </row>
    <row r="50" spans="2:13" ht="15" thickBot="1">
      <c r="B50" s="35">
        <v>110</v>
      </c>
      <c r="C50" s="37"/>
      <c r="D50" s="37"/>
      <c r="E50" s="37"/>
      <c r="F50" s="37"/>
      <c r="G50" s="126">
        <v>110</v>
      </c>
      <c r="H50" s="36">
        <f t="shared" si="6"/>
        <v>93811.027725986729</v>
      </c>
      <c r="I50" s="37">
        <f t="shared" si="7"/>
        <v>3.5</v>
      </c>
      <c r="J50" s="36">
        <f t="shared" si="5"/>
        <v>26803.150778853353</v>
      </c>
      <c r="K50" s="36">
        <f t="shared" si="4"/>
        <v>186546.16175738038</v>
      </c>
      <c r="M50" s="1">
        <f t="shared" si="2"/>
        <v>0.28571428571428575</v>
      </c>
    </row>
    <row r="51" spans="2:13">
      <c r="B51" s="34">
        <v>111</v>
      </c>
      <c r="C51" s="37"/>
      <c r="D51" s="37"/>
      <c r="E51" s="37"/>
      <c r="F51" s="37"/>
      <c r="G51" s="24">
        <v>111</v>
      </c>
      <c r="H51" s="36">
        <f t="shared" si="6"/>
        <v>69688.19202501871</v>
      </c>
      <c r="I51" s="37">
        <f t="shared" si="7"/>
        <v>3.4</v>
      </c>
      <c r="J51" s="36">
        <f t="shared" si="5"/>
        <v>20496.527066181974</v>
      </c>
      <c r="K51" s="36">
        <f t="shared" si="4"/>
        <v>191209.81580131486</v>
      </c>
      <c r="M51" s="1">
        <f t="shared" si="2"/>
        <v>0.29411764705882354</v>
      </c>
    </row>
    <row r="52" spans="2:13" ht="15" thickBot="1">
      <c r="B52" s="35">
        <v>112</v>
      </c>
      <c r="C52" s="37"/>
      <c r="D52" s="37"/>
      <c r="E52" s="37"/>
      <c r="F52" s="37"/>
      <c r="G52" s="126">
        <v>112</v>
      </c>
      <c r="H52" s="36">
        <f t="shared" si="6"/>
        <v>51159.331557190206</v>
      </c>
      <c r="I52" s="37">
        <f t="shared" si="7"/>
        <v>3.3</v>
      </c>
      <c r="J52" s="36">
        <f t="shared" si="5"/>
        <v>15502.827744603093</v>
      </c>
      <c r="K52" s="36">
        <f t="shared" si="4"/>
        <v>195990.06119634773</v>
      </c>
      <c r="M52" s="1">
        <f t="shared" si="2"/>
        <v>0.30303030303030304</v>
      </c>
    </row>
    <row r="53" spans="2:13">
      <c r="B53" s="34">
        <v>113</v>
      </c>
      <c r="C53" s="37"/>
      <c r="D53" s="37"/>
      <c r="E53" s="37"/>
      <c r="F53" s="37"/>
      <c r="G53" s="24">
        <v>113</v>
      </c>
      <c r="H53" s="36">
        <f t="shared" si="6"/>
        <v>37082.763965090599</v>
      </c>
      <c r="I53" s="37">
        <f t="shared" si="7"/>
        <v>3.1</v>
      </c>
      <c r="J53" s="36">
        <f t="shared" si="5"/>
        <v>11962.181924222774</v>
      </c>
      <c r="K53" s="36">
        <f t="shared" si="4"/>
        <v>200889.81272625641</v>
      </c>
      <c r="M53" s="1">
        <f t="shared" si="2"/>
        <v>0.32258064516129031</v>
      </c>
    </row>
    <row r="54" spans="2:13" ht="15" thickBot="1">
      <c r="B54" s="35">
        <v>114</v>
      </c>
      <c r="C54" s="37"/>
      <c r="D54" s="37"/>
      <c r="E54" s="37"/>
      <c r="F54" s="37"/>
      <c r="G54" s="126">
        <v>114</v>
      </c>
      <c r="H54" s="36">
        <f t="shared" si="6"/>
        <v>26125.405322502542</v>
      </c>
      <c r="I54" s="37">
        <f t="shared" si="7"/>
        <v>3</v>
      </c>
      <c r="J54" s="36">
        <f t="shared" si="5"/>
        <v>8708.46844083418</v>
      </c>
      <c r="K54" s="36">
        <f t="shared" si="4"/>
        <v>205912.05804441281</v>
      </c>
      <c r="M54" s="1">
        <f t="shared" si="2"/>
        <v>0.33333333333333331</v>
      </c>
    </row>
    <row r="55" spans="2:13">
      <c r="B55" s="34">
        <v>115</v>
      </c>
      <c r="C55" s="37"/>
      <c r="D55" s="37"/>
      <c r="E55" s="37"/>
      <c r="F55" s="37"/>
      <c r="G55" s="24">
        <v>115</v>
      </c>
      <c r="H55" s="36">
        <f t="shared" si="6"/>
        <v>18113.614356935097</v>
      </c>
      <c r="I55" s="37">
        <f t="shared" si="7"/>
        <v>2.9</v>
      </c>
      <c r="J55" s="36">
        <f t="shared" si="5"/>
        <v>6246.0739161845167</v>
      </c>
      <c r="K55" s="36">
        <f t="shared" si="4"/>
        <v>211059.85949552312</v>
      </c>
      <c r="M55" s="1">
        <f t="shared" si="2"/>
        <v>0.34482758620689657</v>
      </c>
    </row>
    <row r="56" spans="2:13" ht="15" thickBot="1">
      <c r="B56" s="35">
        <v>116</v>
      </c>
      <c r="C56" s="37"/>
      <c r="D56" s="37"/>
      <c r="E56" s="37"/>
      <c r="F56" s="37"/>
      <c r="G56" s="126">
        <v>116</v>
      </c>
      <c r="H56" s="36">
        <f t="shared" si="6"/>
        <v>12342.242058380605</v>
      </c>
      <c r="I56" s="37">
        <f t="shared" si="7"/>
        <v>2.8</v>
      </c>
      <c r="J56" s="36">
        <f t="shared" si="5"/>
        <v>4407.9435922787879</v>
      </c>
      <c r="K56" s="36">
        <f t="shared" si="4"/>
        <v>216336.35598291119</v>
      </c>
      <c r="M56" s="1">
        <f t="shared" si="2"/>
        <v>0.35714285714285715</v>
      </c>
    </row>
    <row r="57" spans="2:13">
      <c r="B57" s="34">
        <v>117</v>
      </c>
      <c r="C57" s="37"/>
      <c r="D57" s="37"/>
      <c r="E57" s="37"/>
      <c r="F57" s="37"/>
      <c r="G57" s="24">
        <v>117</v>
      </c>
      <c r="H57" s="36">
        <f t="shared" si="6"/>
        <v>8251.6704047458898</v>
      </c>
      <c r="I57" s="37">
        <f t="shared" si="7"/>
        <v>2.7</v>
      </c>
      <c r="J57" s="36">
        <f t="shared" si="5"/>
        <v>3056.1742239799592</v>
      </c>
      <c r="K57" s="36">
        <f t="shared" si="4"/>
        <v>221744.76488248396</v>
      </c>
      <c r="M57" s="1">
        <f t="shared" si="2"/>
        <v>0.37037037037037035</v>
      </c>
    </row>
    <row r="58" spans="2:13" ht="15" thickBot="1">
      <c r="B58" s="35">
        <v>118</v>
      </c>
      <c r="C58" s="37"/>
      <c r="D58" s="37"/>
      <c r="E58" s="37"/>
      <c r="F58" s="37"/>
      <c r="G58" s="126">
        <v>118</v>
      </c>
      <c r="H58" s="36">
        <f t="shared" si="6"/>
        <v>5403.3160279965687</v>
      </c>
      <c r="I58" s="37">
        <f t="shared" si="7"/>
        <v>2.5</v>
      </c>
      <c r="J58" s="36">
        <f t="shared" si="5"/>
        <v>2161.3264111986273</v>
      </c>
      <c r="K58" s="36">
        <f t="shared" si="4"/>
        <v>227288.38400454604</v>
      </c>
      <c r="M58" s="1">
        <f t="shared" si="2"/>
        <v>0.39999999999999997</v>
      </c>
    </row>
    <row r="59" spans="2:13">
      <c r="B59" s="34">
        <v>119</v>
      </c>
      <c r="C59" s="37"/>
      <c r="D59" s="37"/>
      <c r="E59" s="37"/>
      <c r="F59" s="37"/>
      <c r="G59" s="24">
        <v>119</v>
      </c>
      <c r="H59" s="36">
        <f t="shared" si="6"/>
        <v>3371.6692014698592</v>
      </c>
      <c r="I59" s="37">
        <f t="shared" si="7"/>
        <v>2.2999999999999998</v>
      </c>
      <c r="J59" s="36">
        <f t="shared" si="5"/>
        <v>1465.9431310738519</v>
      </c>
      <c r="K59" s="36">
        <f t="shared" si="4"/>
        <v>232970.59360465966</v>
      </c>
      <c r="M59" s="1">
        <f t="shared" si="2"/>
        <v>0.43478260869565216</v>
      </c>
    </row>
    <row r="60" spans="2:13" ht="15" thickBot="1">
      <c r="B60" s="35">
        <v>120</v>
      </c>
      <c r="C60" s="37"/>
      <c r="D60" s="37"/>
      <c r="E60" s="37"/>
      <c r="F60" s="37"/>
      <c r="G60" s="126">
        <v>120</v>
      </c>
      <c r="H60" s="36">
        <f t="shared" si="6"/>
        <v>1981.9551132118477</v>
      </c>
      <c r="I60" s="37">
        <f t="shared" si="7"/>
        <v>2</v>
      </c>
      <c r="J60" s="36">
        <f t="shared" si="5"/>
        <v>990.97755660592384</v>
      </c>
      <c r="K60" s="36">
        <f t="shared" si="4"/>
        <v>238794.85844477612</v>
      </c>
      <c r="M60" s="1">
        <f t="shared" si="2"/>
        <v>0.5</v>
      </c>
    </row>
  </sheetData>
  <mergeCells count="7">
    <mergeCell ref="B10:E10"/>
    <mergeCell ref="B4:E4"/>
    <mergeCell ref="B5:E5"/>
    <mergeCell ref="B6:E6"/>
    <mergeCell ref="B7:E7"/>
    <mergeCell ref="B8:E8"/>
    <mergeCell ref="B9:E9"/>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DBA92-8627-4564-A1EF-122142E3CFDC}">
  <dimension ref="A1:F1213"/>
  <sheetViews>
    <sheetView workbookViewId="0">
      <selection activeCell="F1212" sqref="F1212"/>
    </sheetView>
  </sheetViews>
  <sheetFormatPr defaultRowHeight="14.4"/>
  <cols>
    <col min="1" max="1" width="12.88671875" bestFit="1" customWidth="1"/>
    <col min="2" max="2" width="6.88671875" bestFit="1" customWidth="1"/>
    <col min="3" max="3" width="8.6640625" bestFit="1" customWidth="1"/>
    <col min="4" max="4" width="9.33203125" bestFit="1" customWidth="1"/>
    <col min="5" max="5" width="8" bestFit="1" customWidth="1"/>
    <col min="6" max="6" width="19.5546875" bestFit="1" customWidth="1"/>
  </cols>
  <sheetData>
    <row r="1" spans="1:6">
      <c r="A1" t="s">
        <v>6</v>
      </c>
      <c r="B1" t="s">
        <v>7</v>
      </c>
      <c r="C1" t="s">
        <v>8</v>
      </c>
      <c r="D1" t="s">
        <v>9</v>
      </c>
      <c r="E1" t="s">
        <v>10</v>
      </c>
      <c r="F1" t="s">
        <v>11</v>
      </c>
    </row>
    <row r="2" spans="1:6">
      <c r="A2" t="s">
        <v>12</v>
      </c>
      <c r="B2">
        <v>1925</v>
      </c>
      <c r="C2" t="s">
        <v>13</v>
      </c>
      <c r="D2" s="5">
        <v>9133</v>
      </c>
      <c r="E2">
        <v>17.3</v>
      </c>
      <c r="F2">
        <v>0</v>
      </c>
    </row>
    <row r="3" spans="1:6" hidden="1">
      <c r="A3" t="s">
        <v>12</v>
      </c>
      <c r="B3">
        <v>1925</v>
      </c>
      <c r="C3" t="s">
        <v>14</v>
      </c>
      <c r="D3" s="5">
        <v>9164</v>
      </c>
      <c r="E3">
        <v>17.2</v>
      </c>
      <c r="F3">
        <v>0</v>
      </c>
    </row>
    <row r="4" spans="1:6" hidden="1">
      <c r="A4" t="s">
        <v>12</v>
      </c>
      <c r="B4">
        <v>1925</v>
      </c>
      <c r="C4" t="s">
        <v>15</v>
      </c>
      <c r="D4" s="5">
        <v>9192</v>
      </c>
      <c r="E4">
        <v>17.3</v>
      </c>
      <c r="F4">
        <v>1.2</v>
      </c>
    </row>
    <row r="5" spans="1:6" hidden="1">
      <c r="A5" t="s">
        <v>12</v>
      </c>
      <c r="B5">
        <v>1925</v>
      </c>
      <c r="C5" t="s">
        <v>16</v>
      </c>
      <c r="D5" s="5">
        <v>9223</v>
      </c>
      <c r="E5">
        <v>17.2</v>
      </c>
      <c r="F5">
        <v>1.2</v>
      </c>
    </row>
    <row r="6" spans="1:6" hidden="1">
      <c r="A6" t="s">
        <v>12</v>
      </c>
      <c r="B6">
        <v>1925</v>
      </c>
      <c r="C6" t="s">
        <v>17</v>
      </c>
      <c r="D6" s="5">
        <v>9253</v>
      </c>
      <c r="E6">
        <v>17.3</v>
      </c>
      <c r="F6">
        <v>1.8</v>
      </c>
    </row>
    <row r="7" spans="1:6" hidden="1">
      <c r="A7" t="s">
        <v>12</v>
      </c>
      <c r="B7">
        <v>1925</v>
      </c>
      <c r="C7" t="s">
        <v>18</v>
      </c>
      <c r="D7" s="5">
        <v>9284</v>
      </c>
      <c r="E7">
        <v>17.5</v>
      </c>
      <c r="F7">
        <v>2.9</v>
      </c>
    </row>
    <row r="8" spans="1:6" hidden="1">
      <c r="A8" t="s">
        <v>12</v>
      </c>
      <c r="B8">
        <v>1925</v>
      </c>
      <c r="C8" t="s">
        <v>19</v>
      </c>
      <c r="D8" s="5">
        <v>9314</v>
      </c>
      <c r="E8">
        <v>17.7</v>
      </c>
      <c r="F8">
        <v>3.5</v>
      </c>
    </row>
    <row r="9" spans="1:6" hidden="1">
      <c r="A9" t="s">
        <v>12</v>
      </c>
      <c r="B9">
        <v>1925</v>
      </c>
      <c r="C9" t="s">
        <v>20</v>
      </c>
      <c r="D9" s="5">
        <v>9345</v>
      </c>
      <c r="E9">
        <v>17.7</v>
      </c>
      <c r="F9">
        <v>4.0999999999999996</v>
      </c>
    </row>
    <row r="10" spans="1:6" hidden="1">
      <c r="A10" t="s">
        <v>12</v>
      </c>
      <c r="B10">
        <v>1925</v>
      </c>
      <c r="C10" t="s">
        <v>21</v>
      </c>
      <c r="D10" s="5">
        <v>9376</v>
      </c>
      <c r="E10">
        <v>17.7</v>
      </c>
      <c r="F10">
        <v>3.5</v>
      </c>
    </row>
    <row r="11" spans="1:6" hidden="1">
      <c r="A11" t="s">
        <v>12</v>
      </c>
      <c r="B11">
        <v>1925</v>
      </c>
      <c r="C11" t="s">
        <v>22</v>
      </c>
      <c r="D11" s="5">
        <v>9406</v>
      </c>
      <c r="E11">
        <v>17.7</v>
      </c>
      <c r="F11">
        <v>2.9</v>
      </c>
    </row>
    <row r="12" spans="1:6" hidden="1">
      <c r="A12" t="s">
        <v>12</v>
      </c>
      <c r="B12">
        <v>1925</v>
      </c>
      <c r="C12" t="s">
        <v>23</v>
      </c>
      <c r="D12" s="5">
        <v>9437</v>
      </c>
      <c r="E12">
        <v>18</v>
      </c>
      <c r="F12">
        <v>4.7</v>
      </c>
    </row>
    <row r="13" spans="1:6" hidden="1">
      <c r="A13" t="s">
        <v>12</v>
      </c>
      <c r="B13">
        <v>1925</v>
      </c>
      <c r="C13" t="s">
        <v>24</v>
      </c>
      <c r="D13" s="5">
        <v>9467</v>
      </c>
      <c r="E13">
        <v>17.899999999999999</v>
      </c>
      <c r="F13">
        <v>3.5</v>
      </c>
    </row>
    <row r="14" spans="1:6">
      <c r="A14" t="s">
        <v>12</v>
      </c>
      <c r="B14">
        <v>1926</v>
      </c>
      <c r="C14" t="s">
        <v>13</v>
      </c>
      <c r="D14" s="5">
        <v>9498</v>
      </c>
      <c r="E14">
        <v>17.899999999999999</v>
      </c>
      <c r="F14">
        <v>3.5</v>
      </c>
    </row>
    <row r="15" spans="1:6" hidden="1">
      <c r="A15" t="s">
        <v>12</v>
      </c>
      <c r="B15">
        <v>1926</v>
      </c>
      <c r="C15" t="s">
        <v>14</v>
      </c>
      <c r="D15" s="5">
        <v>9529</v>
      </c>
      <c r="E15">
        <v>17.899999999999999</v>
      </c>
      <c r="F15">
        <v>4.0999999999999996</v>
      </c>
    </row>
    <row r="16" spans="1:6" hidden="1">
      <c r="A16" t="s">
        <v>12</v>
      </c>
      <c r="B16">
        <v>1926</v>
      </c>
      <c r="C16" t="s">
        <v>15</v>
      </c>
      <c r="D16" s="5">
        <v>9557</v>
      </c>
      <c r="E16">
        <v>17.8</v>
      </c>
      <c r="F16">
        <v>2.9</v>
      </c>
    </row>
    <row r="17" spans="1:6" hidden="1">
      <c r="A17" t="s">
        <v>12</v>
      </c>
      <c r="B17">
        <v>1926</v>
      </c>
      <c r="C17" t="s">
        <v>16</v>
      </c>
      <c r="D17" s="5">
        <v>9588</v>
      </c>
      <c r="E17">
        <v>17.899999999999999</v>
      </c>
      <c r="F17">
        <v>4.0999999999999996</v>
      </c>
    </row>
    <row r="18" spans="1:6" hidden="1">
      <c r="A18" t="s">
        <v>12</v>
      </c>
      <c r="B18">
        <v>1926</v>
      </c>
      <c r="C18" t="s">
        <v>17</v>
      </c>
      <c r="D18" s="5">
        <v>9618</v>
      </c>
      <c r="E18">
        <v>17.8</v>
      </c>
      <c r="F18">
        <v>2.9</v>
      </c>
    </row>
    <row r="19" spans="1:6" hidden="1">
      <c r="A19" t="s">
        <v>12</v>
      </c>
      <c r="B19">
        <v>1926</v>
      </c>
      <c r="C19" t="s">
        <v>18</v>
      </c>
      <c r="D19" s="5">
        <v>9649</v>
      </c>
      <c r="E19">
        <v>17.7</v>
      </c>
      <c r="F19">
        <v>1.1000000000000001</v>
      </c>
    </row>
    <row r="20" spans="1:6" hidden="1">
      <c r="A20" t="s">
        <v>12</v>
      </c>
      <c r="B20">
        <v>1926</v>
      </c>
      <c r="C20" t="s">
        <v>19</v>
      </c>
      <c r="D20" s="5">
        <v>9679</v>
      </c>
      <c r="E20">
        <v>17.5</v>
      </c>
      <c r="F20">
        <v>-1.1000000000000001</v>
      </c>
    </row>
    <row r="21" spans="1:6" hidden="1">
      <c r="A21" t="s">
        <v>12</v>
      </c>
      <c r="B21">
        <v>1926</v>
      </c>
      <c r="C21" t="s">
        <v>20</v>
      </c>
      <c r="D21" s="5">
        <v>9710</v>
      </c>
      <c r="E21">
        <v>17.399999999999999</v>
      </c>
      <c r="F21">
        <v>-1.7</v>
      </c>
    </row>
    <row r="22" spans="1:6" hidden="1">
      <c r="A22" t="s">
        <v>12</v>
      </c>
      <c r="B22">
        <v>1926</v>
      </c>
      <c r="C22" t="s">
        <v>21</v>
      </c>
      <c r="D22" s="5">
        <v>9741</v>
      </c>
      <c r="E22">
        <v>17.5</v>
      </c>
      <c r="F22">
        <v>-1.1000000000000001</v>
      </c>
    </row>
    <row r="23" spans="1:6" hidden="1">
      <c r="A23" t="s">
        <v>12</v>
      </c>
      <c r="B23">
        <v>1926</v>
      </c>
      <c r="C23" t="s">
        <v>22</v>
      </c>
      <c r="D23" s="5">
        <v>9771</v>
      </c>
      <c r="E23">
        <v>17.600000000000001</v>
      </c>
      <c r="F23">
        <v>-0.6</v>
      </c>
    </row>
    <row r="24" spans="1:6" hidden="1">
      <c r="A24" t="s">
        <v>12</v>
      </c>
      <c r="B24">
        <v>1926</v>
      </c>
      <c r="C24" t="s">
        <v>23</v>
      </c>
      <c r="D24" s="5">
        <v>9802</v>
      </c>
      <c r="E24">
        <v>17.7</v>
      </c>
      <c r="F24">
        <v>-1.7</v>
      </c>
    </row>
    <row r="25" spans="1:6" hidden="1">
      <c r="A25" t="s">
        <v>12</v>
      </c>
      <c r="B25">
        <v>1926</v>
      </c>
      <c r="C25" t="s">
        <v>24</v>
      </c>
      <c r="D25" s="5">
        <v>9832</v>
      </c>
      <c r="E25">
        <v>17.7</v>
      </c>
      <c r="F25">
        <v>-1.1000000000000001</v>
      </c>
    </row>
    <row r="26" spans="1:6">
      <c r="A26" t="s">
        <v>12</v>
      </c>
      <c r="B26">
        <v>1927</v>
      </c>
      <c r="C26" t="s">
        <v>13</v>
      </c>
      <c r="D26" s="5">
        <v>9863</v>
      </c>
      <c r="E26">
        <v>17.5</v>
      </c>
      <c r="F26">
        <v>-2.2000000000000002</v>
      </c>
    </row>
    <row r="27" spans="1:6" hidden="1">
      <c r="A27" t="s">
        <v>12</v>
      </c>
      <c r="B27">
        <v>1927</v>
      </c>
      <c r="C27" t="s">
        <v>14</v>
      </c>
      <c r="D27" s="5">
        <v>9894</v>
      </c>
      <c r="E27">
        <v>17.399999999999999</v>
      </c>
      <c r="F27">
        <v>-2.8</v>
      </c>
    </row>
    <row r="28" spans="1:6" hidden="1">
      <c r="A28" t="s">
        <v>12</v>
      </c>
      <c r="B28">
        <v>1927</v>
      </c>
      <c r="C28" t="s">
        <v>15</v>
      </c>
      <c r="D28" s="5">
        <v>9922</v>
      </c>
      <c r="E28">
        <v>17.3</v>
      </c>
      <c r="F28">
        <v>-2.8</v>
      </c>
    </row>
    <row r="29" spans="1:6" hidden="1">
      <c r="A29" t="s">
        <v>12</v>
      </c>
      <c r="B29">
        <v>1927</v>
      </c>
      <c r="C29" t="s">
        <v>16</v>
      </c>
      <c r="D29" s="5">
        <v>9953</v>
      </c>
      <c r="E29">
        <v>17.3</v>
      </c>
      <c r="F29">
        <v>-3.4</v>
      </c>
    </row>
    <row r="30" spans="1:6" hidden="1">
      <c r="A30" t="s">
        <v>12</v>
      </c>
      <c r="B30">
        <v>1927</v>
      </c>
      <c r="C30" t="s">
        <v>17</v>
      </c>
      <c r="D30" s="5">
        <v>9983</v>
      </c>
      <c r="E30">
        <v>17.399999999999999</v>
      </c>
      <c r="F30">
        <v>-2.2000000000000002</v>
      </c>
    </row>
    <row r="31" spans="1:6" hidden="1">
      <c r="A31" t="s">
        <v>12</v>
      </c>
      <c r="B31">
        <v>1927</v>
      </c>
      <c r="C31" t="s">
        <v>18</v>
      </c>
      <c r="D31" s="5">
        <v>10014</v>
      </c>
      <c r="E31">
        <v>17.600000000000001</v>
      </c>
      <c r="F31">
        <v>-0.6</v>
      </c>
    </row>
    <row r="32" spans="1:6" hidden="1">
      <c r="A32" t="s">
        <v>12</v>
      </c>
      <c r="B32">
        <v>1927</v>
      </c>
      <c r="C32" t="s">
        <v>19</v>
      </c>
      <c r="D32" s="5">
        <v>10044</v>
      </c>
      <c r="E32">
        <v>17.3</v>
      </c>
      <c r="F32">
        <v>-1.1000000000000001</v>
      </c>
    </row>
    <row r="33" spans="1:6" hidden="1">
      <c r="A33" t="s">
        <v>12</v>
      </c>
      <c r="B33">
        <v>1927</v>
      </c>
      <c r="C33" t="s">
        <v>20</v>
      </c>
      <c r="D33" s="5">
        <v>10075</v>
      </c>
      <c r="E33">
        <v>17.2</v>
      </c>
      <c r="F33">
        <v>-1.1000000000000001</v>
      </c>
    </row>
    <row r="34" spans="1:6" hidden="1">
      <c r="A34" t="s">
        <v>12</v>
      </c>
      <c r="B34">
        <v>1927</v>
      </c>
      <c r="C34" t="s">
        <v>21</v>
      </c>
      <c r="D34" s="5">
        <v>10106</v>
      </c>
      <c r="E34">
        <v>17.3</v>
      </c>
      <c r="F34">
        <v>-1.1000000000000001</v>
      </c>
    </row>
    <row r="35" spans="1:6" hidden="1">
      <c r="A35" t="s">
        <v>12</v>
      </c>
      <c r="B35">
        <v>1927</v>
      </c>
      <c r="C35" t="s">
        <v>22</v>
      </c>
      <c r="D35" s="5">
        <v>10136</v>
      </c>
      <c r="E35">
        <v>17.399999999999999</v>
      </c>
      <c r="F35">
        <v>-1.1000000000000001</v>
      </c>
    </row>
    <row r="36" spans="1:6" hidden="1">
      <c r="A36" t="s">
        <v>12</v>
      </c>
      <c r="B36">
        <v>1927</v>
      </c>
      <c r="C36" t="s">
        <v>23</v>
      </c>
      <c r="D36" s="5">
        <v>10167</v>
      </c>
      <c r="E36">
        <v>17.3</v>
      </c>
      <c r="F36">
        <v>-2.2999999999999998</v>
      </c>
    </row>
    <row r="37" spans="1:6" hidden="1">
      <c r="A37" t="s">
        <v>12</v>
      </c>
      <c r="B37">
        <v>1927</v>
      </c>
      <c r="C37" t="s">
        <v>24</v>
      </c>
      <c r="D37" s="5">
        <v>10197</v>
      </c>
      <c r="E37">
        <v>17.3</v>
      </c>
      <c r="F37">
        <v>-2.2999999999999998</v>
      </c>
    </row>
    <row r="38" spans="1:6">
      <c r="A38" t="s">
        <v>12</v>
      </c>
      <c r="B38">
        <v>1928</v>
      </c>
      <c r="C38" t="s">
        <v>13</v>
      </c>
      <c r="D38" s="5">
        <v>10228</v>
      </c>
      <c r="E38">
        <v>17.3</v>
      </c>
      <c r="F38">
        <v>-1.1000000000000001</v>
      </c>
    </row>
    <row r="39" spans="1:6" hidden="1">
      <c r="A39" t="s">
        <v>12</v>
      </c>
      <c r="B39">
        <v>1928</v>
      </c>
      <c r="C39" t="s">
        <v>14</v>
      </c>
      <c r="D39" s="5">
        <v>10259</v>
      </c>
      <c r="E39">
        <v>17.100000000000001</v>
      </c>
      <c r="F39">
        <v>-1.7</v>
      </c>
    </row>
    <row r="40" spans="1:6" hidden="1">
      <c r="A40" t="s">
        <v>12</v>
      </c>
      <c r="B40">
        <v>1928</v>
      </c>
      <c r="C40" t="s">
        <v>15</v>
      </c>
      <c r="D40" s="5">
        <v>10288</v>
      </c>
      <c r="E40">
        <v>17.100000000000001</v>
      </c>
      <c r="F40">
        <v>-1.2</v>
      </c>
    </row>
    <row r="41" spans="1:6" hidden="1">
      <c r="A41" t="s">
        <v>12</v>
      </c>
      <c r="B41">
        <v>1928</v>
      </c>
      <c r="C41" t="s">
        <v>16</v>
      </c>
      <c r="D41" s="5">
        <v>10319</v>
      </c>
      <c r="E41">
        <v>17.100000000000001</v>
      </c>
      <c r="F41">
        <v>-1.2</v>
      </c>
    </row>
    <row r="42" spans="1:6" hidden="1">
      <c r="A42" t="s">
        <v>12</v>
      </c>
      <c r="B42">
        <v>1928</v>
      </c>
      <c r="C42" t="s">
        <v>17</v>
      </c>
      <c r="D42" s="5">
        <v>10349</v>
      </c>
      <c r="E42">
        <v>17.2</v>
      </c>
      <c r="F42">
        <v>-1.1000000000000001</v>
      </c>
    </row>
    <row r="43" spans="1:6" hidden="1">
      <c r="A43" t="s">
        <v>12</v>
      </c>
      <c r="B43">
        <v>1928</v>
      </c>
      <c r="C43" t="s">
        <v>18</v>
      </c>
      <c r="D43" s="5">
        <v>10380</v>
      </c>
      <c r="E43">
        <v>17.100000000000001</v>
      </c>
      <c r="F43">
        <v>-2.8</v>
      </c>
    </row>
    <row r="44" spans="1:6" hidden="1">
      <c r="A44" t="s">
        <v>12</v>
      </c>
      <c r="B44">
        <v>1928</v>
      </c>
      <c r="C44" t="s">
        <v>19</v>
      </c>
      <c r="D44" s="5">
        <v>10410</v>
      </c>
      <c r="E44">
        <v>17.100000000000001</v>
      </c>
      <c r="F44">
        <v>-1.2</v>
      </c>
    </row>
    <row r="45" spans="1:6" hidden="1">
      <c r="A45" t="s">
        <v>12</v>
      </c>
      <c r="B45">
        <v>1928</v>
      </c>
      <c r="C45" t="s">
        <v>20</v>
      </c>
      <c r="D45" s="5">
        <v>10441</v>
      </c>
      <c r="E45">
        <v>17.100000000000001</v>
      </c>
      <c r="F45">
        <v>-0.6</v>
      </c>
    </row>
    <row r="46" spans="1:6" hidden="1">
      <c r="A46" t="s">
        <v>12</v>
      </c>
      <c r="B46">
        <v>1928</v>
      </c>
      <c r="C46" t="s">
        <v>21</v>
      </c>
      <c r="D46" s="5">
        <v>10472</v>
      </c>
      <c r="E46">
        <v>17.3</v>
      </c>
      <c r="F46">
        <v>0</v>
      </c>
    </row>
    <row r="47" spans="1:6" hidden="1">
      <c r="A47" t="s">
        <v>12</v>
      </c>
      <c r="B47">
        <v>1928</v>
      </c>
      <c r="C47" t="s">
        <v>22</v>
      </c>
      <c r="D47" s="5">
        <v>10502</v>
      </c>
      <c r="E47">
        <v>17.2</v>
      </c>
      <c r="F47">
        <v>-1.1000000000000001</v>
      </c>
    </row>
    <row r="48" spans="1:6" hidden="1">
      <c r="A48" t="s">
        <v>12</v>
      </c>
      <c r="B48">
        <v>1928</v>
      </c>
      <c r="C48" t="s">
        <v>23</v>
      </c>
      <c r="D48" s="5">
        <v>10533</v>
      </c>
      <c r="E48">
        <v>17.2</v>
      </c>
      <c r="F48">
        <v>-0.6</v>
      </c>
    </row>
    <row r="49" spans="1:6" hidden="1">
      <c r="A49" t="s">
        <v>12</v>
      </c>
      <c r="B49">
        <v>1928</v>
      </c>
      <c r="C49" t="s">
        <v>24</v>
      </c>
      <c r="D49" s="5">
        <v>10563</v>
      </c>
      <c r="E49">
        <v>17.100000000000001</v>
      </c>
      <c r="F49">
        <v>-1.2</v>
      </c>
    </row>
    <row r="50" spans="1:6">
      <c r="A50" t="s">
        <v>12</v>
      </c>
      <c r="B50">
        <v>1929</v>
      </c>
      <c r="C50" t="s">
        <v>13</v>
      </c>
      <c r="D50" s="5">
        <v>10594</v>
      </c>
      <c r="E50">
        <v>17.100000000000001</v>
      </c>
      <c r="F50">
        <v>-1.2</v>
      </c>
    </row>
    <row r="51" spans="1:6" hidden="1">
      <c r="A51" t="s">
        <v>12</v>
      </c>
      <c r="B51">
        <v>1929</v>
      </c>
      <c r="C51" t="s">
        <v>14</v>
      </c>
      <c r="D51" s="5">
        <v>10625</v>
      </c>
      <c r="E51">
        <v>17.100000000000001</v>
      </c>
      <c r="F51">
        <v>0</v>
      </c>
    </row>
    <row r="52" spans="1:6" hidden="1">
      <c r="A52" t="s">
        <v>12</v>
      </c>
      <c r="B52">
        <v>1929</v>
      </c>
      <c r="C52" t="s">
        <v>15</v>
      </c>
      <c r="D52" s="5">
        <v>10653</v>
      </c>
      <c r="E52">
        <v>17</v>
      </c>
      <c r="F52">
        <v>-0.6</v>
      </c>
    </row>
    <row r="53" spans="1:6" hidden="1">
      <c r="A53" t="s">
        <v>12</v>
      </c>
      <c r="B53">
        <v>1929</v>
      </c>
      <c r="C53" t="s">
        <v>16</v>
      </c>
      <c r="D53" s="5">
        <v>10684</v>
      </c>
      <c r="E53">
        <v>16.899999999999999</v>
      </c>
      <c r="F53">
        <v>-1.2</v>
      </c>
    </row>
    <row r="54" spans="1:6" hidden="1">
      <c r="A54" t="s">
        <v>12</v>
      </c>
      <c r="B54">
        <v>1929</v>
      </c>
      <c r="C54" t="s">
        <v>17</v>
      </c>
      <c r="D54" s="5">
        <v>10714</v>
      </c>
      <c r="E54">
        <v>17</v>
      </c>
      <c r="F54">
        <v>-1.2</v>
      </c>
    </row>
    <row r="55" spans="1:6" hidden="1">
      <c r="A55" t="s">
        <v>12</v>
      </c>
      <c r="B55">
        <v>1929</v>
      </c>
      <c r="C55" t="s">
        <v>18</v>
      </c>
      <c r="D55" s="5">
        <v>10745</v>
      </c>
      <c r="E55">
        <v>17.100000000000001</v>
      </c>
      <c r="F55">
        <v>0</v>
      </c>
    </row>
    <row r="56" spans="1:6" hidden="1">
      <c r="A56" t="s">
        <v>12</v>
      </c>
      <c r="B56">
        <v>1929</v>
      </c>
      <c r="C56" t="s">
        <v>19</v>
      </c>
      <c r="D56" s="5">
        <v>10775</v>
      </c>
      <c r="E56">
        <v>17.3</v>
      </c>
      <c r="F56">
        <v>1.2</v>
      </c>
    </row>
    <row r="57" spans="1:6" hidden="1">
      <c r="A57" t="s">
        <v>12</v>
      </c>
      <c r="B57">
        <v>1929</v>
      </c>
      <c r="C57" t="s">
        <v>20</v>
      </c>
      <c r="D57" s="5">
        <v>10806</v>
      </c>
      <c r="E57">
        <v>17.3</v>
      </c>
      <c r="F57">
        <v>1.2</v>
      </c>
    </row>
    <row r="58" spans="1:6" hidden="1">
      <c r="A58" t="s">
        <v>12</v>
      </c>
      <c r="B58">
        <v>1929</v>
      </c>
      <c r="C58" t="s">
        <v>21</v>
      </c>
      <c r="D58" s="5">
        <v>10837</v>
      </c>
      <c r="E58">
        <v>17.3</v>
      </c>
      <c r="F58">
        <v>0</v>
      </c>
    </row>
    <row r="59" spans="1:6" hidden="1">
      <c r="A59" t="s">
        <v>12</v>
      </c>
      <c r="B59">
        <v>1929</v>
      </c>
      <c r="C59" t="s">
        <v>22</v>
      </c>
      <c r="D59" s="5">
        <v>10867</v>
      </c>
      <c r="E59">
        <v>17.3</v>
      </c>
      <c r="F59">
        <v>0.6</v>
      </c>
    </row>
    <row r="60" spans="1:6" hidden="1">
      <c r="A60" t="s">
        <v>12</v>
      </c>
      <c r="B60">
        <v>1929</v>
      </c>
      <c r="C60" t="s">
        <v>23</v>
      </c>
      <c r="D60" s="5">
        <v>10898</v>
      </c>
      <c r="E60">
        <v>17.3</v>
      </c>
      <c r="F60">
        <v>0.6</v>
      </c>
    </row>
    <row r="61" spans="1:6" hidden="1">
      <c r="A61" t="s">
        <v>12</v>
      </c>
      <c r="B61">
        <v>1929</v>
      </c>
      <c r="C61" t="s">
        <v>24</v>
      </c>
      <c r="D61" s="5">
        <v>10928</v>
      </c>
      <c r="E61">
        <v>17.2</v>
      </c>
      <c r="F61">
        <v>0.6</v>
      </c>
    </row>
    <row r="62" spans="1:6">
      <c r="A62" t="s">
        <v>12</v>
      </c>
      <c r="B62">
        <v>1930</v>
      </c>
      <c r="C62" t="s">
        <v>13</v>
      </c>
      <c r="D62" s="5">
        <v>10959</v>
      </c>
      <c r="E62">
        <v>17.100000000000001</v>
      </c>
      <c r="F62">
        <v>0</v>
      </c>
    </row>
    <row r="63" spans="1:6" hidden="1">
      <c r="A63" t="s">
        <v>12</v>
      </c>
      <c r="B63">
        <v>1930</v>
      </c>
      <c r="C63" t="s">
        <v>14</v>
      </c>
      <c r="D63" s="5">
        <v>10990</v>
      </c>
      <c r="E63">
        <v>17</v>
      </c>
      <c r="F63">
        <v>-0.6</v>
      </c>
    </row>
    <row r="64" spans="1:6" hidden="1">
      <c r="A64" t="s">
        <v>12</v>
      </c>
      <c r="B64">
        <v>1930</v>
      </c>
      <c r="C64" t="s">
        <v>15</v>
      </c>
      <c r="D64" s="5">
        <v>11018</v>
      </c>
      <c r="E64">
        <v>16.899999999999999</v>
      </c>
      <c r="F64">
        <v>-0.6</v>
      </c>
    </row>
    <row r="65" spans="1:6" hidden="1">
      <c r="A65" t="s">
        <v>12</v>
      </c>
      <c r="B65">
        <v>1930</v>
      </c>
      <c r="C65" t="s">
        <v>16</v>
      </c>
      <c r="D65" s="5">
        <v>11049</v>
      </c>
      <c r="E65">
        <v>17</v>
      </c>
      <c r="F65">
        <v>0.6</v>
      </c>
    </row>
    <row r="66" spans="1:6" hidden="1">
      <c r="A66" t="s">
        <v>12</v>
      </c>
      <c r="B66">
        <v>1930</v>
      </c>
      <c r="C66" t="s">
        <v>17</v>
      </c>
      <c r="D66" s="5">
        <v>11079</v>
      </c>
      <c r="E66">
        <v>16.899999999999999</v>
      </c>
      <c r="F66">
        <v>-0.6</v>
      </c>
    </row>
    <row r="67" spans="1:6" hidden="1">
      <c r="A67" t="s">
        <v>12</v>
      </c>
      <c r="B67">
        <v>1930</v>
      </c>
      <c r="C67" t="s">
        <v>18</v>
      </c>
      <c r="D67" s="5">
        <v>11110</v>
      </c>
      <c r="E67">
        <v>16.8</v>
      </c>
      <c r="F67">
        <v>-1.8</v>
      </c>
    </row>
    <row r="68" spans="1:6" hidden="1">
      <c r="A68" t="s">
        <v>12</v>
      </c>
      <c r="B68">
        <v>1930</v>
      </c>
      <c r="C68" t="s">
        <v>19</v>
      </c>
      <c r="D68" s="5">
        <v>11140</v>
      </c>
      <c r="E68">
        <v>16.600000000000001</v>
      </c>
      <c r="F68">
        <v>-4</v>
      </c>
    </row>
    <row r="69" spans="1:6" hidden="1">
      <c r="A69" t="s">
        <v>12</v>
      </c>
      <c r="B69">
        <v>1930</v>
      </c>
      <c r="C69" t="s">
        <v>20</v>
      </c>
      <c r="D69" s="5">
        <v>11171</v>
      </c>
      <c r="E69">
        <v>16.5</v>
      </c>
      <c r="F69">
        <v>-4.5999999999999996</v>
      </c>
    </row>
    <row r="70" spans="1:6" hidden="1">
      <c r="A70" t="s">
        <v>12</v>
      </c>
      <c r="B70">
        <v>1930</v>
      </c>
      <c r="C70" t="s">
        <v>21</v>
      </c>
      <c r="D70" s="5">
        <v>11202</v>
      </c>
      <c r="E70">
        <v>16.600000000000001</v>
      </c>
      <c r="F70">
        <v>-4</v>
      </c>
    </row>
    <row r="71" spans="1:6" hidden="1">
      <c r="A71" t="s">
        <v>12</v>
      </c>
      <c r="B71">
        <v>1930</v>
      </c>
      <c r="C71" t="s">
        <v>22</v>
      </c>
      <c r="D71" s="5">
        <v>11232</v>
      </c>
      <c r="E71">
        <v>16.5</v>
      </c>
      <c r="F71">
        <v>-4.5999999999999996</v>
      </c>
    </row>
    <row r="72" spans="1:6" hidden="1">
      <c r="A72" t="s">
        <v>12</v>
      </c>
      <c r="B72">
        <v>1930</v>
      </c>
      <c r="C72" t="s">
        <v>23</v>
      </c>
      <c r="D72" s="5">
        <v>11263</v>
      </c>
      <c r="E72">
        <v>16.399999999999999</v>
      </c>
      <c r="F72">
        <v>-5.2</v>
      </c>
    </row>
    <row r="73" spans="1:6" hidden="1">
      <c r="A73" t="s">
        <v>12</v>
      </c>
      <c r="B73">
        <v>1930</v>
      </c>
      <c r="C73" t="s">
        <v>24</v>
      </c>
      <c r="D73" s="5">
        <v>11293</v>
      </c>
      <c r="E73">
        <v>16.100000000000001</v>
      </c>
      <c r="F73">
        <v>-6.4</v>
      </c>
    </row>
    <row r="74" spans="1:6">
      <c r="A74" t="s">
        <v>12</v>
      </c>
      <c r="B74">
        <v>1931</v>
      </c>
      <c r="C74" t="s">
        <v>13</v>
      </c>
      <c r="D74" s="5">
        <v>11324</v>
      </c>
      <c r="E74">
        <v>15.9</v>
      </c>
      <c r="F74">
        <v>-7</v>
      </c>
    </row>
    <row r="75" spans="1:6" hidden="1">
      <c r="A75" t="s">
        <v>12</v>
      </c>
      <c r="B75">
        <v>1931</v>
      </c>
      <c r="C75" t="s">
        <v>14</v>
      </c>
      <c r="D75" s="5">
        <v>11355</v>
      </c>
      <c r="E75">
        <v>15.7</v>
      </c>
      <c r="F75">
        <v>-7.6</v>
      </c>
    </row>
    <row r="76" spans="1:6" hidden="1">
      <c r="A76" t="s">
        <v>12</v>
      </c>
      <c r="B76">
        <v>1931</v>
      </c>
      <c r="C76" t="s">
        <v>15</v>
      </c>
      <c r="D76" s="5">
        <v>11383</v>
      </c>
      <c r="E76">
        <v>15.6</v>
      </c>
      <c r="F76">
        <v>-7.7</v>
      </c>
    </row>
    <row r="77" spans="1:6" hidden="1">
      <c r="A77" t="s">
        <v>12</v>
      </c>
      <c r="B77">
        <v>1931</v>
      </c>
      <c r="C77" t="s">
        <v>16</v>
      </c>
      <c r="D77" s="5">
        <v>11414</v>
      </c>
      <c r="E77">
        <v>15.5</v>
      </c>
      <c r="F77">
        <v>-8.8000000000000007</v>
      </c>
    </row>
    <row r="78" spans="1:6" hidden="1">
      <c r="A78" t="s">
        <v>12</v>
      </c>
      <c r="B78">
        <v>1931</v>
      </c>
      <c r="C78" t="s">
        <v>17</v>
      </c>
      <c r="D78" s="5">
        <v>11444</v>
      </c>
      <c r="E78">
        <v>15.3</v>
      </c>
      <c r="F78">
        <v>-9.5</v>
      </c>
    </row>
    <row r="79" spans="1:6" hidden="1">
      <c r="A79" t="s">
        <v>12</v>
      </c>
      <c r="B79">
        <v>1931</v>
      </c>
      <c r="C79" t="s">
        <v>18</v>
      </c>
      <c r="D79" s="5">
        <v>11475</v>
      </c>
      <c r="E79">
        <v>15.1</v>
      </c>
      <c r="F79">
        <v>-10.1</v>
      </c>
    </row>
    <row r="80" spans="1:6" hidden="1">
      <c r="A80" t="s">
        <v>12</v>
      </c>
      <c r="B80">
        <v>1931</v>
      </c>
      <c r="C80" t="s">
        <v>19</v>
      </c>
      <c r="D80" s="5">
        <v>11505</v>
      </c>
      <c r="E80">
        <v>15.1</v>
      </c>
      <c r="F80">
        <v>-9</v>
      </c>
    </row>
    <row r="81" spans="1:6" hidden="1">
      <c r="A81" t="s">
        <v>12</v>
      </c>
      <c r="B81">
        <v>1931</v>
      </c>
      <c r="C81" t="s">
        <v>20</v>
      </c>
      <c r="D81" s="5">
        <v>11536</v>
      </c>
      <c r="E81">
        <v>15.1</v>
      </c>
      <c r="F81">
        <v>-8.5</v>
      </c>
    </row>
    <row r="82" spans="1:6" hidden="1">
      <c r="A82" t="s">
        <v>12</v>
      </c>
      <c r="B82">
        <v>1931</v>
      </c>
      <c r="C82" t="s">
        <v>21</v>
      </c>
      <c r="D82" s="5">
        <v>11567</v>
      </c>
      <c r="E82">
        <v>15</v>
      </c>
      <c r="F82">
        <v>-9.6</v>
      </c>
    </row>
    <row r="83" spans="1:6" hidden="1">
      <c r="A83" t="s">
        <v>12</v>
      </c>
      <c r="B83">
        <v>1931</v>
      </c>
      <c r="C83" t="s">
        <v>22</v>
      </c>
      <c r="D83" s="5">
        <v>11597</v>
      </c>
      <c r="E83">
        <v>14.9</v>
      </c>
      <c r="F83">
        <v>-9.6999999999999993</v>
      </c>
    </row>
    <row r="84" spans="1:6" hidden="1">
      <c r="A84" t="s">
        <v>12</v>
      </c>
      <c r="B84">
        <v>1931</v>
      </c>
      <c r="C84" t="s">
        <v>23</v>
      </c>
      <c r="D84" s="5">
        <v>11628</v>
      </c>
      <c r="E84">
        <v>14.7</v>
      </c>
      <c r="F84">
        <v>-10.4</v>
      </c>
    </row>
    <row r="85" spans="1:6" hidden="1">
      <c r="A85" t="s">
        <v>12</v>
      </c>
      <c r="B85">
        <v>1931</v>
      </c>
      <c r="C85" t="s">
        <v>24</v>
      </c>
      <c r="D85" s="5">
        <v>11658</v>
      </c>
      <c r="E85">
        <v>14.6</v>
      </c>
      <c r="F85">
        <v>-9.3000000000000007</v>
      </c>
    </row>
    <row r="86" spans="1:6">
      <c r="A86" t="s">
        <v>12</v>
      </c>
      <c r="B86">
        <v>1932</v>
      </c>
      <c r="C86" t="s">
        <v>13</v>
      </c>
      <c r="D86" s="5">
        <v>11689</v>
      </c>
      <c r="E86">
        <v>14.3</v>
      </c>
      <c r="F86">
        <v>-10.1</v>
      </c>
    </row>
    <row r="87" spans="1:6" hidden="1">
      <c r="A87" t="s">
        <v>12</v>
      </c>
      <c r="B87">
        <v>1932</v>
      </c>
      <c r="C87" t="s">
        <v>14</v>
      </c>
      <c r="D87" s="5">
        <v>11720</v>
      </c>
      <c r="E87">
        <v>14.1</v>
      </c>
      <c r="F87">
        <v>-10.199999999999999</v>
      </c>
    </row>
    <row r="88" spans="1:6" hidden="1">
      <c r="A88" t="s">
        <v>12</v>
      </c>
      <c r="B88">
        <v>1932</v>
      </c>
      <c r="C88" t="s">
        <v>15</v>
      </c>
      <c r="D88" s="5">
        <v>11749</v>
      </c>
      <c r="E88">
        <v>14</v>
      </c>
      <c r="F88">
        <v>-10.3</v>
      </c>
    </row>
    <row r="89" spans="1:6" hidden="1">
      <c r="A89" t="s">
        <v>12</v>
      </c>
      <c r="B89">
        <v>1932</v>
      </c>
      <c r="C89" t="s">
        <v>16</v>
      </c>
      <c r="D89" s="5">
        <v>11780</v>
      </c>
      <c r="E89">
        <v>13.9</v>
      </c>
      <c r="F89">
        <v>-10.3</v>
      </c>
    </row>
    <row r="90" spans="1:6" hidden="1">
      <c r="A90" t="s">
        <v>12</v>
      </c>
      <c r="B90">
        <v>1932</v>
      </c>
      <c r="C90" t="s">
        <v>17</v>
      </c>
      <c r="D90" s="5">
        <v>11810</v>
      </c>
      <c r="E90">
        <v>13.7</v>
      </c>
      <c r="F90">
        <v>-10.5</v>
      </c>
    </row>
    <row r="91" spans="1:6" hidden="1">
      <c r="A91" t="s">
        <v>12</v>
      </c>
      <c r="B91">
        <v>1932</v>
      </c>
      <c r="C91" t="s">
        <v>18</v>
      </c>
      <c r="D91" s="5">
        <v>11841</v>
      </c>
      <c r="E91">
        <v>13.6</v>
      </c>
      <c r="F91">
        <v>-9.9</v>
      </c>
    </row>
    <row r="92" spans="1:6" hidden="1">
      <c r="A92" t="s">
        <v>12</v>
      </c>
      <c r="B92">
        <v>1932</v>
      </c>
      <c r="C92" t="s">
        <v>19</v>
      </c>
      <c r="D92" s="5">
        <v>11871</v>
      </c>
      <c r="E92">
        <v>13.6</v>
      </c>
      <c r="F92">
        <v>-9.9</v>
      </c>
    </row>
    <row r="93" spans="1:6" hidden="1">
      <c r="A93" t="s">
        <v>12</v>
      </c>
      <c r="B93">
        <v>1932</v>
      </c>
      <c r="C93" t="s">
        <v>20</v>
      </c>
      <c r="D93" s="5">
        <v>11902</v>
      </c>
      <c r="E93">
        <v>13.5</v>
      </c>
      <c r="F93">
        <v>-10.6</v>
      </c>
    </row>
    <row r="94" spans="1:6" hidden="1">
      <c r="A94" t="s">
        <v>12</v>
      </c>
      <c r="B94">
        <v>1932</v>
      </c>
      <c r="C94" t="s">
        <v>21</v>
      </c>
      <c r="D94" s="5">
        <v>11933</v>
      </c>
      <c r="E94">
        <v>13.4</v>
      </c>
      <c r="F94">
        <v>-10.7</v>
      </c>
    </row>
    <row r="95" spans="1:6" hidden="1">
      <c r="A95" t="s">
        <v>12</v>
      </c>
      <c r="B95">
        <v>1932</v>
      </c>
      <c r="C95" t="s">
        <v>22</v>
      </c>
      <c r="D95" s="5">
        <v>11963</v>
      </c>
      <c r="E95">
        <v>13.3</v>
      </c>
      <c r="F95">
        <v>-10.7</v>
      </c>
    </row>
    <row r="96" spans="1:6" hidden="1">
      <c r="A96" t="s">
        <v>12</v>
      </c>
      <c r="B96">
        <v>1932</v>
      </c>
      <c r="C96" t="s">
        <v>23</v>
      </c>
      <c r="D96" s="5">
        <v>11994</v>
      </c>
      <c r="E96">
        <v>13.2</v>
      </c>
      <c r="F96">
        <v>-10.199999999999999</v>
      </c>
    </row>
    <row r="97" spans="1:6" hidden="1">
      <c r="A97" t="s">
        <v>12</v>
      </c>
      <c r="B97">
        <v>1932</v>
      </c>
      <c r="C97" t="s">
        <v>24</v>
      </c>
      <c r="D97" s="5">
        <v>12024</v>
      </c>
      <c r="E97">
        <v>13.1</v>
      </c>
      <c r="F97">
        <v>-10.3</v>
      </c>
    </row>
    <row r="98" spans="1:6">
      <c r="A98" t="s">
        <v>12</v>
      </c>
      <c r="B98">
        <v>1933</v>
      </c>
      <c r="C98" t="s">
        <v>13</v>
      </c>
      <c r="D98" s="5">
        <v>12055</v>
      </c>
      <c r="E98">
        <v>12.9</v>
      </c>
      <c r="F98">
        <v>-9.8000000000000007</v>
      </c>
    </row>
    <row r="99" spans="1:6" hidden="1">
      <c r="A99" t="s">
        <v>12</v>
      </c>
      <c r="B99">
        <v>1933</v>
      </c>
      <c r="C99" t="s">
        <v>14</v>
      </c>
      <c r="D99" s="5">
        <v>12086</v>
      </c>
      <c r="E99">
        <v>12.7</v>
      </c>
      <c r="F99">
        <v>-9.9</v>
      </c>
    </row>
    <row r="100" spans="1:6" hidden="1">
      <c r="A100" t="s">
        <v>12</v>
      </c>
      <c r="B100">
        <v>1933</v>
      </c>
      <c r="C100" t="s">
        <v>15</v>
      </c>
      <c r="D100" s="5">
        <v>12114</v>
      </c>
      <c r="E100">
        <v>12.6</v>
      </c>
      <c r="F100">
        <v>-10</v>
      </c>
    </row>
    <row r="101" spans="1:6" hidden="1">
      <c r="A101" t="s">
        <v>12</v>
      </c>
      <c r="B101">
        <v>1933</v>
      </c>
      <c r="C101" t="s">
        <v>16</v>
      </c>
      <c r="D101" s="5">
        <v>12145</v>
      </c>
      <c r="E101">
        <v>12.6</v>
      </c>
      <c r="F101">
        <v>-9.4</v>
      </c>
    </row>
    <row r="102" spans="1:6" hidden="1">
      <c r="A102" t="s">
        <v>12</v>
      </c>
      <c r="B102">
        <v>1933</v>
      </c>
      <c r="C102" t="s">
        <v>17</v>
      </c>
      <c r="D102" s="5">
        <v>12175</v>
      </c>
      <c r="E102">
        <v>12.6</v>
      </c>
      <c r="F102">
        <v>-8</v>
      </c>
    </row>
    <row r="103" spans="1:6" hidden="1">
      <c r="A103" t="s">
        <v>12</v>
      </c>
      <c r="B103">
        <v>1933</v>
      </c>
      <c r="C103" t="s">
        <v>18</v>
      </c>
      <c r="D103" s="5">
        <v>12206</v>
      </c>
      <c r="E103">
        <v>12.7</v>
      </c>
      <c r="F103">
        <v>-6.6</v>
      </c>
    </row>
    <row r="104" spans="1:6" hidden="1">
      <c r="A104" t="s">
        <v>12</v>
      </c>
      <c r="B104">
        <v>1933</v>
      </c>
      <c r="C104" t="s">
        <v>19</v>
      </c>
      <c r="D104" s="5">
        <v>12236</v>
      </c>
      <c r="E104">
        <v>13.1</v>
      </c>
      <c r="F104">
        <v>-3.7</v>
      </c>
    </row>
    <row r="105" spans="1:6" hidden="1">
      <c r="A105" t="s">
        <v>12</v>
      </c>
      <c r="B105">
        <v>1933</v>
      </c>
      <c r="C105" t="s">
        <v>20</v>
      </c>
      <c r="D105" s="5">
        <v>12267</v>
      </c>
      <c r="E105">
        <v>13.2</v>
      </c>
      <c r="F105">
        <v>-2.2000000000000002</v>
      </c>
    </row>
    <row r="106" spans="1:6" hidden="1">
      <c r="A106" t="s">
        <v>12</v>
      </c>
      <c r="B106">
        <v>1933</v>
      </c>
      <c r="C106" t="s">
        <v>21</v>
      </c>
      <c r="D106" s="5">
        <v>12298</v>
      </c>
      <c r="E106">
        <v>13.2</v>
      </c>
      <c r="F106">
        <v>-1.5</v>
      </c>
    </row>
    <row r="107" spans="1:6" hidden="1">
      <c r="A107" t="s">
        <v>12</v>
      </c>
      <c r="B107">
        <v>1933</v>
      </c>
      <c r="C107" t="s">
        <v>22</v>
      </c>
      <c r="D107" s="5">
        <v>12328</v>
      </c>
      <c r="E107">
        <v>13.2</v>
      </c>
      <c r="F107">
        <v>-0.8</v>
      </c>
    </row>
    <row r="108" spans="1:6" hidden="1">
      <c r="A108" t="s">
        <v>12</v>
      </c>
      <c r="B108">
        <v>1933</v>
      </c>
      <c r="C108" t="s">
        <v>23</v>
      </c>
      <c r="D108" s="5">
        <v>12359</v>
      </c>
      <c r="E108">
        <v>13.2</v>
      </c>
      <c r="F108">
        <v>0</v>
      </c>
    </row>
    <row r="109" spans="1:6" hidden="1">
      <c r="A109" t="s">
        <v>12</v>
      </c>
      <c r="B109">
        <v>1933</v>
      </c>
      <c r="C109" t="s">
        <v>24</v>
      </c>
      <c r="D109" s="5">
        <v>12389</v>
      </c>
      <c r="E109">
        <v>13.2</v>
      </c>
      <c r="F109">
        <v>0.8</v>
      </c>
    </row>
    <row r="110" spans="1:6">
      <c r="A110" t="s">
        <v>12</v>
      </c>
      <c r="B110">
        <v>1934</v>
      </c>
      <c r="C110" t="s">
        <v>13</v>
      </c>
      <c r="D110" s="5">
        <v>12420</v>
      </c>
      <c r="E110">
        <v>13.2</v>
      </c>
      <c r="F110">
        <v>2.2999999999999998</v>
      </c>
    </row>
    <row r="111" spans="1:6" hidden="1">
      <c r="A111" t="s">
        <v>12</v>
      </c>
      <c r="B111">
        <v>1934</v>
      </c>
      <c r="C111" t="s">
        <v>14</v>
      </c>
      <c r="D111" s="5">
        <v>12451</v>
      </c>
      <c r="E111">
        <v>13.3</v>
      </c>
      <c r="F111">
        <v>4.7</v>
      </c>
    </row>
    <row r="112" spans="1:6" hidden="1">
      <c r="A112" t="s">
        <v>12</v>
      </c>
      <c r="B112">
        <v>1934</v>
      </c>
      <c r="C112" t="s">
        <v>15</v>
      </c>
      <c r="D112" s="5">
        <v>12479</v>
      </c>
      <c r="E112">
        <v>13.3</v>
      </c>
      <c r="F112">
        <v>5.6</v>
      </c>
    </row>
    <row r="113" spans="1:6" hidden="1">
      <c r="A113" t="s">
        <v>12</v>
      </c>
      <c r="B113">
        <v>1934</v>
      </c>
      <c r="C113" t="s">
        <v>16</v>
      </c>
      <c r="D113" s="5">
        <v>12510</v>
      </c>
      <c r="E113">
        <v>13.3</v>
      </c>
      <c r="F113">
        <v>5.6</v>
      </c>
    </row>
    <row r="114" spans="1:6" hidden="1">
      <c r="A114" t="s">
        <v>12</v>
      </c>
      <c r="B114">
        <v>1934</v>
      </c>
      <c r="C114" t="s">
        <v>17</v>
      </c>
      <c r="D114" s="5">
        <v>12540</v>
      </c>
      <c r="E114">
        <v>13.3</v>
      </c>
      <c r="F114">
        <v>5.6</v>
      </c>
    </row>
    <row r="115" spans="1:6" hidden="1">
      <c r="A115" t="s">
        <v>12</v>
      </c>
      <c r="B115">
        <v>1934</v>
      </c>
      <c r="C115" t="s">
        <v>18</v>
      </c>
      <c r="D115" s="5">
        <v>12571</v>
      </c>
      <c r="E115">
        <v>13.4</v>
      </c>
      <c r="F115">
        <v>5.5</v>
      </c>
    </row>
    <row r="116" spans="1:6" hidden="1">
      <c r="A116" t="s">
        <v>12</v>
      </c>
      <c r="B116">
        <v>1934</v>
      </c>
      <c r="C116" t="s">
        <v>19</v>
      </c>
      <c r="D116" s="5">
        <v>12601</v>
      </c>
      <c r="E116">
        <v>13.4</v>
      </c>
      <c r="F116">
        <v>2.2999999999999998</v>
      </c>
    </row>
    <row r="117" spans="1:6" hidden="1">
      <c r="A117" t="s">
        <v>12</v>
      </c>
      <c r="B117">
        <v>1934</v>
      </c>
      <c r="C117" t="s">
        <v>20</v>
      </c>
      <c r="D117" s="5">
        <v>12632</v>
      </c>
      <c r="E117">
        <v>13.4</v>
      </c>
      <c r="F117">
        <v>1.5</v>
      </c>
    </row>
    <row r="118" spans="1:6" hidden="1">
      <c r="A118" t="s">
        <v>12</v>
      </c>
      <c r="B118">
        <v>1934</v>
      </c>
      <c r="C118" t="s">
        <v>21</v>
      </c>
      <c r="D118" s="5">
        <v>12663</v>
      </c>
      <c r="E118">
        <v>13.6</v>
      </c>
      <c r="F118">
        <v>3</v>
      </c>
    </row>
    <row r="119" spans="1:6" hidden="1">
      <c r="A119" t="s">
        <v>12</v>
      </c>
      <c r="B119">
        <v>1934</v>
      </c>
      <c r="C119" t="s">
        <v>22</v>
      </c>
      <c r="D119" s="5">
        <v>12693</v>
      </c>
      <c r="E119">
        <v>13.5</v>
      </c>
      <c r="F119">
        <v>2.2999999999999998</v>
      </c>
    </row>
    <row r="120" spans="1:6" hidden="1">
      <c r="A120" t="s">
        <v>12</v>
      </c>
      <c r="B120">
        <v>1934</v>
      </c>
      <c r="C120" t="s">
        <v>23</v>
      </c>
      <c r="D120" s="5">
        <v>12724</v>
      </c>
      <c r="E120">
        <v>13.5</v>
      </c>
      <c r="F120">
        <v>2.2999999999999998</v>
      </c>
    </row>
    <row r="121" spans="1:6" hidden="1">
      <c r="A121" t="s">
        <v>12</v>
      </c>
      <c r="B121">
        <v>1934</v>
      </c>
      <c r="C121" t="s">
        <v>24</v>
      </c>
      <c r="D121" s="5">
        <v>12754</v>
      </c>
      <c r="E121">
        <v>13.4</v>
      </c>
      <c r="F121">
        <v>1.5</v>
      </c>
    </row>
    <row r="122" spans="1:6">
      <c r="A122" t="s">
        <v>12</v>
      </c>
      <c r="B122">
        <v>1935</v>
      </c>
      <c r="C122" t="s">
        <v>13</v>
      </c>
      <c r="D122" s="5">
        <v>12785</v>
      </c>
      <c r="E122">
        <v>13.6</v>
      </c>
      <c r="F122">
        <v>3</v>
      </c>
    </row>
    <row r="123" spans="1:6" hidden="1">
      <c r="A123" t="s">
        <v>12</v>
      </c>
      <c r="B123">
        <v>1935</v>
      </c>
      <c r="C123" t="s">
        <v>14</v>
      </c>
      <c r="D123" s="5">
        <v>12816</v>
      </c>
      <c r="E123">
        <v>13.7</v>
      </c>
      <c r="F123">
        <v>3</v>
      </c>
    </row>
    <row r="124" spans="1:6" hidden="1">
      <c r="A124" t="s">
        <v>12</v>
      </c>
      <c r="B124">
        <v>1935</v>
      </c>
      <c r="C124" t="s">
        <v>15</v>
      </c>
      <c r="D124" s="5">
        <v>12844</v>
      </c>
      <c r="E124">
        <v>13.7</v>
      </c>
      <c r="F124">
        <v>3</v>
      </c>
    </row>
    <row r="125" spans="1:6" hidden="1">
      <c r="A125" t="s">
        <v>12</v>
      </c>
      <c r="B125">
        <v>1935</v>
      </c>
      <c r="C125" t="s">
        <v>16</v>
      </c>
      <c r="D125" s="5">
        <v>12875</v>
      </c>
      <c r="E125">
        <v>13.8</v>
      </c>
      <c r="F125">
        <v>3.8</v>
      </c>
    </row>
    <row r="126" spans="1:6" hidden="1">
      <c r="A126" t="s">
        <v>12</v>
      </c>
      <c r="B126">
        <v>1935</v>
      </c>
      <c r="C126" t="s">
        <v>17</v>
      </c>
      <c r="D126" s="5">
        <v>12905</v>
      </c>
      <c r="E126">
        <v>13.8</v>
      </c>
      <c r="F126">
        <v>3.8</v>
      </c>
    </row>
    <row r="127" spans="1:6" hidden="1">
      <c r="A127" t="s">
        <v>12</v>
      </c>
      <c r="B127">
        <v>1935</v>
      </c>
      <c r="C127" t="s">
        <v>18</v>
      </c>
      <c r="D127" s="5">
        <v>12936</v>
      </c>
      <c r="E127">
        <v>13.7</v>
      </c>
      <c r="F127">
        <v>2.2000000000000002</v>
      </c>
    </row>
    <row r="128" spans="1:6" hidden="1">
      <c r="A128" t="s">
        <v>12</v>
      </c>
      <c r="B128">
        <v>1935</v>
      </c>
      <c r="C128" t="s">
        <v>19</v>
      </c>
      <c r="D128" s="5">
        <v>12966</v>
      </c>
      <c r="E128">
        <v>13.7</v>
      </c>
      <c r="F128">
        <v>2.2000000000000002</v>
      </c>
    </row>
    <row r="129" spans="1:6" hidden="1">
      <c r="A129" t="s">
        <v>12</v>
      </c>
      <c r="B129">
        <v>1935</v>
      </c>
      <c r="C129" t="s">
        <v>20</v>
      </c>
      <c r="D129" s="5">
        <v>12997</v>
      </c>
      <c r="E129">
        <v>13.7</v>
      </c>
      <c r="F129">
        <v>2.2000000000000002</v>
      </c>
    </row>
    <row r="130" spans="1:6" hidden="1">
      <c r="A130" t="s">
        <v>12</v>
      </c>
      <c r="B130">
        <v>1935</v>
      </c>
      <c r="C130" t="s">
        <v>21</v>
      </c>
      <c r="D130" s="5">
        <v>13028</v>
      </c>
      <c r="E130">
        <v>13.7</v>
      </c>
      <c r="F130">
        <v>0.7</v>
      </c>
    </row>
    <row r="131" spans="1:6" hidden="1">
      <c r="A131" t="s">
        <v>12</v>
      </c>
      <c r="B131">
        <v>1935</v>
      </c>
      <c r="C131" t="s">
        <v>22</v>
      </c>
      <c r="D131" s="5">
        <v>13058</v>
      </c>
      <c r="E131">
        <v>13.7</v>
      </c>
      <c r="F131">
        <v>1.5</v>
      </c>
    </row>
    <row r="132" spans="1:6" hidden="1">
      <c r="A132" t="s">
        <v>12</v>
      </c>
      <c r="B132">
        <v>1935</v>
      </c>
      <c r="C132" t="s">
        <v>23</v>
      </c>
      <c r="D132" s="5">
        <v>13089</v>
      </c>
      <c r="E132">
        <v>13.8</v>
      </c>
      <c r="F132">
        <v>2.2000000000000002</v>
      </c>
    </row>
    <row r="133" spans="1:6" hidden="1">
      <c r="A133" t="s">
        <v>12</v>
      </c>
      <c r="B133">
        <v>1935</v>
      </c>
      <c r="C133" t="s">
        <v>24</v>
      </c>
      <c r="D133" s="5">
        <v>13119</v>
      </c>
      <c r="E133">
        <v>13.8</v>
      </c>
      <c r="F133">
        <v>3</v>
      </c>
    </row>
    <row r="134" spans="1:6">
      <c r="A134" t="s">
        <v>12</v>
      </c>
      <c r="B134">
        <v>1936</v>
      </c>
      <c r="C134" t="s">
        <v>13</v>
      </c>
      <c r="D134" s="5">
        <v>13150</v>
      </c>
      <c r="E134">
        <v>13.8</v>
      </c>
      <c r="F134">
        <v>1.5</v>
      </c>
    </row>
    <row r="135" spans="1:6" hidden="1">
      <c r="A135" t="s">
        <v>12</v>
      </c>
      <c r="B135">
        <v>1936</v>
      </c>
      <c r="C135" t="s">
        <v>14</v>
      </c>
      <c r="D135" s="5">
        <v>13181</v>
      </c>
      <c r="E135">
        <v>13.8</v>
      </c>
      <c r="F135">
        <v>0.7</v>
      </c>
    </row>
    <row r="136" spans="1:6" hidden="1">
      <c r="A136" t="s">
        <v>12</v>
      </c>
      <c r="B136">
        <v>1936</v>
      </c>
      <c r="C136" t="s">
        <v>15</v>
      </c>
      <c r="D136" s="5">
        <v>13210</v>
      </c>
      <c r="E136">
        <v>13.7</v>
      </c>
      <c r="F136">
        <v>0</v>
      </c>
    </row>
    <row r="137" spans="1:6" hidden="1">
      <c r="A137" t="s">
        <v>12</v>
      </c>
      <c r="B137">
        <v>1936</v>
      </c>
      <c r="C137" t="s">
        <v>16</v>
      </c>
      <c r="D137" s="5">
        <v>13241</v>
      </c>
      <c r="E137">
        <v>13.7</v>
      </c>
      <c r="F137">
        <v>-0.7</v>
      </c>
    </row>
    <row r="138" spans="1:6" hidden="1">
      <c r="A138" t="s">
        <v>12</v>
      </c>
      <c r="B138">
        <v>1936</v>
      </c>
      <c r="C138" t="s">
        <v>17</v>
      </c>
      <c r="D138" s="5">
        <v>13271</v>
      </c>
      <c r="E138">
        <v>13.7</v>
      </c>
      <c r="F138">
        <v>-0.7</v>
      </c>
    </row>
    <row r="139" spans="1:6" hidden="1">
      <c r="A139" t="s">
        <v>12</v>
      </c>
      <c r="B139">
        <v>1936</v>
      </c>
      <c r="C139" t="s">
        <v>18</v>
      </c>
      <c r="D139" s="5">
        <v>13302</v>
      </c>
      <c r="E139">
        <v>13.8</v>
      </c>
      <c r="F139">
        <v>0.7</v>
      </c>
    </row>
    <row r="140" spans="1:6" hidden="1">
      <c r="A140" t="s">
        <v>12</v>
      </c>
      <c r="B140">
        <v>1936</v>
      </c>
      <c r="C140" t="s">
        <v>19</v>
      </c>
      <c r="D140" s="5">
        <v>13332</v>
      </c>
      <c r="E140">
        <v>13.9</v>
      </c>
      <c r="F140">
        <v>1.5</v>
      </c>
    </row>
    <row r="141" spans="1:6" hidden="1">
      <c r="A141" t="s">
        <v>12</v>
      </c>
      <c r="B141">
        <v>1936</v>
      </c>
      <c r="C141" t="s">
        <v>20</v>
      </c>
      <c r="D141" s="5">
        <v>13363</v>
      </c>
      <c r="E141">
        <v>14</v>
      </c>
      <c r="F141">
        <v>2.2000000000000002</v>
      </c>
    </row>
    <row r="142" spans="1:6" hidden="1">
      <c r="A142" t="s">
        <v>12</v>
      </c>
      <c r="B142">
        <v>1936</v>
      </c>
      <c r="C142" t="s">
        <v>21</v>
      </c>
      <c r="D142" s="5">
        <v>13394</v>
      </c>
      <c r="E142">
        <v>14</v>
      </c>
      <c r="F142">
        <v>2.2000000000000002</v>
      </c>
    </row>
    <row r="143" spans="1:6" hidden="1">
      <c r="A143" t="s">
        <v>12</v>
      </c>
      <c r="B143">
        <v>1936</v>
      </c>
      <c r="C143" t="s">
        <v>22</v>
      </c>
      <c r="D143" s="5">
        <v>13424</v>
      </c>
      <c r="E143">
        <v>14</v>
      </c>
      <c r="F143">
        <v>2.2000000000000002</v>
      </c>
    </row>
    <row r="144" spans="1:6" hidden="1">
      <c r="A144" t="s">
        <v>12</v>
      </c>
      <c r="B144">
        <v>1936</v>
      </c>
      <c r="C144" t="s">
        <v>23</v>
      </c>
      <c r="D144" s="5">
        <v>13455</v>
      </c>
      <c r="E144">
        <v>14</v>
      </c>
      <c r="F144">
        <v>1.4</v>
      </c>
    </row>
    <row r="145" spans="1:6" hidden="1">
      <c r="A145" t="s">
        <v>12</v>
      </c>
      <c r="B145">
        <v>1936</v>
      </c>
      <c r="C145" t="s">
        <v>24</v>
      </c>
      <c r="D145" s="5">
        <v>13485</v>
      </c>
      <c r="E145">
        <v>14</v>
      </c>
      <c r="F145">
        <v>1.4</v>
      </c>
    </row>
    <row r="146" spans="1:6">
      <c r="A146" t="s">
        <v>12</v>
      </c>
      <c r="B146">
        <v>1937</v>
      </c>
      <c r="C146" t="s">
        <v>13</v>
      </c>
      <c r="D146" s="5">
        <v>13516</v>
      </c>
      <c r="E146">
        <v>14.1</v>
      </c>
      <c r="F146">
        <v>2.2000000000000002</v>
      </c>
    </row>
    <row r="147" spans="1:6" hidden="1">
      <c r="A147" t="s">
        <v>12</v>
      </c>
      <c r="B147">
        <v>1937</v>
      </c>
      <c r="C147" t="s">
        <v>14</v>
      </c>
      <c r="D147" s="5">
        <v>13547</v>
      </c>
      <c r="E147">
        <v>14.1</v>
      </c>
      <c r="F147">
        <v>2.2000000000000002</v>
      </c>
    </row>
    <row r="148" spans="1:6" hidden="1">
      <c r="A148" t="s">
        <v>12</v>
      </c>
      <c r="B148">
        <v>1937</v>
      </c>
      <c r="C148" t="s">
        <v>15</v>
      </c>
      <c r="D148" s="5">
        <v>13575</v>
      </c>
      <c r="E148">
        <v>14.2</v>
      </c>
      <c r="F148">
        <v>3.6</v>
      </c>
    </row>
    <row r="149" spans="1:6" hidden="1">
      <c r="A149" t="s">
        <v>12</v>
      </c>
      <c r="B149">
        <v>1937</v>
      </c>
      <c r="C149" t="s">
        <v>16</v>
      </c>
      <c r="D149" s="5">
        <v>13606</v>
      </c>
      <c r="E149">
        <v>14.3</v>
      </c>
      <c r="F149">
        <v>4.4000000000000004</v>
      </c>
    </row>
    <row r="150" spans="1:6" hidden="1">
      <c r="A150" t="s">
        <v>12</v>
      </c>
      <c r="B150">
        <v>1937</v>
      </c>
      <c r="C150" t="s">
        <v>17</v>
      </c>
      <c r="D150" s="5">
        <v>13636</v>
      </c>
      <c r="E150">
        <v>14.4</v>
      </c>
      <c r="F150">
        <v>5.0999999999999996</v>
      </c>
    </row>
    <row r="151" spans="1:6" hidden="1">
      <c r="A151" t="s">
        <v>12</v>
      </c>
      <c r="B151">
        <v>1937</v>
      </c>
      <c r="C151" t="s">
        <v>18</v>
      </c>
      <c r="D151" s="5">
        <v>13667</v>
      </c>
      <c r="E151">
        <v>14.4</v>
      </c>
      <c r="F151">
        <v>4.3</v>
      </c>
    </row>
    <row r="152" spans="1:6" hidden="1">
      <c r="A152" t="s">
        <v>12</v>
      </c>
      <c r="B152">
        <v>1937</v>
      </c>
      <c r="C152" t="s">
        <v>19</v>
      </c>
      <c r="D152" s="5">
        <v>13697</v>
      </c>
      <c r="E152">
        <v>14.5</v>
      </c>
      <c r="F152">
        <v>4.3</v>
      </c>
    </row>
    <row r="153" spans="1:6" hidden="1">
      <c r="A153" t="s">
        <v>12</v>
      </c>
      <c r="B153">
        <v>1937</v>
      </c>
      <c r="C153" t="s">
        <v>20</v>
      </c>
      <c r="D153" s="5">
        <v>13728</v>
      </c>
      <c r="E153">
        <v>14.5</v>
      </c>
      <c r="F153">
        <v>3.6</v>
      </c>
    </row>
    <row r="154" spans="1:6" hidden="1">
      <c r="A154" t="s">
        <v>12</v>
      </c>
      <c r="B154">
        <v>1937</v>
      </c>
      <c r="C154" t="s">
        <v>21</v>
      </c>
      <c r="D154" s="5">
        <v>13759</v>
      </c>
      <c r="E154">
        <v>14.6</v>
      </c>
      <c r="F154">
        <v>4.3</v>
      </c>
    </row>
    <row r="155" spans="1:6" hidden="1">
      <c r="A155" t="s">
        <v>12</v>
      </c>
      <c r="B155">
        <v>1937</v>
      </c>
      <c r="C155" t="s">
        <v>22</v>
      </c>
      <c r="D155" s="5">
        <v>13789</v>
      </c>
      <c r="E155">
        <v>14.6</v>
      </c>
      <c r="F155">
        <v>4.3</v>
      </c>
    </row>
    <row r="156" spans="1:6" hidden="1">
      <c r="A156" t="s">
        <v>12</v>
      </c>
      <c r="B156">
        <v>1937</v>
      </c>
      <c r="C156" t="s">
        <v>23</v>
      </c>
      <c r="D156" s="5">
        <v>13820</v>
      </c>
      <c r="E156">
        <v>14.5</v>
      </c>
      <c r="F156">
        <v>3.6</v>
      </c>
    </row>
    <row r="157" spans="1:6" hidden="1">
      <c r="A157" t="s">
        <v>12</v>
      </c>
      <c r="B157">
        <v>1937</v>
      </c>
      <c r="C157" t="s">
        <v>24</v>
      </c>
      <c r="D157" s="5">
        <v>13850</v>
      </c>
      <c r="E157">
        <v>14.4</v>
      </c>
      <c r="F157">
        <v>2.9</v>
      </c>
    </row>
    <row r="158" spans="1:6">
      <c r="A158" t="s">
        <v>12</v>
      </c>
      <c r="B158">
        <v>1938</v>
      </c>
      <c r="C158" t="s">
        <v>13</v>
      </c>
      <c r="D158" s="5">
        <v>13881</v>
      </c>
      <c r="E158">
        <v>14.2</v>
      </c>
      <c r="F158">
        <v>0.7</v>
      </c>
    </row>
    <row r="159" spans="1:6" hidden="1">
      <c r="A159" t="s">
        <v>12</v>
      </c>
      <c r="B159">
        <v>1938</v>
      </c>
      <c r="C159" t="s">
        <v>14</v>
      </c>
      <c r="D159" s="5">
        <v>13912</v>
      </c>
      <c r="E159">
        <v>14.1</v>
      </c>
      <c r="F159">
        <v>0</v>
      </c>
    </row>
    <row r="160" spans="1:6" hidden="1">
      <c r="A160" t="s">
        <v>12</v>
      </c>
      <c r="B160">
        <v>1938</v>
      </c>
      <c r="C160" t="s">
        <v>15</v>
      </c>
      <c r="D160" s="5">
        <v>13940</v>
      </c>
      <c r="E160">
        <v>14.1</v>
      </c>
      <c r="F160">
        <v>-0.7</v>
      </c>
    </row>
    <row r="161" spans="1:6" hidden="1">
      <c r="A161" t="s">
        <v>12</v>
      </c>
      <c r="B161">
        <v>1938</v>
      </c>
      <c r="C161" t="s">
        <v>16</v>
      </c>
      <c r="D161" s="5">
        <v>13971</v>
      </c>
      <c r="E161">
        <v>14.2</v>
      </c>
      <c r="F161">
        <v>-0.7</v>
      </c>
    </row>
    <row r="162" spans="1:6" hidden="1">
      <c r="A162" t="s">
        <v>12</v>
      </c>
      <c r="B162">
        <v>1938</v>
      </c>
      <c r="C162" t="s">
        <v>17</v>
      </c>
      <c r="D162" s="5">
        <v>14001</v>
      </c>
      <c r="E162">
        <v>14.1</v>
      </c>
      <c r="F162">
        <v>-2.1</v>
      </c>
    </row>
    <row r="163" spans="1:6" hidden="1">
      <c r="A163" t="s">
        <v>12</v>
      </c>
      <c r="B163">
        <v>1938</v>
      </c>
      <c r="C163" t="s">
        <v>18</v>
      </c>
      <c r="D163" s="5">
        <v>14032</v>
      </c>
      <c r="E163">
        <v>14.1</v>
      </c>
      <c r="F163">
        <v>-2.1</v>
      </c>
    </row>
    <row r="164" spans="1:6" hidden="1">
      <c r="A164" t="s">
        <v>12</v>
      </c>
      <c r="B164">
        <v>1938</v>
      </c>
      <c r="C164" t="s">
        <v>19</v>
      </c>
      <c r="D164" s="5">
        <v>14062</v>
      </c>
      <c r="E164">
        <v>14.1</v>
      </c>
      <c r="F164">
        <v>-2.8</v>
      </c>
    </row>
    <row r="165" spans="1:6" hidden="1">
      <c r="A165" t="s">
        <v>12</v>
      </c>
      <c r="B165">
        <v>1938</v>
      </c>
      <c r="C165" t="s">
        <v>20</v>
      </c>
      <c r="D165" s="5">
        <v>14093</v>
      </c>
      <c r="E165">
        <v>14.1</v>
      </c>
      <c r="F165">
        <v>-2.8</v>
      </c>
    </row>
    <row r="166" spans="1:6" hidden="1">
      <c r="A166" t="s">
        <v>12</v>
      </c>
      <c r="B166">
        <v>1938</v>
      </c>
      <c r="C166" t="s">
        <v>21</v>
      </c>
      <c r="D166" s="5">
        <v>14124</v>
      </c>
      <c r="E166">
        <v>14.1</v>
      </c>
      <c r="F166">
        <v>-3.4</v>
      </c>
    </row>
    <row r="167" spans="1:6" hidden="1">
      <c r="A167" t="s">
        <v>12</v>
      </c>
      <c r="B167">
        <v>1938</v>
      </c>
      <c r="C167" t="s">
        <v>22</v>
      </c>
      <c r="D167" s="5">
        <v>14154</v>
      </c>
      <c r="E167">
        <v>14</v>
      </c>
      <c r="F167">
        <v>-4.0999999999999996</v>
      </c>
    </row>
    <row r="168" spans="1:6" hidden="1">
      <c r="A168" t="s">
        <v>12</v>
      </c>
      <c r="B168">
        <v>1938</v>
      </c>
      <c r="C168" t="s">
        <v>23</v>
      </c>
      <c r="D168" s="5">
        <v>14185</v>
      </c>
      <c r="E168">
        <v>14</v>
      </c>
      <c r="F168">
        <v>-3.4</v>
      </c>
    </row>
    <row r="169" spans="1:6" hidden="1">
      <c r="A169" t="s">
        <v>12</v>
      </c>
      <c r="B169">
        <v>1938</v>
      </c>
      <c r="C169" t="s">
        <v>24</v>
      </c>
      <c r="D169" s="5">
        <v>14215</v>
      </c>
      <c r="E169">
        <v>14</v>
      </c>
      <c r="F169">
        <v>-2.8</v>
      </c>
    </row>
    <row r="170" spans="1:6">
      <c r="A170" t="s">
        <v>12</v>
      </c>
      <c r="B170">
        <v>1939</v>
      </c>
      <c r="C170" t="s">
        <v>13</v>
      </c>
      <c r="D170" s="5">
        <v>14246</v>
      </c>
      <c r="E170">
        <v>14</v>
      </c>
      <c r="F170">
        <v>-1.4</v>
      </c>
    </row>
    <row r="171" spans="1:6" hidden="1">
      <c r="A171" t="s">
        <v>12</v>
      </c>
      <c r="B171">
        <v>1939</v>
      </c>
      <c r="C171" t="s">
        <v>14</v>
      </c>
      <c r="D171" s="5">
        <v>14277</v>
      </c>
      <c r="E171">
        <v>13.9</v>
      </c>
      <c r="F171">
        <v>-1.4</v>
      </c>
    </row>
    <row r="172" spans="1:6" hidden="1">
      <c r="A172" t="s">
        <v>12</v>
      </c>
      <c r="B172">
        <v>1939</v>
      </c>
      <c r="C172" t="s">
        <v>15</v>
      </c>
      <c r="D172" s="5">
        <v>14305</v>
      </c>
      <c r="E172">
        <v>13.9</v>
      </c>
      <c r="F172">
        <v>-1.4</v>
      </c>
    </row>
    <row r="173" spans="1:6" hidden="1">
      <c r="A173" t="s">
        <v>12</v>
      </c>
      <c r="B173">
        <v>1939</v>
      </c>
      <c r="C173" t="s">
        <v>16</v>
      </c>
      <c r="D173" s="5">
        <v>14336</v>
      </c>
      <c r="E173">
        <v>13.8</v>
      </c>
      <c r="F173">
        <v>-2.8</v>
      </c>
    </row>
    <row r="174" spans="1:6" hidden="1">
      <c r="A174" t="s">
        <v>12</v>
      </c>
      <c r="B174">
        <v>1939</v>
      </c>
      <c r="C174" t="s">
        <v>17</v>
      </c>
      <c r="D174" s="5">
        <v>14366</v>
      </c>
      <c r="E174">
        <v>13.8</v>
      </c>
      <c r="F174">
        <v>-2.1</v>
      </c>
    </row>
    <row r="175" spans="1:6" hidden="1">
      <c r="A175" t="s">
        <v>12</v>
      </c>
      <c r="B175">
        <v>1939</v>
      </c>
      <c r="C175" t="s">
        <v>18</v>
      </c>
      <c r="D175" s="5">
        <v>14397</v>
      </c>
      <c r="E175">
        <v>13.8</v>
      </c>
      <c r="F175">
        <v>-2.1</v>
      </c>
    </row>
    <row r="176" spans="1:6" hidden="1">
      <c r="A176" t="s">
        <v>12</v>
      </c>
      <c r="B176">
        <v>1939</v>
      </c>
      <c r="C176" t="s">
        <v>19</v>
      </c>
      <c r="D176" s="5">
        <v>14427</v>
      </c>
      <c r="E176">
        <v>13.8</v>
      </c>
      <c r="F176">
        <v>-2.1</v>
      </c>
    </row>
    <row r="177" spans="1:6" hidden="1">
      <c r="A177" t="s">
        <v>12</v>
      </c>
      <c r="B177">
        <v>1939</v>
      </c>
      <c r="C177" t="s">
        <v>20</v>
      </c>
      <c r="D177" s="5">
        <v>14458</v>
      </c>
      <c r="E177">
        <v>13.8</v>
      </c>
      <c r="F177">
        <v>-2.1</v>
      </c>
    </row>
    <row r="178" spans="1:6" hidden="1">
      <c r="A178" t="s">
        <v>12</v>
      </c>
      <c r="B178">
        <v>1939</v>
      </c>
      <c r="C178" t="s">
        <v>21</v>
      </c>
      <c r="D178" s="5">
        <v>14489</v>
      </c>
      <c r="E178">
        <v>14.1</v>
      </c>
      <c r="F178">
        <v>0</v>
      </c>
    </row>
    <row r="179" spans="1:6" hidden="1">
      <c r="A179" t="s">
        <v>12</v>
      </c>
      <c r="B179">
        <v>1939</v>
      </c>
      <c r="C179" t="s">
        <v>22</v>
      </c>
      <c r="D179" s="5">
        <v>14519</v>
      </c>
      <c r="E179">
        <v>14</v>
      </c>
      <c r="F179">
        <v>0</v>
      </c>
    </row>
    <row r="180" spans="1:6" hidden="1">
      <c r="A180" t="s">
        <v>12</v>
      </c>
      <c r="B180">
        <v>1939</v>
      </c>
      <c r="C180" t="s">
        <v>23</v>
      </c>
      <c r="D180" s="5">
        <v>14550</v>
      </c>
      <c r="E180">
        <v>14</v>
      </c>
      <c r="F180">
        <v>0</v>
      </c>
    </row>
    <row r="181" spans="1:6" hidden="1">
      <c r="A181" t="s">
        <v>12</v>
      </c>
      <c r="B181">
        <v>1939</v>
      </c>
      <c r="C181" t="s">
        <v>24</v>
      </c>
      <c r="D181" s="5">
        <v>14580</v>
      </c>
      <c r="E181">
        <v>14</v>
      </c>
      <c r="F181">
        <v>0</v>
      </c>
    </row>
    <row r="182" spans="1:6">
      <c r="A182" t="s">
        <v>12</v>
      </c>
      <c r="B182">
        <v>1940</v>
      </c>
      <c r="C182" t="s">
        <v>13</v>
      </c>
      <c r="D182" s="5">
        <v>14611</v>
      </c>
      <c r="E182">
        <v>13.9</v>
      </c>
      <c r="F182">
        <v>-0.7</v>
      </c>
    </row>
    <row r="183" spans="1:6" hidden="1">
      <c r="A183" t="s">
        <v>12</v>
      </c>
      <c r="B183">
        <v>1940</v>
      </c>
      <c r="C183" t="s">
        <v>14</v>
      </c>
      <c r="D183" s="5">
        <v>14642</v>
      </c>
      <c r="E183">
        <v>14</v>
      </c>
      <c r="F183">
        <v>0.7</v>
      </c>
    </row>
    <row r="184" spans="1:6" hidden="1">
      <c r="A184" t="s">
        <v>12</v>
      </c>
      <c r="B184">
        <v>1940</v>
      </c>
      <c r="C184" t="s">
        <v>15</v>
      </c>
      <c r="D184" s="5">
        <v>14671</v>
      </c>
      <c r="E184">
        <v>14</v>
      </c>
      <c r="F184">
        <v>0.7</v>
      </c>
    </row>
    <row r="185" spans="1:6" hidden="1">
      <c r="A185" t="s">
        <v>12</v>
      </c>
      <c r="B185">
        <v>1940</v>
      </c>
      <c r="C185" t="s">
        <v>16</v>
      </c>
      <c r="D185" s="5">
        <v>14702</v>
      </c>
      <c r="E185">
        <v>14</v>
      </c>
      <c r="F185">
        <v>1.4</v>
      </c>
    </row>
    <row r="186" spans="1:6" hidden="1">
      <c r="A186" t="s">
        <v>12</v>
      </c>
      <c r="B186">
        <v>1940</v>
      </c>
      <c r="C186" t="s">
        <v>17</v>
      </c>
      <c r="D186" s="5">
        <v>14732</v>
      </c>
      <c r="E186">
        <v>14</v>
      </c>
      <c r="F186">
        <v>1.4</v>
      </c>
    </row>
    <row r="187" spans="1:6" hidden="1">
      <c r="A187" t="s">
        <v>12</v>
      </c>
      <c r="B187">
        <v>1940</v>
      </c>
      <c r="C187" t="s">
        <v>18</v>
      </c>
      <c r="D187" s="5">
        <v>14763</v>
      </c>
      <c r="E187">
        <v>14.1</v>
      </c>
      <c r="F187">
        <v>2.2000000000000002</v>
      </c>
    </row>
    <row r="188" spans="1:6" hidden="1">
      <c r="A188" t="s">
        <v>12</v>
      </c>
      <c r="B188">
        <v>1940</v>
      </c>
      <c r="C188" t="s">
        <v>19</v>
      </c>
      <c r="D188" s="5">
        <v>14793</v>
      </c>
      <c r="E188">
        <v>14</v>
      </c>
      <c r="F188">
        <v>1.4</v>
      </c>
    </row>
    <row r="189" spans="1:6" hidden="1">
      <c r="A189" t="s">
        <v>12</v>
      </c>
      <c r="B189">
        <v>1940</v>
      </c>
      <c r="C189" t="s">
        <v>20</v>
      </c>
      <c r="D189" s="5">
        <v>14824</v>
      </c>
      <c r="E189">
        <v>14</v>
      </c>
      <c r="F189">
        <v>1.4</v>
      </c>
    </row>
    <row r="190" spans="1:6" hidden="1">
      <c r="A190" t="s">
        <v>12</v>
      </c>
      <c r="B190">
        <v>1940</v>
      </c>
      <c r="C190" t="s">
        <v>21</v>
      </c>
      <c r="D190" s="5">
        <v>14855</v>
      </c>
      <c r="E190">
        <v>14</v>
      </c>
      <c r="F190">
        <v>-0.7</v>
      </c>
    </row>
    <row r="191" spans="1:6" hidden="1">
      <c r="A191" t="s">
        <v>12</v>
      </c>
      <c r="B191">
        <v>1940</v>
      </c>
      <c r="C191" t="s">
        <v>22</v>
      </c>
      <c r="D191" s="5">
        <v>14885</v>
      </c>
      <c r="E191">
        <v>14</v>
      </c>
      <c r="F191">
        <v>0</v>
      </c>
    </row>
    <row r="192" spans="1:6" hidden="1">
      <c r="A192" t="s">
        <v>12</v>
      </c>
      <c r="B192">
        <v>1940</v>
      </c>
      <c r="C192" t="s">
        <v>23</v>
      </c>
      <c r="D192" s="5">
        <v>14916</v>
      </c>
      <c r="E192">
        <v>14</v>
      </c>
      <c r="F192">
        <v>0</v>
      </c>
    </row>
    <row r="193" spans="1:6" hidden="1">
      <c r="A193" t="s">
        <v>12</v>
      </c>
      <c r="B193">
        <v>1940</v>
      </c>
      <c r="C193" t="s">
        <v>24</v>
      </c>
      <c r="D193" s="5">
        <v>14946</v>
      </c>
      <c r="E193">
        <v>14.1</v>
      </c>
      <c r="F193">
        <v>0.7</v>
      </c>
    </row>
    <row r="194" spans="1:6">
      <c r="A194" t="s">
        <v>12</v>
      </c>
      <c r="B194">
        <v>1941</v>
      </c>
      <c r="C194" t="s">
        <v>13</v>
      </c>
      <c r="D194" s="5">
        <v>14977</v>
      </c>
      <c r="E194">
        <v>14.1</v>
      </c>
      <c r="F194">
        <v>1.4</v>
      </c>
    </row>
    <row r="195" spans="1:6" hidden="1">
      <c r="A195" t="s">
        <v>12</v>
      </c>
      <c r="B195">
        <v>1941</v>
      </c>
      <c r="C195" t="s">
        <v>14</v>
      </c>
      <c r="D195" s="5">
        <v>15008</v>
      </c>
      <c r="E195">
        <v>14.1</v>
      </c>
      <c r="F195">
        <v>0.7</v>
      </c>
    </row>
    <row r="196" spans="1:6" hidden="1">
      <c r="A196" t="s">
        <v>12</v>
      </c>
      <c r="B196">
        <v>1941</v>
      </c>
      <c r="C196" t="s">
        <v>15</v>
      </c>
      <c r="D196" s="5">
        <v>15036</v>
      </c>
      <c r="E196">
        <v>14.2</v>
      </c>
      <c r="F196">
        <v>1.4</v>
      </c>
    </row>
    <row r="197" spans="1:6" hidden="1">
      <c r="A197" t="s">
        <v>12</v>
      </c>
      <c r="B197">
        <v>1941</v>
      </c>
      <c r="C197" t="s">
        <v>16</v>
      </c>
      <c r="D197" s="5">
        <v>15067</v>
      </c>
      <c r="E197">
        <v>14.3</v>
      </c>
      <c r="F197">
        <v>2.1</v>
      </c>
    </row>
    <row r="198" spans="1:6" hidden="1">
      <c r="A198" t="s">
        <v>12</v>
      </c>
      <c r="B198">
        <v>1941</v>
      </c>
      <c r="C198" t="s">
        <v>17</v>
      </c>
      <c r="D198" s="5">
        <v>15097</v>
      </c>
      <c r="E198">
        <v>14.4</v>
      </c>
      <c r="F198">
        <v>2.9</v>
      </c>
    </row>
    <row r="199" spans="1:6" hidden="1">
      <c r="A199" t="s">
        <v>12</v>
      </c>
      <c r="B199">
        <v>1941</v>
      </c>
      <c r="C199" t="s">
        <v>18</v>
      </c>
      <c r="D199" s="5">
        <v>15128</v>
      </c>
      <c r="E199">
        <v>14.7</v>
      </c>
      <c r="F199">
        <v>4.3</v>
      </c>
    </row>
    <row r="200" spans="1:6" hidden="1">
      <c r="A200" t="s">
        <v>12</v>
      </c>
      <c r="B200">
        <v>1941</v>
      </c>
      <c r="C200" t="s">
        <v>19</v>
      </c>
      <c r="D200" s="5">
        <v>15158</v>
      </c>
      <c r="E200">
        <v>14.7</v>
      </c>
      <c r="F200">
        <v>5</v>
      </c>
    </row>
    <row r="201" spans="1:6" hidden="1">
      <c r="A201" t="s">
        <v>12</v>
      </c>
      <c r="B201">
        <v>1941</v>
      </c>
      <c r="C201" t="s">
        <v>20</v>
      </c>
      <c r="D201" s="5">
        <v>15189</v>
      </c>
      <c r="E201">
        <v>14.9</v>
      </c>
      <c r="F201">
        <v>6.4</v>
      </c>
    </row>
    <row r="202" spans="1:6" hidden="1">
      <c r="A202" t="s">
        <v>12</v>
      </c>
      <c r="B202">
        <v>1941</v>
      </c>
      <c r="C202" t="s">
        <v>21</v>
      </c>
      <c r="D202" s="5">
        <v>15220</v>
      </c>
      <c r="E202">
        <v>15.1</v>
      </c>
      <c r="F202">
        <v>7.9</v>
      </c>
    </row>
    <row r="203" spans="1:6" hidden="1">
      <c r="A203" t="s">
        <v>12</v>
      </c>
      <c r="B203">
        <v>1941</v>
      </c>
      <c r="C203" t="s">
        <v>22</v>
      </c>
      <c r="D203" s="5">
        <v>15250</v>
      </c>
      <c r="E203">
        <v>15.3</v>
      </c>
      <c r="F203">
        <v>9.3000000000000007</v>
      </c>
    </row>
    <row r="204" spans="1:6" hidden="1">
      <c r="A204" t="s">
        <v>12</v>
      </c>
      <c r="B204">
        <v>1941</v>
      </c>
      <c r="C204" t="s">
        <v>23</v>
      </c>
      <c r="D204" s="5">
        <v>15281</v>
      </c>
      <c r="E204">
        <v>15.4</v>
      </c>
      <c r="F204">
        <v>10</v>
      </c>
    </row>
    <row r="205" spans="1:6" hidden="1">
      <c r="A205" t="s">
        <v>12</v>
      </c>
      <c r="B205">
        <v>1941</v>
      </c>
      <c r="C205" t="s">
        <v>24</v>
      </c>
      <c r="D205" s="5">
        <v>15311</v>
      </c>
      <c r="E205">
        <v>15.5</v>
      </c>
      <c r="F205">
        <v>9.9</v>
      </c>
    </row>
    <row r="206" spans="1:6">
      <c r="A206" t="s">
        <v>12</v>
      </c>
      <c r="B206">
        <v>1942</v>
      </c>
      <c r="C206" t="s">
        <v>13</v>
      </c>
      <c r="D206" s="5">
        <v>15342</v>
      </c>
      <c r="E206">
        <v>15.7</v>
      </c>
      <c r="F206">
        <v>11.3</v>
      </c>
    </row>
    <row r="207" spans="1:6" hidden="1">
      <c r="A207" t="s">
        <v>12</v>
      </c>
      <c r="B207">
        <v>1942</v>
      </c>
      <c r="C207" t="s">
        <v>14</v>
      </c>
      <c r="D207" s="5">
        <v>15373</v>
      </c>
      <c r="E207">
        <v>15.8</v>
      </c>
      <c r="F207">
        <v>12.1</v>
      </c>
    </row>
    <row r="208" spans="1:6" hidden="1">
      <c r="A208" t="s">
        <v>12</v>
      </c>
      <c r="B208">
        <v>1942</v>
      </c>
      <c r="C208" t="s">
        <v>15</v>
      </c>
      <c r="D208" s="5">
        <v>15401</v>
      </c>
      <c r="E208">
        <v>16</v>
      </c>
      <c r="F208">
        <v>12.7</v>
      </c>
    </row>
    <row r="209" spans="1:6" hidden="1">
      <c r="A209" t="s">
        <v>12</v>
      </c>
      <c r="B209">
        <v>1942</v>
      </c>
      <c r="C209" t="s">
        <v>16</v>
      </c>
      <c r="D209" s="5">
        <v>15432</v>
      </c>
      <c r="E209">
        <v>16.100000000000001</v>
      </c>
      <c r="F209">
        <v>12.6</v>
      </c>
    </row>
    <row r="210" spans="1:6" hidden="1">
      <c r="A210" t="s">
        <v>12</v>
      </c>
      <c r="B210">
        <v>1942</v>
      </c>
      <c r="C210" t="s">
        <v>17</v>
      </c>
      <c r="D210" s="5">
        <v>15462</v>
      </c>
      <c r="E210">
        <v>16.3</v>
      </c>
      <c r="F210">
        <v>13.2</v>
      </c>
    </row>
    <row r="211" spans="1:6" hidden="1">
      <c r="A211" t="s">
        <v>12</v>
      </c>
      <c r="B211">
        <v>1942</v>
      </c>
      <c r="C211" t="s">
        <v>18</v>
      </c>
      <c r="D211" s="5">
        <v>15493</v>
      </c>
      <c r="E211">
        <v>16.3</v>
      </c>
      <c r="F211">
        <v>10.9</v>
      </c>
    </row>
    <row r="212" spans="1:6" hidden="1">
      <c r="A212" t="s">
        <v>12</v>
      </c>
      <c r="B212">
        <v>1942</v>
      </c>
      <c r="C212" t="s">
        <v>19</v>
      </c>
      <c r="D212" s="5">
        <v>15523</v>
      </c>
      <c r="E212">
        <v>16.399999999999999</v>
      </c>
      <c r="F212">
        <v>11.6</v>
      </c>
    </row>
    <row r="213" spans="1:6" hidden="1">
      <c r="A213" t="s">
        <v>12</v>
      </c>
      <c r="B213">
        <v>1942</v>
      </c>
      <c r="C213" t="s">
        <v>20</v>
      </c>
      <c r="D213" s="5">
        <v>15554</v>
      </c>
      <c r="E213">
        <v>16.5</v>
      </c>
      <c r="F213">
        <v>10.7</v>
      </c>
    </row>
    <row r="214" spans="1:6" hidden="1">
      <c r="A214" t="s">
        <v>12</v>
      </c>
      <c r="B214">
        <v>1942</v>
      </c>
      <c r="C214" t="s">
        <v>21</v>
      </c>
      <c r="D214" s="5">
        <v>15585</v>
      </c>
      <c r="E214">
        <v>16.5</v>
      </c>
      <c r="F214">
        <v>9.3000000000000007</v>
      </c>
    </row>
    <row r="215" spans="1:6" hidden="1">
      <c r="A215" t="s">
        <v>12</v>
      </c>
      <c r="B215">
        <v>1942</v>
      </c>
      <c r="C215" t="s">
        <v>22</v>
      </c>
      <c r="D215" s="5">
        <v>15615</v>
      </c>
      <c r="E215">
        <v>16.7</v>
      </c>
      <c r="F215">
        <v>9.1999999999999993</v>
      </c>
    </row>
    <row r="216" spans="1:6" hidden="1">
      <c r="A216" t="s">
        <v>12</v>
      </c>
      <c r="B216">
        <v>1942</v>
      </c>
      <c r="C216" t="s">
        <v>23</v>
      </c>
      <c r="D216" s="5">
        <v>15646</v>
      </c>
      <c r="E216">
        <v>16.8</v>
      </c>
      <c r="F216">
        <v>9.1</v>
      </c>
    </row>
    <row r="217" spans="1:6" hidden="1">
      <c r="A217" t="s">
        <v>12</v>
      </c>
      <c r="B217">
        <v>1942</v>
      </c>
      <c r="C217" t="s">
        <v>24</v>
      </c>
      <c r="D217" s="5">
        <v>15676</v>
      </c>
      <c r="E217">
        <v>16.899999999999999</v>
      </c>
      <c r="F217">
        <v>9</v>
      </c>
    </row>
    <row r="218" spans="1:6">
      <c r="A218" t="s">
        <v>12</v>
      </c>
      <c r="B218">
        <v>1943</v>
      </c>
      <c r="C218" t="s">
        <v>13</v>
      </c>
      <c r="D218" s="5">
        <v>15707</v>
      </c>
      <c r="E218">
        <v>16.899999999999999</v>
      </c>
      <c r="F218">
        <v>7.6</v>
      </c>
    </row>
    <row r="219" spans="1:6" hidden="1">
      <c r="A219" t="s">
        <v>12</v>
      </c>
      <c r="B219">
        <v>1943</v>
      </c>
      <c r="C219" t="s">
        <v>14</v>
      </c>
      <c r="D219" s="5">
        <v>15738</v>
      </c>
      <c r="E219">
        <v>16.899999999999999</v>
      </c>
      <c r="F219">
        <v>7</v>
      </c>
    </row>
    <row r="220" spans="1:6" hidden="1">
      <c r="A220" t="s">
        <v>12</v>
      </c>
      <c r="B220">
        <v>1943</v>
      </c>
      <c r="C220" t="s">
        <v>15</v>
      </c>
      <c r="D220" s="5">
        <v>15766</v>
      </c>
      <c r="E220">
        <v>17.2</v>
      </c>
      <c r="F220">
        <v>7.5</v>
      </c>
    </row>
    <row r="221" spans="1:6" hidden="1">
      <c r="A221" t="s">
        <v>12</v>
      </c>
      <c r="B221">
        <v>1943</v>
      </c>
      <c r="C221" t="s">
        <v>16</v>
      </c>
      <c r="D221" s="5">
        <v>15797</v>
      </c>
      <c r="E221">
        <v>17.399999999999999</v>
      </c>
      <c r="F221">
        <v>8.1</v>
      </c>
    </row>
    <row r="222" spans="1:6" hidden="1">
      <c r="A222" t="s">
        <v>12</v>
      </c>
      <c r="B222">
        <v>1943</v>
      </c>
      <c r="C222" t="s">
        <v>17</v>
      </c>
      <c r="D222" s="5">
        <v>15827</v>
      </c>
      <c r="E222">
        <v>17.5</v>
      </c>
      <c r="F222">
        <v>7.4</v>
      </c>
    </row>
    <row r="223" spans="1:6" hidden="1">
      <c r="A223" t="s">
        <v>12</v>
      </c>
      <c r="B223">
        <v>1943</v>
      </c>
      <c r="C223" t="s">
        <v>18</v>
      </c>
      <c r="D223" s="5">
        <v>15858</v>
      </c>
      <c r="E223">
        <v>17.5</v>
      </c>
      <c r="F223">
        <v>7.4</v>
      </c>
    </row>
    <row r="224" spans="1:6" hidden="1">
      <c r="A224" t="s">
        <v>12</v>
      </c>
      <c r="B224">
        <v>1943</v>
      </c>
      <c r="C224" t="s">
        <v>19</v>
      </c>
      <c r="D224" s="5">
        <v>15888</v>
      </c>
      <c r="E224">
        <v>17.399999999999999</v>
      </c>
      <c r="F224">
        <v>6.1</v>
      </c>
    </row>
    <row r="225" spans="1:6" hidden="1">
      <c r="A225" t="s">
        <v>12</v>
      </c>
      <c r="B225">
        <v>1943</v>
      </c>
      <c r="C225" t="s">
        <v>20</v>
      </c>
      <c r="D225" s="5">
        <v>15919</v>
      </c>
      <c r="E225">
        <v>17.3</v>
      </c>
      <c r="F225">
        <v>4.8</v>
      </c>
    </row>
    <row r="226" spans="1:6" hidden="1">
      <c r="A226" t="s">
        <v>12</v>
      </c>
      <c r="B226">
        <v>1943</v>
      </c>
      <c r="C226" t="s">
        <v>21</v>
      </c>
      <c r="D226" s="5">
        <v>15950</v>
      </c>
      <c r="E226">
        <v>17.399999999999999</v>
      </c>
      <c r="F226">
        <v>5.5</v>
      </c>
    </row>
    <row r="227" spans="1:6" hidden="1">
      <c r="A227" t="s">
        <v>12</v>
      </c>
      <c r="B227">
        <v>1943</v>
      </c>
      <c r="C227" t="s">
        <v>22</v>
      </c>
      <c r="D227" s="5">
        <v>15980</v>
      </c>
      <c r="E227">
        <v>17.399999999999999</v>
      </c>
      <c r="F227">
        <v>4.2</v>
      </c>
    </row>
    <row r="228" spans="1:6" hidden="1">
      <c r="A228" t="s">
        <v>12</v>
      </c>
      <c r="B228">
        <v>1943</v>
      </c>
      <c r="C228" t="s">
        <v>23</v>
      </c>
      <c r="D228" s="5">
        <v>16011</v>
      </c>
      <c r="E228">
        <v>17.399999999999999</v>
      </c>
      <c r="F228">
        <v>3.6</v>
      </c>
    </row>
    <row r="229" spans="1:6" hidden="1">
      <c r="A229" t="s">
        <v>12</v>
      </c>
      <c r="B229">
        <v>1943</v>
      </c>
      <c r="C229" t="s">
        <v>24</v>
      </c>
      <c r="D229" s="5">
        <v>16041</v>
      </c>
      <c r="E229">
        <v>17.399999999999999</v>
      </c>
      <c r="F229">
        <v>3</v>
      </c>
    </row>
    <row r="230" spans="1:6">
      <c r="A230" t="s">
        <v>12</v>
      </c>
      <c r="B230">
        <v>1944</v>
      </c>
      <c r="C230" t="s">
        <v>13</v>
      </c>
      <c r="D230" s="5">
        <v>16072</v>
      </c>
      <c r="E230">
        <v>17.399999999999999</v>
      </c>
      <c r="F230">
        <v>3</v>
      </c>
    </row>
    <row r="231" spans="1:6" hidden="1">
      <c r="A231" t="s">
        <v>12</v>
      </c>
      <c r="B231">
        <v>1944</v>
      </c>
      <c r="C231" t="s">
        <v>14</v>
      </c>
      <c r="D231" s="5">
        <v>16103</v>
      </c>
      <c r="E231">
        <v>17.399999999999999</v>
      </c>
      <c r="F231">
        <v>3</v>
      </c>
    </row>
    <row r="232" spans="1:6" hidden="1">
      <c r="A232" t="s">
        <v>12</v>
      </c>
      <c r="B232">
        <v>1944</v>
      </c>
      <c r="C232" t="s">
        <v>15</v>
      </c>
      <c r="D232" s="5">
        <v>16132</v>
      </c>
      <c r="E232">
        <v>17.399999999999999</v>
      </c>
      <c r="F232">
        <v>1.2</v>
      </c>
    </row>
    <row r="233" spans="1:6" hidden="1">
      <c r="A233" t="s">
        <v>12</v>
      </c>
      <c r="B233">
        <v>1944</v>
      </c>
      <c r="C233" t="s">
        <v>16</v>
      </c>
      <c r="D233" s="5">
        <v>16163</v>
      </c>
      <c r="E233">
        <v>17.5</v>
      </c>
      <c r="F233">
        <v>0.6</v>
      </c>
    </row>
    <row r="234" spans="1:6" hidden="1">
      <c r="A234" t="s">
        <v>12</v>
      </c>
      <c r="B234">
        <v>1944</v>
      </c>
      <c r="C234" t="s">
        <v>17</v>
      </c>
      <c r="D234" s="5">
        <v>16193</v>
      </c>
      <c r="E234">
        <v>17.5</v>
      </c>
      <c r="F234">
        <v>0</v>
      </c>
    </row>
    <row r="235" spans="1:6" hidden="1">
      <c r="A235" t="s">
        <v>12</v>
      </c>
      <c r="B235">
        <v>1944</v>
      </c>
      <c r="C235" t="s">
        <v>18</v>
      </c>
      <c r="D235" s="5">
        <v>16224</v>
      </c>
      <c r="E235">
        <v>17.600000000000001</v>
      </c>
      <c r="F235">
        <v>0.6</v>
      </c>
    </row>
    <row r="236" spans="1:6" hidden="1">
      <c r="A236" t="s">
        <v>12</v>
      </c>
      <c r="B236">
        <v>1944</v>
      </c>
      <c r="C236" t="s">
        <v>19</v>
      </c>
      <c r="D236" s="5">
        <v>16254</v>
      </c>
      <c r="E236">
        <v>17.7</v>
      </c>
      <c r="F236">
        <v>1.7</v>
      </c>
    </row>
    <row r="237" spans="1:6" hidden="1">
      <c r="A237" t="s">
        <v>12</v>
      </c>
      <c r="B237">
        <v>1944</v>
      </c>
      <c r="C237" t="s">
        <v>20</v>
      </c>
      <c r="D237" s="5">
        <v>16285</v>
      </c>
      <c r="E237">
        <v>17.7</v>
      </c>
      <c r="F237">
        <v>2.2999999999999998</v>
      </c>
    </row>
    <row r="238" spans="1:6" hidden="1">
      <c r="A238" t="s">
        <v>12</v>
      </c>
      <c r="B238">
        <v>1944</v>
      </c>
      <c r="C238" t="s">
        <v>21</v>
      </c>
      <c r="D238" s="5">
        <v>16316</v>
      </c>
      <c r="E238">
        <v>17.7</v>
      </c>
      <c r="F238">
        <v>1.7</v>
      </c>
    </row>
    <row r="239" spans="1:6" hidden="1">
      <c r="A239" t="s">
        <v>12</v>
      </c>
      <c r="B239">
        <v>1944</v>
      </c>
      <c r="C239" t="s">
        <v>22</v>
      </c>
      <c r="D239" s="5">
        <v>16346</v>
      </c>
      <c r="E239">
        <v>17.7</v>
      </c>
      <c r="F239">
        <v>1.7</v>
      </c>
    </row>
    <row r="240" spans="1:6" hidden="1">
      <c r="A240" t="s">
        <v>12</v>
      </c>
      <c r="B240">
        <v>1944</v>
      </c>
      <c r="C240" t="s">
        <v>23</v>
      </c>
      <c r="D240" s="5">
        <v>16377</v>
      </c>
      <c r="E240">
        <v>17.7</v>
      </c>
      <c r="F240">
        <v>1.7</v>
      </c>
    </row>
    <row r="241" spans="1:6" hidden="1">
      <c r="A241" t="s">
        <v>12</v>
      </c>
      <c r="B241">
        <v>1944</v>
      </c>
      <c r="C241" t="s">
        <v>24</v>
      </c>
      <c r="D241" s="5">
        <v>16407</v>
      </c>
      <c r="E241">
        <v>17.8</v>
      </c>
      <c r="F241">
        <v>2.2999999999999998</v>
      </c>
    </row>
    <row r="242" spans="1:6">
      <c r="A242" t="s">
        <v>12</v>
      </c>
      <c r="B242">
        <v>1945</v>
      </c>
      <c r="C242" t="s">
        <v>13</v>
      </c>
      <c r="D242" s="5">
        <v>16438</v>
      </c>
      <c r="E242">
        <v>17.8</v>
      </c>
      <c r="F242">
        <v>2.2999999999999998</v>
      </c>
    </row>
    <row r="243" spans="1:6" hidden="1">
      <c r="A243" t="s">
        <v>12</v>
      </c>
      <c r="B243">
        <v>1945</v>
      </c>
      <c r="C243" t="s">
        <v>14</v>
      </c>
      <c r="D243" s="5">
        <v>16469</v>
      </c>
      <c r="E243">
        <v>17.8</v>
      </c>
      <c r="F243">
        <v>2.2999999999999998</v>
      </c>
    </row>
    <row r="244" spans="1:6" hidden="1">
      <c r="A244" t="s">
        <v>12</v>
      </c>
      <c r="B244">
        <v>1945</v>
      </c>
      <c r="C244" t="s">
        <v>15</v>
      </c>
      <c r="D244" s="5">
        <v>16497</v>
      </c>
      <c r="E244">
        <v>17.8</v>
      </c>
      <c r="F244">
        <v>2.2999999999999998</v>
      </c>
    </row>
    <row r="245" spans="1:6" hidden="1">
      <c r="A245" t="s">
        <v>12</v>
      </c>
      <c r="B245">
        <v>1945</v>
      </c>
      <c r="C245" t="s">
        <v>16</v>
      </c>
      <c r="D245" s="5">
        <v>16528</v>
      </c>
      <c r="E245">
        <v>17.8</v>
      </c>
      <c r="F245">
        <v>1.7</v>
      </c>
    </row>
    <row r="246" spans="1:6" hidden="1">
      <c r="A246" t="s">
        <v>12</v>
      </c>
      <c r="B246">
        <v>1945</v>
      </c>
      <c r="C246" t="s">
        <v>17</v>
      </c>
      <c r="D246" s="5">
        <v>16558</v>
      </c>
      <c r="E246">
        <v>17.899999999999999</v>
      </c>
      <c r="F246">
        <v>2.2999999999999998</v>
      </c>
    </row>
    <row r="247" spans="1:6" hidden="1">
      <c r="A247" t="s">
        <v>12</v>
      </c>
      <c r="B247">
        <v>1945</v>
      </c>
      <c r="C247" t="s">
        <v>18</v>
      </c>
      <c r="D247" s="5">
        <v>16589</v>
      </c>
      <c r="E247">
        <v>18.100000000000001</v>
      </c>
      <c r="F247">
        <v>2.8</v>
      </c>
    </row>
    <row r="248" spans="1:6" hidden="1">
      <c r="A248" t="s">
        <v>12</v>
      </c>
      <c r="B248">
        <v>1945</v>
      </c>
      <c r="C248" t="s">
        <v>19</v>
      </c>
      <c r="D248" s="5">
        <v>16619</v>
      </c>
      <c r="E248">
        <v>18.100000000000001</v>
      </c>
      <c r="F248">
        <v>2.2999999999999998</v>
      </c>
    </row>
    <row r="249" spans="1:6" hidden="1">
      <c r="A249" t="s">
        <v>12</v>
      </c>
      <c r="B249">
        <v>1945</v>
      </c>
      <c r="C249" t="s">
        <v>20</v>
      </c>
      <c r="D249" s="5">
        <v>16650</v>
      </c>
      <c r="E249">
        <v>18.100000000000001</v>
      </c>
      <c r="F249">
        <v>2.2999999999999998</v>
      </c>
    </row>
    <row r="250" spans="1:6" hidden="1">
      <c r="A250" t="s">
        <v>12</v>
      </c>
      <c r="B250">
        <v>1945</v>
      </c>
      <c r="C250" t="s">
        <v>21</v>
      </c>
      <c r="D250" s="5">
        <v>16681</v>
      </c>
      <c r="E250">
        <v>18.100000000000001</v>
      </c>
      <c r="F250">
        <v>2.2999999999999998</v>
      </c>
    </row>
    <row r="251" spans="1:6" hidden="1">
      <c r="A251" t="s">
        <v>12</v>
      </c>
      <c r="B251">
        <v>1945</v>
      </c>
      <c r="C251" t="s">
        <v>22</v>
      </c>
      <c r="D251" s="5">
        <v>16711</v>
      </c>
      <c r="E251">
        <v>18.100000000000001</v>
      </c>
      <c r="F251">
        <v>2.2999999999999998</v>
      </c>
    </row>
    <row r="252" spans="1:6" hidden="1">
      <c r="A252" t="s">
        <v>12</v>
      </c>
      <c r="B252">
        <v>1945</v>
      </c>
      <c r="C252" t="s">
        <v>23</v>
      </c>
      <c r="D252" s="5">
        <v>16742</v>
      </c>
      <c r="E252">
        <v>18.100000000000001</v>
      </c>
      <c r="F252">
        <v>2.2999999999999998</v>
      </c>
    </row>
    <row r="253" spans="1:6" hidden="1">
      <c r="A253" t="s">
        <v>12</v>
      </c>
      <c r="B253">
        <v>1945</v>
      </c>
      <c r="C253" t="s">
        <v>24</v>
      </c>
      <c r="D253" s="5">
        <v>16772</v>
      </c>
      <c r="E253">
        <v>18.2</v>
      </c>
      <c r="F253">
        <v>2.2000000000000002</v>
      </c>
    </row>
    <row r="254" spans="1:6">
      <c r="A254" t="s">
        <v>12</v>
      </c>
      <c r="B254">
        <v>1946</v>
      </c>
      <c r="C254" t="s">
        <v>13</v>
      </c>
      <c r="D254" s="5">
        <v>16803</v>
      </c>
      <c r="E254">
        <v>18.2</v>
      </c>
      <c r="F254">
        <v>2.2000000000000002</v>
      </c>
    </row>
    <row r="255" spans="1:6" hidden="1">
      <c r="A255" t="s">
        <v>12</v>
      </c>
      <c r="B255">
        <v>1946</v>
      </c>
      <c r="C255" t="s">
        <v>14</v>
      </c>
      <c r="D255" s="5">
        <v>16834</v>
      </c>
      <c r="E255">
        <v>18.100000000000001</v>
      </c>
      <c r="F255">
        <v>1.7</v>
      </c>
    </row>
    <row r="256" spans="1:6" hidden="1">
      <c r="A256" t="s">
        <v>12</v>
      </c>
      <c r="B256">
        <v>1946</v>
      </c>
      <c r="C256" t="s">
        <v>15</v>
      </c>
      <c r="D256" s="5">
        <v>16862</v>
      </c>
      <c r="E256">
        <v>18.3</v>
      </c>
      <c r="F256">
        <v>2.8</v>
      </c>
    </row>
    <row r="257" spans="1:6" hidden="1">
      <c r="A257" t="s">
        <v>12</v>
      </c>
      <c r="B257">
        <v>1946</v>
      </c>
      <c r="C257" t="s">
        <v>16</v>
      </c>
      <c r="D257" s="5">
        <v>16893</v>
      </c>
      <c r="E257">
        <v>18.399999999999999</v>
      </c>
      <c r="F257">
        <v>3.4</v>
      </c>
    </row>
    <row r="258" spans="1:6" hidden="1">
      <c r="A258" t="s">
        <v>12</v>
      </c>
      <c r="B258">
        <v>1946</v>
      </c>
      <c r="C258" t="s">
        <v>17</v>
      </c>
      <c r="D258" s="5">
        <v>16923</v>
      </c>
      <c r="E258">
        <v>18.5</v>
      </c>
      <c r="F258">
        <v>3.4</v>
      </c>
    </row>
    <row r="259" spans="1:6" hidden="1">
      <c r="A259" t="s">
        <v>12</v>
      </c>
      <c r="B259">
        <v>1946</v>
      </c>
      <c r="C259" t="s">
        <v>18</v>
      </c>
      <c r="D259" s="5">
        <v>16954</v>
      </c>
      <c r="E259">
        <v>18.7</v>
      </c>
      <c r="F259">
        <v>3.3</v>
      </c>
    </row>
    <row r="260" spans="1:6" hidden="1">
      <c r="A260" t="s">
        <v>12</v>
      </c>
      <c r="B260">
        <v>1946</v>
      </c>
      <c r="C260" t="s">
        <v>19</v>
      </c>
      <c r="D260" s="5">
        <v>16984</v>
      </c>
      <c r="E260">
        <v>19.8</v>
      </c>
      <c r="F260">
        <v>9.4</v>
      </c>
    </row>
    <row r="261" spans="1:6" hidden="1">
      <c r="A261" t="s">
        <v>12</v>
      </c>
      <c r="B261">
        <v>1946</v>
      </c>
      <c r="C261" t="s">
        <v>20</v>
      </c>
      <c r="D261" s="5">
        <v>17015</v>
      </c>
      <c r="E261">
        <v>20.2</v>
      </c>
      <c r="F261">
        <v>11.6</v>
      </c>
    </row>
    <row r="262" spans="1:6" hidden="1">
      <c r="A262" t="s">
        <v>12</v>
      </c>
      <c r="B262">
        <v>1946</v>
      </c>
      <c r="C262" t="s">
        <v>21</v>
      </c>
      <c r="D262" s="5">
        <v>17046</v>
      </c>
      <c r="E262">
        <v>20.399999999999999</v>
      </c>
      <c r="F262">
        <v>12.7</v>
      </c>
    </row>
    <row r="263" spans="1:6" hidden="1">
      <c r="A263" t="s">
        <v>12</v>
      </c>
      <c r="B263">
        <v>1946</v>
      </c>
      <c r="C263" t="s">
        <v>22</v>
      </c>
      <c r="D263" s="5">
        <v>17076</v>
      </c>
      <c r="E263">
        <v>20.8</v>
      </c>
      <c r="F263">
        <v>14.9</v>
      </c>
    </row>
    <row r="264" spans="1:6" hidden="1">
      <c r="A264" t="s">
        <v>12</v>
      </c>
      <c r="B264">
        <v>1946</v>
      </c>
      <c r="C264" t="s">
        <v>23</v>
      </c>
      <c r="D264" s="5">
        <v>17107</v>
      </c>
      <c r="E264">
        <v>21.3</v>
      </c>
      <c r="F264">
        <v>17.7</v>
      </c>
    </row>
    <row r="265" spans="1:6" hidden="1">
      <c r="A265" t="s">
        <v>12</v>
      </c>
      <c r="B265">
        <v>1946</v>
      </c>
      <c r="C265" t="s">
        <v>24</v>
      </c>
      <c r="D265" s="5">
        <v>17137</v>
      </c>
      <c r="E265">
        <v>21.5</v>
      </c>
      <c r="F265">
        <v>18.100000000000001</v>
      </c>
    </row>
    <row r="266" spans="1:6">
      <c r="A266" t="s">
        <v>12</v>
      </c>
      <c r="B266">
        <v>1947</v>
      </c>
      <c r="C266" t="s">
        <v>13</v>
      </c>
      <c r="D266" s="5">
        <v>17168</v>
      </c>
      <c r="E266">
        <v>21.5</v>
      </c>
      <c r="F266">
        <v>18.100000000000001</v>
      </c>
    </row>
    <row r="267" spans="1:6" hidden="1">
      <c r="A267" t="s">
        <v>12</v>
      </c>
      <c r="B267">
        <v>1947</v>
      </c>
      <c r="C267" t="s">
        <v>14</v>
      </c>
      <c r="D267" s="5">
        <v>17199</v>
      </c>
      <c r="E267">
        <v>21.5</v>
      </c>
      <c r="F267">
        <v>18.8</v>
      </c>
    </row>
    <row r="268" spans="1:6" hidden="1">
      <c r="A268" t="s">
        <v>12</v>
      </c>
      <c r="B268">
        <v>1947</v>
      </c>
      <c r="C268" t="s">
        <v>15</v>
      </c>
      <c r="D268" s="5">
        <v>17227</v>
      </c>
      <c r="E268">
        <v>21.9</v>
      </c>
      <c r="F268">
        <v>19.7</v>
      </c>
    </row>
    <row r="269" spans="1:6" hidden="1">
      <c r="A269" t="s">
        <v>12</v>
      </c>
      <c r="B269">
        <v>1947</v>
      </c>
      <c r="C269" t="s">
        <v>16</v>
      </c>
      <c r="D269" s="5">
        <v>17258</v>
      </c>
      <c r="E269">
        <v>21.9</v>
      </c>
      <c r="F269">
        <v>19</v>
      </c>
    </row>
    <row r="270" spans="1:6" hidden="1">
      <c r="A270" t="s">
        <v>12</v>
      </c>
      <c r="B270">
        <v>1947</v>
      </c>
      <c r="C270" t="s">
        <v>17</v>
      </c>
      <c r="D270" s="5">
        <v>17288</v>
      </c>
      <c r="E270">
        <v>21.9</v>
      </c>
      <c r="F270">
        <v>18.399999999999999</v>
      </c>
    </row>
    <row r="271" spans="1:6" hidden="1">
      <c r="A271" t="s">
        <v>12</v>
      </c>
      <c r="B271">
        <v>1947</v>
      </c>
      <c r="C271" t="s">
        <v>18</v>
      </c>
      <c r="D271" s="5">
        <v>17319</v>
      </c>
      <c r="E271">
        <v>22</v>
      </c>
      <c r="F271">
        <v>17.600000000000001</v>
      </c>
    </row>
    <row r="272" spans="1:6" hidden="1">
      <c r="A272" t="s">
        <v>12</v>
      </c>
      <c r="B272">
        <v>1947</v>
      </c>
      <c r="C272" t="s">
        <v>19</v>
      </c>
      <c r="D272" s="5">
        <v>17349</v>
      </c>
      <c r="E272">
        <v>22.2</v>
      </c>
      <c r="F272">
        <v>12.1</v>
      </c>
    </row>
    <row r="273" spans="1:6" hidden="1">
      <c r="A273" t="s">
        <v>12</v>
      </c>
      <c r="B273">
        <v>1947</v>
      </c>
      <c r="C273" t="s">
        <v>20</v>
      </c>
      <c r="D273" s="5">
        <v>17380</v>
      </c>
      <c r="E273">
        <v>22.5</v>
      </c>
      <c r="F273">
        <v>11.4</v>
      </c>
    </row>
    <row r="274" spans="1:6" hidden="1">
      <c r="A274" t="s">
        <v>12</v>
      </c>
      <c r="B274">
        <v>1947</v>
      </c>
      <c r="C274" t="s">
        <v>21</v>
      </c>
      <c r="D274" s="5">
        <v>17411</v>
      </c>
      <c r="E274">
        <v>23</v>
      </c>
      <c r="F274">
        <v>12.7</v>
      </c>
    </row>
    <row r="275" spans="1:6" hidden="1">
      <c r="A275" t="s">
        <v>12</v>
      </c>
      <c r="B275">
        <v>1947</v>
      </c>
      <c r="C275" t="s">
        <v>22</v>
      </c>
      <c r="D275" s="5">
        <v>17441</v>
      </c>
      <c r="E275">
        <v>23</v>
      </c>
      <c r="F275">
        <v>10.6</v>
      </c>
    </row>
    <row r="276" spans="1:6" hidden="1">
      <c r="A276" t="s">
        <v>12</v>
      </c>
      <c r="B276">
        <v>1947</v>
      </c>
      <c r="C276" t="s">
        <v>23</v>
      </c>
      <c r="D276" s="5">
        <v>17472</v>
      </c>
      <c r="E276">
        <v>23.1</v>
      </c>
      <c r="F276">
        <v>8.5</v>
      </c>
    </row>
    <row r="277" spans="1:6" hidden="1">
      <c r="A277" t="s">
        <v>12</v>
      </c>
      <c r="B277">
        <v>1947</v>
      </c>
      <c r="C277" t="s">
        <v>24</v>
      </c>
      <c r="D277" s="5">
        <v>17502</v>
      </c>
      <c r="E277">
        <v>23.4</v>
      </c>
      <c r="F277">
        <v>8.8000000000000007</v>
      </c>
    </row>
    <row r="278" spans="1:6">
      <c r="A278" t="s">
        <v>12</v>
      </c>
      <c r="B278">
        <v>1948</v>
      </c>
      <c r="C278" t="s">
        <v>13</v>
      </c>
      <c r="D278" s="5">
        <v>17533</v>
      </c>
      <c r="E278">
        <v>23.7</v>
      </c>
      <c r="F278">
        <v>10.199999999999999</v>
      </c>
    </row>
    <row r="279" spans="1:6" hidden="1">
      <c r="A279" t="s">
        <v>12</v>
      </c>
      <c r="B279">
        <v>1948</v>
      </c>
      <c r="C279" t="s">
        <v>14</v>
      </c>
      <c r="D279" s="5">
        <v>17564</v>
      </c>
      <c r="E279">
        <v>23.5</v>
      </c>
      <c r="F279">
        <v>9.3000000000000007</v>
      </c>
    </row>
    <row r="280" spans="1:6" hidden="1">
      <c r="A280" t="s">
        <v>12</v>
      </c>
      <c r="B280">
        <v>1948</v>
      </c>
      <c r="C280" t="s">
        <v>15</v>
      </c>
      <c r="D280" s="5">
        <v>17593</v>
      </c>
      <c r="E280">
        <v>23.4</v>
      </c>
      <c r="F280">
        <v>6.8</v>
      </c>
    </row>
    <row r="281" spans="1:6" hidden="1">
      <c r="A281" t="s">
        <v>12</v>
      </c>
      <c r="B281">
        <v>1948</v>
      </c>
      <c r="C281" t="s">
        <v>16</v>
      </c>
      <c r="D281" s="5">
        <v>17624</v>
      </c>
      <c r="E281">
        <v>23.8</v>
      </c>
      <c r="F281">
        <v>8.6999999999999993</v>
      </c>
    </row>
    <row r="282" spans="1:6" hidden="1">
      <c r="A282" t="s">
        <v>12</v>
      </c>
      <c r="B282">
        <v>1948</v>
      </c>
      <c r="C282" t="s">
        <v>17</v>
      </c>
      <c r="D282" s="5">
        <v>17654</v>
      </c>
      <c r="E282">
        <v>23.9</v>
      </c>
      <c r="F282">
        <v>9.1</v>
      </c>
    </row>
    <row r="283" spans="1:6" hidden="1">
      <c r="A283" t="s">
        <v>12</v>
      </c>
      <c r="B283">
        <v>1948</v>
      </c>
      <c r="C283" t="s">
        <v>18</v>
      </c>
      <c r="D283" s="5">
        <v>17685</v>
      </c>
      <c r="E283">
        <v>24.1</v>
      </c>
      <c r="F283">
        <v>9.5</v>
      </c>
    </row>
    <row r="284" spans="1:6" hidden="1">
      <c r="A284" t="s">
        <v>12</v>
      </c>
      <c r="B284">
        <v>1948</v>
      </c>
      <c r="C284" t="s">
        <v>19</v>
      </c>
      <c r="D284" s="5">
        <v>17715</v>
      </c>
      <c r="E284">
        <v>24.4</v>
      </c>
      <c r="F284">
        <v>9.9</v>
      </c>
    </row>
    <row r="285" spans="1:6" hidden="1">
      <c r="A285" t="s">
        <v>12</v>
      </c>
      <c r="B285">
        <v>1948</v>
      </c>
      <c r="C285" t="s">
        <v>20</v>
      </c>
      <c r="D285" s="5">
        <v>17746</v>
      </c>
      <c r="E285">
        <v>24.5</v>
      </c>
      <c r="F285">
        <v>8.9</v>
      </c>
    </row>
    <row r="286" spans="1:6" hidden="1">
      <c r="A286" t="s">
        <v>12</v>
      </c>
      <c r="B286">
        <v>1948</v>
      </c>
      <c r="C286" t="s">
        <v>21</v>
      </c>
      <c r="D286" s="5">
        <v>17777</v>
      </c>
      <c r="E286">
        <v>24.5</v>
      </c>
      <c r="F286">
        <v>6.5</v>
      </c>
    </row>
    <row r="287" spans="1:6" hidden="1">
      <c r="A287" t="s">
        <v>12</v>
      </c>
      <c r="B287">
        <v>1948</v>
      </c>
      <c r="C287" t="s">
        <v>22</v>
      </c>
      <c r="D287" s="5">
        <v>17807</v>
      </c>
      <c r="E287">
        <v>24.4</v>
      </c>
      <c r="F287">
        <v>6.1</v>
      </c>
    </row>
    <row r="288" spans="1:6" hidden="1">
      <c r="A288" t="s">
        <v>12</v>
      </c>
      <c r="B288">
        <v>1948</v>
      </c>
      <c r="C288" t="s">
        <v>23</v>
      </c>
      <c r="D288" s="5">
        <v>17838</v>
      </c>
      <c r="E288">
        <v>24.2</v>
      </c>
      <c r="F288">
        <v>4.8</v>
      </c>
    </row>
    <row r="289" spans="1:6" hidden="1">
      <c r="A289" t="s">
        <v>12</v>
      </c>
      <c r="B289">
        <v>1948</v>
      </c>
      <c r="C289" t="s">
        <v>24</v>
      </c>
      <c r="D289" s="5">
        <v>17868</v>
      </c>
      <c r="E289">
        <v>24.1</v>
      </c>
      <c r="F289">
        <v>3</v>
      </c>
    </row>
    <row r="290" spans="1:6">
      <c r="A290" t="s">
        <v>12</v>
      </c>
      <c r="B290">
        <v>1949</v>
      </c>
      <c r="C290" t="s">
        <v>13</v>
      </c>
      <c r="D290" s="5">
        <v>17899</v>
      </c>
      <c r="E290">
        <v>24</v>
      </c>
      <c r="F290">
        <v>1.3</v>
      </c>
    </row>
    <row r="291" spans="1:6" hidden="1">
      <c r="A291" t="s">
        <v>12</v>
      </c>
      <c r="B291">
        <v>1949</v>
      </c>
      <c r="C291" t="s">
        <v>14</v>
      </c>
      <c r="D291" s="5">
        <v>17930</v>
      </c>
      <c r="E291">
        <v>23.8</v>
      </c>
      <c r="F291">
        <v>1.3</v>
      </c>
    </row>
    <row r="292" spans="1:6" hidden="1">
      <c r="A292" t="s">
        <v>12</v>
      </c>
      <c r="B292">
        <v>1949</v>
      </c>
      <c r="C292" t="s">
        <v>15</v>
      </c>
      <c r="D292" s="5">
        <v>17958</v>
      </c>
      <c r="E292">
        <v>23.8</v>
      </c>
      <c r="F292">
        <v>1.7</v>
      </c>
    </row>
    <row r="293" spans="1:6" hidden="1">
      <c r="A293" t="s">
        <v>12</v>
      </c>
      <c r="B293">
        <v>1949</v>
      </c>
      <c r="C293" t="s">
        <v>16</v>
      </c>
      <c r="D293" s="5">
        <v>17989</v>
      </c>
      <c r="E293">
        <v>23.9</v>
      </c>
      <c r="F293">
        <v>0.4</v>
      </c>
    </row>
    <row r="294" spans="1:6" hidden="1">
      <c r="A294" t="s">
        <v>12</v>
      </c>
      <c r="B294">
        <v>1949</v>
      </c>
      <c r="C294" t="s">
        <v>17</v>
      </c>
      <c r="D294" s="5">
        <v>18019</v>
      </c>
      <c r="E294">
        <v>23.8</v>
      </c>
      <c r="F294">
        <v>-0.4</v>
      </c>
    </row>
    <row r="295" spans="1:6" hidden="1">
      <c r="A295" t="s">
        <v>12</v>
      </c>
      <c r="B295">
        <v>1949</v>
      </c>
      <c r="C295" t="s">
        <v>18</v>
      </c>
      <c r="D295" s="5">
        <v>18050</v>
      </c>
      <c r="E295">
        <v>23.9</v>
      </c>
      <c r="F295">
        <v>-0.8</v>
      </c>
    </row>
    <row r="296" spans="1:6" hidden="1">
      <c r="A296" t="s">
        <v>12</v>
      </c>
      <c r="B296">
        <v>1949</v>
      </c>
      <c r="C296" t="s">
        <v>19</v>
      </c>
      <c r="D296" s="5">
        <v>18080</v>
      </c>
      <c r="E296">
        <v>23.7</v>
      </c>
      <c r="F296">
        <v>-2.9</v>
      </c>
    </row>
    <row r="297" spans="1:6" hidden="1">
      <c r="A297" t="s">
        <v>12</v>
      </c>
      <c r="B297">
        <v>1949</v>
      </c>
      <c r="C297" t="s">
        <v>20</v>
      </c>
      <c r="D297" s="5">
        <v>18111</v>
      </c>
      <c r="E297">
        <v>23.8</v>
      </c>
      <c r="F297">
        <v>-2.9</v>
      </c>
    </row>
    <row r="298" spans="1:6" hidden="1">
      <c r="A298" t="s">
        <v>12</v>
      </c>
      <c r="B298">
        <v>1949</v>
      </c>
      <c r="C298" t="s">
        <v>21</v>
      </c>
      <c r="D298" s="5">
        <v>18142</v>
      </c>
      <c r="E298">
        <v>23.9</v>
      </c>
      <c r="F298">
        <v>-2.4</v>
      </c>
    </row>
    <row r="299" spans="1:6" hidden="1">
      <c r="A299" t="s">
        <v>12</v>
      </c>
      <c r="B299">
        <v>1949</v>
      </c>
      <c r="C299" t="s">
        <v>22</v>
      </c>
      <c r="D299" s="5">
        <v>18172</v>
      </c>
      <c r="E299">
        <v>23.7</v>
      </c>
      <c r="F299">
        <v>-2.9</v>
      </c>
    </row>
    <row r="300" spans="1:6" hidden="1">
      <c r="A300" t="s">
        <v>12</v>
      </c>
      <c r="B300">
        <v>1949</v>
      </c>
      <c r="C300" t="s">
        <v>23</v>
      </c>
      <c r="D300" s="5">
        <v>18203</v>
      </c>
      <c r="E300">
        <v>23.8</v>
      </c>
      <c r="F300">
        <v>-1.7</v>
      </c>
    </row>
    <row r="301" spans="1:6" hidden="1">
      <c r="A301" t="s">
        <v>12</v>
      </c>
      <c r="B301">
        <v>1949</v>
      </c>
      <c r="C301" t="s">
        <v>24</v>
      </c>
      <c r="D301" s="5">
        <v>18233</v>
      </c>
      <c r="E301">
        <v>23.6</v>
      </c>
      <c r="F301">
        <v>-2.1</v>
      </c>
    </row>
    <row r="302" spans="1:6">
      <c r="A302" t="s">
        <v>12</v>
      </c>
      <c r="B302">
        <v>1950</v>
      </c>
      <c r="C302" t="s">
        <v>13</v>
      </c>
      <c r="D302" s="5">
        <v>18264</v>
      </c>
      <c r="E302">
        <v>23.5</v>
      </c>
      <c r="F302">
        <v>-2.1</v>
      </c>
    </row>
    <row r="303" spans="1:6" hidden="1">
      <c r="A303" t="s">
        <v>12</v>
      </c>
      <c r="B303">
        <v>1950</v>
      </c>
      <c r="C303" t="s">
        <v>14</v>
      </c>
      <c r="D303" s="5">
        <v>18295</v>
      </c>
      <c r="E303">
        <v>23.5</v>
      </c>
      <c r="F303">
        <v>-1.3</v>
      </c>
    </row>
    <row r="304" spans="1:6" hidden="1">
      <c r="A304" t="s">
        <v>12</v>
      </c>
      <c r="B304">
        <v>1950</v>
      </c>
      <c r="C304" t="s">
        <v>15</v>
      </c>
      <c r="D304" s="5">
        <v>18323</v>
      </c>
      <c r="E304">
        <v>23.6</v>
      </c>
      <c r="F304">
        <v>-0.8</v>
      </c>
    </row>
    <row r="305" spans="1:6" hidden="1">
      <c r="A305" t="s">
        <v>12</v>
      </c>
      <c r="B305">
        <v>1950</v>
      </c>
      <c r="C305" t="s">
        <v>16</v>
      </c>
      <c r="D305" s="5">
        <v>18354</v>
      </c>
      <c r="E305">
        <v>23.6</v>
      </c>
      <c r="F305">
        <v>-1.3</v>
      </c>
    </row>
    <row r="306" spans="1:6" hidden="1">
      <c r="A306" t="s">
        <v>12</v>
      </c>
      <c r="B306">
        <v>1950</v>
      </c>
      <c r="C306" t="s">
        <v>17</v>
      </c>
      <c r="D306" s="5">
        <v>18384</v>
      </c>
      <c r="E306">
        <v>23.7</v>
      </c>
      <c r="F306">
        <v>-0.4</v>
      </c>
    </row>
    <row r="307" spans="1:6" hidden="1">
      <c r="A307" t="s">
        <v>12</v>
      </c>
      <c r="B307">
        <v>1950</v>
      </c>
      <c r="C307" t="s">
        <v>18</v>
      </c>
      <c r="D307" s="5">
        <v>18415</v>
      </c>
      <c r="E307">
        <v>23.8</v>
      </c>
      <c r="F307">
        <v>-0.4</v>
      </c>
    </row>
    <row r="308" spans="1:6" hidden="1">
      <c r="A308" t="s">
        <v>12</v>
      </c>
      <c r="B308">
        <v>1950</v>
      </c>
      <c r="C308" t="s">
        <v>19</v>
      </c>
      <c r="D308" s="5">
        <v>18445</v>
      </c>
      <c r="E308">
        <v>24.1</v>
      </c>
      <c r="F308">
        <v>1.7</v>
      </c>
    </row>
    <row r="309" spans="1:6" hidden="1">
      <c r="A309" t="s">
        <v>12</v>
      </c>
      <c r="B309">
        <v>1950</v>
      </c>
      <c r="C309" t="s">
        <v>20</v>
      </c>
      <c r="D309" s="5">
        <v>18476</v>
      </c>
      <c r="E309">
        <v>24.3</v>
      </c>
      <c r="F309">
        <v>2.1</v>
      </c>
    </row>
    <row r="310" spans="1:6" hidden="1">
      <c r="A310" t="s">
        <v>12</v>
      </c>
      <c r="B310">
        <v>1950</v>
      </c>
      <c r="C310" t="s">
        <v>21</v>
      </c>
      <c r="D310" s="5">
        <v>18507</v>
      </c>
      <c r="E310">
        <v>24.4</v>
      </c>
      <c r="F310">
        <v>2.1</v>
      </c>
    </row>
    <row r="311" spans="1:6" hidden="1">
      <c r="A311" t="s">
        <v>12</v>
      </c>
      <c r="B311">
        <v>1950</v>
      </c>
      <c r="C311" t="s">
        <v>22</v>
      </c>
      <c r="D311" s="5">
        <v>18537</v>
      </c>
      <c r="E311">
        <v>24.6</v>
      </c>
      <c r="F311">
        <v>3.8</v>
      </c>
    </row>
    <row r="312" spans="1:6" hidden="1">
      <c r="A312" t="s">
        <v>12</v>
      </c>
      <c r="B312">
        <v>1950</v>
      </c>
      <c r="C312" t="s">
        <v>23</v>
      </c>
      <c r="D312" s="5">
        <v>18568</v>
      </c>
      <c r="E312">
        <v>24.7</v>
      </c>
      <c r="F312">
        <v>3.8</v>
      </c>
    </row>
    <row r="313" spans="1:6" hidden="1">
      <c r="A313" t="s">
        <v>12</v>
      </c>
      <c r="B313">
        <v>1950</v>
      </c>
      <c r="C313" t="s">
        <v>24</v>
      </c>
      <c r="D313" s="5">
        <v>18598</v>
      </c>
      <c r="E313">
        <v>25</v>
      </c>
      <c r="F313">
        <v>5.9</v>
      </c>
    </row>
    <row r="314" spans="1:6">
      <c r="A314" t="s">
        <v>12</v>
      </c>
      <c r="B314">
        <v>1951</v>
      </c>
      <c r="C314" t="s">
        <v>13</v>
      </c>
      <c r="D314" s="5">
        <v>18629</v>
      </c>
      <c r="E314">
        <v>25.4</v>
      </c>
      <c r="F314">
        <v>8.1</v>
      </c>
    </row>
    <row r="315" spans="1:6" hidden="1">
      <c r="A315" t="s">
        <v>12</v>
      </c>
      <c r="B315">
        <v>1951</v>
      </c>
      <c r="C315" t="s">
        <v>14</v>
      </c>
      <c r="D315" s="5">
        <v>18660</v>
      </c>
      <c r="E315">
        <v>25.7</v>
      </c>
      <c r="F315">
        <v>9.4</v>
      </c>
    </row>
    <row r="316" spans="1:6" hidden="1">
      <c r="A316" t="s">
        <v>12</v>
      </c>
      <c r="B316">
        <v>1951</v>
      </c>
      <c r="C316" t="s">
        <v>15</v>
      </c>
      <c r="D316" s="5">
        <v>18688</v>
      </c>
      <c r="E316">
        <v>25.8</v>
      </c>
      <c r="F316">
        <v>9.3000000000000007</v>
      </c>
    </row>
    <row r="317" spans="1:6" hidden="1">
      <c r="A317" t="s">
        <v>12</v>
      </c>
      <c r="B317">
        <v>1951</v>
      </c>
      <c r="C317" t="s">
        <v>16</v>
      </c>
      <c r="D317" s="5">
        <v>18719</v>
      </c>
      <c r="E317">
        <v>25.8</v>
      </c>
      <c r="F317">
        <v>9.3000000000000007</v>
      </c>
    </row>
    <row r="318" spans="1:6" hidden="1">
      <c r="A318" t="s">
        <v>12</v>
      </c>
      <c r="B318">
        <v>1951</v>
      </c>
      <c r="C318" t="s">
        <v>17</v>
      </c>
      <c r="D318" s="5">
        <v>18749</v>
      </c>
      <c r="E318">
        <v>25.9</v>
      </c>
      <c r="F318">
        <v>9.3000000000000007</v>
      </c>
    </row>
    <row r="319" spans="1:6" hidden="1">
      <c r="A319" t="s">
        <v>12</v>
      </c>
      <c r="B319">
        <v>1951</v>
      </c>
      <c r="C319" t="s">
        <v>18</v>
      </c>
      <c r="D319" s="5">
        <v>18780</v>
      </c>
      <c r="E319">
        <v>25.9</v>
      </c>
      <c r="F319">
        <v>8.8000000000000007</v>
      </c>
    </row>
    <row r="320" spans="1:6" hidden="1">
      <c r="A320" t="s">
        <v>12</v>
      </c>
      <c r="B320">
        <v>1951</v>
      </c>
      <c r="C320" t="s">
        <v>19</v>
      </c>
      <c r="D320" s="5">
        <v>18810</v>
      </c>
      <c r="E320">
        <v>25.9</v>
      </c>
      <c r="F320">
        <v>7.5</v>
      </c>
    </row>
    <row r="321" spans="1:6" hidden="1">
      <c r="A321" t="s">
        <v>12</v>
      </c>
      <c r="B321">
        <v>1951</v>
      </c>
      <c r="C321" t="s">
        <v>20</v>
      </c>
      <c r="D321" s="5">
        <v>18841</v>
      </c>
      <c r="E321">
        <v>25.9</v>
      </c>
      <c r="F321">
        <v>6.6</v>
      </c>
    </row>
    <row r="322" spans="1:6" hidden="1">
      <c r="A322" t="s">
        <v>12</v>
      </c>
      <c r="B322">
        <v>1951</v>
      </c>
      <c r="C322" t="s">
        <v>21</v>
      </c>
      <c r="D322" s="5">
        <v>18872</v>
      </c>
      <c r="E322">
        <v>26.1</v>
      </c>
      <c r="F322">
        <v>7</v>
      </c>
    </row>
    <row r="323" spans="1:6" hidden="1">
      <c r="A323" t="s">
        <v>12</v>
      </c>
      <c r="B323">
        <v>1951</v>
      </c>
      <c r="C323" t="s">
        <v>22</v>
      </c>
      <c r="D323" s="5">
        <v>18902</v>
      </c>
      <c r="E323">
        <v>26.2</v>
      </c>
      <c r="F323">
        <v>6.5</v>
      </c>
    </row>
    <row r="324" spans="1:6" hidden="1">
      <c r="A324" t="s">
        <v>12</v>
      </c>
      <c r="B324">
        <v>1951</v>
      </c>
      <c r="C324" t="s">
        <v>23</v>
      </c>
      <c r="D324" s="5">
        <v>18933</v>
      </c>
      <c r="E324">
        <v>26.4</v>
      </c>
      <c r="F324">
        <v>6.9</v>
      </c>
    </row>
    <row r="325" spans="1:6" hidden="1">
      <c r="A325" t="s">
        <v>12</v>
      </c>
      <c r="B325">
        <v>1951</v>
      </c>
      <c r="C325" t="s">
        <v>24</v>
      </c>
      <c r="D325" s="5">
        <v>18963</v>
      </c>
      <c r="E325">
        <v>26.5</v>
      </c>
      <c r="F325">
        <v>6</v>
      </c>
    </row>
    <row r="326" spans="1:6">
      <c r="A326" t="s">
        <v>12</v>
      </c>
      <c r="B326">
        <v>1952</v>
      </c>
      <c r="C326" t="s">
        <v>13</v>
      </c>
      <c r="D326" s="5">
        <v>18994</v>
      </c>
      <c r="E326">
        <v>26.5</v>
      </c>
      <c r="F326">
        <v>4.3</v>
      </c>
    </row>
    <row r="327" spans="1:6" hidden="1">
      <c r="A327" t="s">
        <v>12</v>
      </c>
      <c r="B327">
        <v>1952</v>
      </c>
      <c r="C327" t="s">
        <v>14</v>
      </c>
      <c r="D327" s="5">
        <v>19025</v>
      </c>
      <c r="E327">
        <v>26.3</v>
      </c>
      <c r="F327">
        <v>2.2999999999999998</v>
      </c>
    </row>
    <row r="328" spans="1:6" hidden="1">
      <c r="A328" t="s">
        <v>12</v>
      </c>
      <c r="B328">
        <v>1952</v>
      </c>
      <c r="C328" t="s">
        <v>15</v>
      </c>
      <c r="D328" s="5">
        <v>19054</v>
      </c>
      <c r="E328">
        <v>26.3</v>
      </c>
      <c r="F328">
        <v>1.9</v>
      </c>
    </row>
    <row r="329" spans="1:6" hidden="1">
      <c r="A329" t="s">
        <v>12</v>
      </c>
      <c r="B329">
        <v>1952</v>
      </c>
      <c r="C329" t="s">
        <v>16</v>
      </c>
      <c r="D329" s="5">
        <v>19085</v>
      </c>
      <c r="E329">
        <v>26.4</v>
      </c>
      <c r="F329">
        <v>2.2999999999999998</v>
      </c>
    </row>
    <row r="330" spans="1:6" hidden="1">
      <c r="A330" t="s">
        <v>12</v>
      </c>
      <c r="B330">
        <v>1952</v>
      </c>
      <c r="C330" t="s">
        <v>17</v>
      </c>
      <c r="D330" s="5">
        <v>19115</v>
      </c>
      <c r="E330">
        <v>26.4</v>
      </c>
      <c r="F330">
        <v>1.9</v>
      </c>
    </row>
    <row r="331" spans="1:6" hidden="1">
      <c r="A331" t="s">
        <v>12</v>
      </c>
      <c r="B331">
        <v>1952</v>
      </c>
      <c r="C331" t="s">
        <v>18</v>
      </c>
      <c r="D331" s="5">
        <v>19146</v>
      </c>
      <c r="E331">
        <v>26.5</v>
      </c>
      <c r="F331">
        <v>2.2999999999999998</v>
      </c>
    </row>
    <row r="332" spans="1:6" hidden="1">
      <c r="A332" t="s">
        <v>12</v>
      </c>
      <c r="B332">
        <v>1952</v>
      </c>
      <c r="C332" t="s">
        <v>19</v>
      </c>
      <c r="D332" s="5">
        <v>19176</v>
      </c>
      <c r="E332">
        <v>26.7</v>
      </c>
      <c r="F332">
        <v>3.1</v>
      </c>
    </row>
    <row r="333" spans="1:6" hidden="1">
      <c r="A333" t="s">
        <v>12</v>
      </c>
      <c r="B333">
        <v>1952</v>
      </c>
      <c r="C333" t="s">
        <v>20</v>
      </c>
      <c r="D333" s="5">
        <v>19207</v>
      </c>
      <c r="E333">
        <v>26.7</v>
      </c>
      <c r="F333">
        <v>3.1</v>
      </c>
    </row>
    <row r="334" spans="1:6" hidden="1">
      <c r="A334" t="s">
        <v>12</v>
      </c>
      <c r="B334">
        <v>1952</v>
      </c>
      <c r="C334" t="s">
        <v>21</v>
      </c>
      <c r="D334" s="5">
        <v>19238</v>
      </c>
      <c r="E334">
        <v>26.7</v>
      </c>
      <c r="F334">
        <v>2.2999999999999998</v>
      </c>
    </row>
    <row r="335" spans="1:6" hidden="1">
      <c r="A335" t="s">
        <v>12</v>
      </c>
      <c r="B335">
        <v>1952</v>
      </c>
      <c r="C335" t="s">
        <v>22</v>
      </c>
      <c r="D335" s="5">
        <v>19268</v>
      </c>
      <c r="E335">
        <v>26.7</v>
      </c>
      <c r="F335">
        <v>1.9</v>
      </c>
    </row>
    <row r="336" spans="1:6" hidden="1">
      <c r="A336" t="s">
        <v>12</v>
      </c>
      <c r="B336">
        <v>1952</v>
      </c>
      <c r="C336" t="s">
        <v>23</v>
      </c>
      <c r="D336" s="5">
        <v>19299</v>
      </c>
      <c r="E336">
        <v>26.7</v>
      </c>
      <c r="F336">
        <v>1.1000000000000001</v>
      </c>
    </row>
    <row r="337" spans="1:6" hidden="1">
      <c r="A337" t="s">
        <v>12</v>
      </c>
      <c r="B337">
        <v>1952</v>
      </c>
      <c r="C337" t="s">
        <v>24</v>
      </c>
      <c r="D337" s="5">
        <v>19329</v>
      </c>
      <c r="E337">
        <v>26.7</v>
      </c>
      <c r="F337">
        <v>0.8</v>
      </c>
    </row>
    <row r="338" spans="1:6">
      <c r="A338" t="s">
        <v>12</v>
      </c>
      <c r="B338">
        <v>1953</v>
      </c>
      <c r="C338" t="s">
        <v>13</v>
      </c>
      <c r="D338" s="5">
        <v>19360</v>
      </c>
      <c r="E338">
        <v>26.6</v>
      </c>
      <c r="F338">
        <v>0.4</v>
      </c>
    </row>
    <row r="339" spans="1:6" hidden="1">
      <c r="A339" t="s">
        <v>12</v>
      </c>
      <c r="B339">
        <v>1953</v>
      </c>
      <c r="C339" t="s">
        <v>14</v>
      </c>
      <c r="D339" s="5">
        <v>19391</v>
      </c>
      <c r="E339">
        <v>26.5</v>
      </c>
      <c r="F339">
        <v>0.8</v>
      </c>
    </row>
    <row r="340" spans="1:6" hidden="1">
      <c r="A340" t="s">
        <v>12</v>
      </c>
      <c r="B340">
        <v>1953</v>
      </c>
      <c r="C340" t="s">
        <v>15</v>
      </c>
      <c r="D340" s="5">
        <v>19419</v>
      </c>
      <c r="E340">
        <v>26.6</v>
      </c>
      <c r="F340">
        <v>1.1000000000000001</v>
      </c>
    </row>
    <row r="341" spans="1:6" hidden="1">
      <c r="A341" t="s">
        <v>12</v>
      </c>
      <c r="B341">
        <v>1953</v>
      </c>
      <c r="C341" t="s">
        <v>16</v>
      </c>
      <c r="D341" s="5">
        <v>19450</v>
      </c>
      <c r="E341">
        <v>26.6</v>
      </c>
      <c r="F341">
        <v>0.8</v>
      </c>
    </row>
    <row r="342" spans="1:6" hidden="1">
      <c r="A342" t="s">
        <v>12</v>
      </c>
      <c r="B342">
        <v>1953</v>
      </c>
      <c r="C342" t="s">
        <v>17</v>
      </c>
      <c r="D342" s="5">
        <v>19480</v>
      </c>
      <c r="E342">
        <v>26.7</v>
      </c>
      <c r="F342">
        <v>1.1000000000000001</v>
      </c>
    </row>
    <row r="343" spans="1:6" hidden="1">
      <c r="A343" t="s">
        <v>12</v>
      </c>
      <c r="B343">
        <v>1953</v>
      </c>
      <c r="C343" t="s">
        <v>18</v>
      </c>
      <c r="D343" s="5">
        <v>19511</v>
      </c>
      <c r="E343">
        <v>26.8</v>
      </c>
      <c r="F343">
        <v>1.1000000000000001</v>
      </c>
    </row>
    <row r="344" spans="1:6" hidden="1">
      <c r="A344" t="s">
        <v>12</v>
      </c>
      <c r="B344">
        <v>1953</v>
      </c>
      <c r="C344" t="s">
        <v>19</v>
      </c>
      <c r="D344" s="5">
        <v>19541</v>
      </c>
      <c r="E344">
        <v>26.8</v>
      </c>
      <c r="F344">
        <v>0.4</v>
      </c>
    </row>
    <row r="345" spans="1:6" hidden="1">
      <c r="A345" t="s">
        <v>12</v>
      </c>
      <c r="B345">
        <v>1953</v>
      </c>
      <c r="C345" t="s">
        <v>20</v>
      </c>
      <c r="D345" s="5">
        <v>19572</v>
      </c>
      <c r="E345">
        <v>26.9</v>
      </c>
      <c r="F345">
        <v>0.7</v>
      </c>
    </row>
    <row r="346" spans="1:6" hidden="1">
      <c r="A346" t="s">
        <v>12</v>
      </c>
      <c r="B346">
        <v>1953</v>
      </c>
      <c r="C346" t="s">
        <v>21</v>
      </c>
      <c r="D346" s="5">
        <v>19603</v>
      </c>
      <c r="E346">
        <v>26.9</v>
      </c>
      <c r="F346">
        <v>0.7</v>
      </c>
    </row>
    <row r="347" spans="1:6" hidden="1">
      <c r="A347" t="s">
        <v>12</v>
      </c>
      <c r="B347">
        <v>1953</v>
      </c>
      <c r="C347" t="s">
        <v>22</v>
      </c>
      <c r="D347" s="5">
        <v>19633</v>
      </c>
      <c r="E347">
        <v>27</v>
      </c>
      <c r="F347">
        <v>1.1000000000000001</v>
      </c>
    </row>
    <row r="348" spans="1:6" hidden="1">
      <c r="A348" t="s">
        <v>12</v>
      </c>
      <c r="B348">
        <v>1953</v>
      </c>
      <c r="C348" t="s">
        <v>23</v>
      </c>
      <c r="D348" s="5">
        <v>19664</v>
      </c>
      <c r="E348">
        <v>26.9</v>
      </c>
      <c r="F348">
        <v>0.7</v>
      </c>
    </row>
    <row r="349" spans="1:6" hidden="1">
      <c r="A349" t="s">
        <v>12</v>
      </c>
      <c r="B349">
        <v>1953</v>
      </c>
      <c r="C349" t="s">
        <v>24</v>
      </c>
      <c r="D349" s="5">
        <v>19694</v>
      </c>
      <c r="E349">
        <v>26.9</v>
      </c>
      <c r="F349">
        <v>0.7</v>
      </c>
    </row>
    <row r="350" spans="1:6">
      <c r="A350" t="s">
        <v>12</v>
      </c>
      <c r="B350">
        <v>1954</v>
      </c>
      <c r="C350" t="s">
        <v>13</v>
      </c>
      <c r="D350" s="5">
        <v>19725</v>
      </c>
      <c r="E350">
        <v>26.9</v>
      </c>
      <c r="F350">
        <v>1.1000000000000001</v>
      </c>
    </row>
    <row r="351" spans="1:6" hidden="1">
      <c r="A351" t="s">
        <v>12</v>
      </c>
      <c r="B351">
        <v>1954</v>
      </c>
      <c r="C351" t="s">
        <v>14</v>
      </c>
      <c r="D351" s="5">
        <v>19756</v>
      </c>
      <c r="E351">
        <v>26.9</v>
      </c>
      <c r="F351">
        <v>1.5</v>
      </c>
    </row>
    <row r="352" spans="1:6" hidden="1">
      <c r="A352" t="s">
        <v>12</v>
      </c>
      <c r="B352">
        <v>1954</v>
      </c>
      <c r="C352" t="s">
        <v>15</v>
      </c>
      <c r="D352" s="5">
        <v>19784</v>
      </c>
      <c r="E352">
        <v>26.9</v>
      </c>
      <c r="F352">
        <v>1.1000000000000001</v>
      </c>
    </row>
    <row r="353" spans="1:6" hidden="1">
      <c r="A353" t="s">
        <v>12</v>
      </c>
      <c r="B353">
        <v>1954</v>
      </c>
      <c r="C353" t="s">
        <v>16</v>
      </c>
      <c r="D353" s="5">
        <v>19815</v>
      </c>
      <c r="E353">
        <v>26.8</v>
      </c>
      <c r="F353">
        <v>0.8</v>
      </c>
    </row>
    <row r="354" spans="1:6" hidden="1">
      <c r="A354" t="s">
        <v>12</v>
      </c>
      <c r="B354">
        <v>1954</v>
      </c>
      <c r="C354" t="s">
        <v>17</v>
      </c>
      <c r="D354" s="5">
        <v>19845</v>
      </c>
      <c r="E354">
        <v>26.9</v>
      </c>
      <c r="F354">
        <v>0.7</v>
      </c>
    </row>
    <row r="355" spans="1:6" hidden="1">
      <c r="A355" t="s">
        <v>12</v>
      </c>
      <c r="B355">
        <v>1954</v>
      </c>
      <c r="C355" t="s">
        <v>18</v>
      </c>
      <c r="D355" s="5">
        <v>19876</v>
      </c>
      <c r="E355">
        <v>26.9</v>
      </c>
      <c r="F355">
        <v>0.4</v>
      </c>
    </row>
    <row r="356" spans="1:6" hidden="1">
      <c r="A356" t="s">
        <v>12</v>
      </c>
      <c r="B356">
        <v>1954</v>
      </c>
      <c r="C356" t="s">
        <v>19</v>
      </c>
      <c r="D356" s="5">
        <v>19906</v>
      </c>
      <c r="E356">
        <v>26.9</v>
      </c>
      <c r="F356">
        <v>0.4</v>
      </c>
    </row>
    <row r="357" spans="1:6" hidden="1">
      <c r="A357" t="s">
        <v>12</v>
      </c>
      <c r="B357">
        <v>1954</v>
      </c>
      <c r="C357" t="s">
        <v>20</v>
      </c>
      <c r="D357" s="5">
        <v>19937</v>
      </c>
      <c r="E357">
        <v>26.9</v>
      </c>
      <c r="F357">
        <v>0</v>
      </c>
    </row>
    <row r="358" spans="1:6" hidden="1">
      <c r="A358" t="s">
        <v>12</v>
      </c>
      <c r="B358">
        <v>1954</v>
      </c>
      <c r="C358" t="s">
        <v>21</v>
      </c>
      <c r="D358" s="5">
        <v>19968</v>
      </c>
      <c r="E358">
        <v>26.8</v>
      </c>
      <c r="F358">
        <v>-0.4</v>
      </c>
    </row>
    <row r="359" spans="1:6" hidden="1">
      <c r="A359" t="s">
        <v>12</v>
      </c>
      <c r="B359">
        <v>1954</v>
      </c>
      <c r="C359" t="s">
        <v>22</v>
      </c>
      <c r="D359" s="5">
        <v>19998</v>
      </c>
      <c r="E359">
        <v>26.8</v>
      </c>
      <c r="F359">
        <v>-0.7</v>
      </c>
    </row>
    <row r="360" spans="1:6" hidden="1">
      <c r="A360" t="s">
        <v>12</v>
      </c>
      <c r="B360">
        <v>1954</v>
      </c>
      <c r="C360" t="s">
        <v>23</v>
      </c>
      <c r="D360" s="5">
        <v>20029</v>
      </c>
      <c r="E360">
        <v>26.8</v>
      </c>
      <c r="F360">
        <v>-0.4</v>
      </c>
    </row>
    <row r="361" spans="1:6" hidden="1">
      <c r="A361" t="s">
        <v>12</v>
      </c>
      <c r="B361">
        <v>1954</v>
      </c>
      <c r="C361" t="s">
        <v>24</v>
      </c>
      <c r="D361" s="5">
        <v>20059</v>
      </c>
      <c r="E361">
        <v>26.7</v>
      </c>
      <c r="F361">
        <v>-0.7</v>
      </c>
    </row>
    <row r="362" spans="1:6">
      <c r="A362" t="s">
        <v>12</v>
      </c>
      <c r="B362">
        <v>1955</v>
      </c>
      <c r="C362" t="s">
        <v>13</v>
      </c>
      <c r="D362" s="5">
        <v>20090</v>
      </c>
      <c r="E362">
        <v>26.7</v>
      </c>
      <c r="F362">
        <v>-0.7</v>
      </c>
    </row>
    <row r="363" spans="1:6" hidden="1">
      <c r="A363" t="s">
        <v>12</v>
      </c>
      <c r="B363">
        <v>1955</v>
      </c>
      <c r="C363" t="s">
        <v>14</v>
      </c>
      <c r="D363" s="5">
        <v>20121</v>
      </c>
      <c r="E363">
        <v>26.7</v>
      </c>
      <c r="F363">
        <v>-0.7</v>
      </c>
    </row>
    <row r="364" spans="1:6" hidden="1">
      <c r="A364" t="s">
        <v>12</v>
      </c>
      <c r="B364">
        <v>1955</v>
      </c>
      <c r="C364" t="s">
        <v>15</v>
      </c>
      <c r="D364" s="5">
        <v>20149</v>
      </c>
      <c r="E364">
        <v>26.7</v>
      </c>
      <c r="F364">
        <v>-0.7</v>
      </c>
    </row>
    <row r="365" spans="1:6" hidden="1">
      <c r="A365" t="s">
        <v>12</v>
      </c>
      <c r="B365">
        <v>1955</v>
      </c>
      <c r="C365" t="s">
        <v>16</v>
      </c>
      <c r="D365" s="5">
        <v>20180</v>
      </c>
      <c r="E365">
        <v>26.7</v>
      </c>
      <c r="F365">
        <v>-0.4</v>
      </c>
    </row>
    <row r="366" spans="1:6" hidden="1">
      <c r="A366" t="s">
        <v>12</v>
      </c>
      <c r="B366">
        <v>1955</v>
      </c>
      <c r="C366" t="s">
        <v>17</v>
      </c>
      <c r="D366" s="5">
        <v>20210</v>
      </c>
      <c r="E366">
        <v>26.7</v>
      </c>
      <c r="F366">
        <v>-0.7</v>
      </c>
    </row>
    <row r="367" spans="1:6" hidden="1">
      <c r="A367" t="s">
        <v>12</v>
      </c>
      <c r="B367">
        <v>1955</v>
      </c>
      <c r="C367" t="s">
        <v>18</v>
      </c>
      <c r="D367" s="5">
        <v>20241</v>
      </c>
      <c r="E367">
        <v>26.7</v>
      </c>
      <c r="F367">
        <v>-0.7</v>
      </c>
    </row>
    <row r="368" spans="1:6" hidden="1">
      <c r="A368" t="s">
        <v>12</v>
      </c>
      <c r="B368">
        <v>1955</v>
      </c>
      <c r="C368" t="s">
        <v>19</v>
      </c>
      <c r="D368" s="5">
        <v>20271</v>
      </c>
      <c r="E368">
        <v>26.8</v>
      </c>
      <c r="F368">
        <v>-0.4</v>
      </c>
    </row>
    <row r="369" spans="1:6" hidden="1">
      <c r="A369" t="s">
        <v>12</v>
      </c>
      <c r="B369">
        <v>1955</v>
      </c>
      <c r="C369" t="s">
        <v>20</v>
      </c>
      <c r="D369" s="5">
        <v>20302</v>
      </c>
      <c r="E369">
        <v>26.8</v>
      </c>
      <c r="F369">
        <v>-0.4</v>
      </c>
    </row>
    <row r="370" spans="1:6" hidden="1">
      <c r="A370" t="s">
        <v>12</v>
      </c>
      <c r="B370">
        <v>1955</v>
      </c>
      <c r="C370" t="s">
        <v>21</v>
      </c>
      <c r="D370" s="5">
        <v>20333</v>
      </c>
      <c r="E370">
        <v>26.9</v>
      </c>
      <c r="F370">
        <v>0.4</v>
      </c>
    </row>
    <row r="371" spans="1:6" hidden="1">
      <c r="A371" t="s">
        <v>12</v>
      </c>
      <c r="B371">
        <v>1955</v>
      </c>
      <c r="C371" t="s">
        <v>22</v>
      </c>
      <c r="D371" s="5">
        <v>20363</v>
      </c>
      <c r="E371">
        <v>26.9</v>
      </c>
      <c r="F371">
        <v>0.4</v>
      </c>
    </row>
    <row r="372" spans="1:6" hidden="1">
      <c r="A372" t="s">
        <v>12</v>
      </c>
      <c r="B372">
        <v>1955</v>
      </c>
      <c r="C372" t="s">
        <v>23</v>
      </c>
      <c r="D372" s="5">
        <v>20394</v>
      </c>
      <c r="E372">
        <v>26.9</v>
      </c>
      <c r="F372">
        <v>0.4</v>
      </c>
    </row>
    <row r="373" spans="1:6" hidden="1">
      <c r="A373" t="s">
        <v>12</v>
      </c>
      <c r="B373">
        <v>1955</v>
      </c>
      <c r="C373" t="s">
        <v>24</v>
      </c>
      <c r="D373" s="5">
        <v>20424</v>
      </c>
      <c r="E373">
        <v>26.8</v>
      </c>
      <c r="F373">
        <v>0.4</v>
      </c>
    </row>
    <row r="374" spans="1:6">
      <c r="A374" t="s">
        <v>12</v>
      </c>
      <c r="B374">
        <v>1956</v>
      </c>
      <c r="C374" t="s">
        <v>13</v>
      </c>
      <c r="D374" s="5">
        <v>20455</v>
      </c>
      <c r="E374">
        <v>26.8</v>
      </c>
      <c r="F374">
        <v>0.4</v>
      </c>
    </row>
    <row r="375" spans="1:6" hidden="1">
      <c r="A375" t="s">
        <v>12</v>
      </c>
      <c r="B375">
        <v>1956</v>
      </c>
      <c r="C375" t="s">
        <v>14</v>
      </c>
      <c r="D375" s="5">
        <v>20486</v>
      </c>
      <c r="E375">
        <v>26.8</v>
      </c>
      <c r="F375">
        <v>0.4</v>
      </c>
    </row>
    <row r="376" spans="1:6" hidden="1">
      <c r="A376" t="s">
        <v>12</v>
      </c>
      <c r="B376">
        <v>1956</v>
      </c>
      <c r="C376" t="s">
        <v>15</v>
      </c>
      <c r="D376" s="5">
        <v>20515</v>
      </c>
      <c r="E376">
        <v>26.8</v>
      </c>
      <c r="F376">
        <v>0.4</v>
      </c>
    </row>
    <row r="377" spans="1:6" hidden="1">
      <c r="A377" t="s">
        <v>12</v>
      </c>
      <c r="B377">
        <v>1956</v>
      </c>
      <c r="C377" t="s">
        <v>16</v>
      </c>
      <c r="D377" s="5">
        <v>20546</v>
      </c>
      <c r="E377">
        <v>26.9</v>
      </c>
      <c r="F377">
        <v>0.7</v>
      </c>
    </row>
    <row r="378" spans="1:6" hidden="1">
      <c r="A378" t="s">
        <v>12</v>
      </c>
      <c r="B378">
        <v>1956</v>
      </c>
      <c r="C378" t="s">
        <v>17</v>
      </c>
      <c r="D378" s="5">
        <v>20576</v>
      </c>
      <c r="E378">
        <v>27</v>
      </c>
      <c r="F378">
        <v>1.1000000000000001</v>
      </c>
    </row>
    <row r="379" spans="1:6" hidden="1">
      <c r="A379" t="s">
        <v>12</v>
      </c>
      <c r="B379">
        <v>1956</v>
      </c>
      <c r="C379" t="s">
        <v>18</v>
      </c>
      <c r="D379" s="5">
        <v>20607</v>
      </c>
      <c r="E379">
        <v>27.2</v>
      </c>
      <c r="F379">
        <v>1.9</v>
      </c>
    </row>
    <row r="380" spans="1:6" hidden="1">
      <c r="A380" t="s">
        <v>12</v>
      </c>
      <c r="B380">
        <v>1956</v>
      </c>
      <c r="C380" t="s">
        <v>19</v>
      </c>
      <c r="D380" s="5">
        <v>20637</v>
      </c>
      <c r="E380">
        <v>27.4</v>
      </c>
      <c r="F380">
        <v>2.2000000000000002</v>
      </c>
    </row>
    <row r="381" spans="1:6" hidden="1">
      <c r="A381" t="s">
        <v>12</v>
      </c>
      <c r="B381">
        <v>1956</v>
      </c>
      <c r="C381" t="s">
        <v>20</v>
      </c>
      <c r="D381" s="5">
        <v>20668</v>
      </c>
      <c r="E381">
        <v>27.3</v>
      </c>
      <c r="F381">
        <v>1.9</v>
      </c>
    </row>
    <row r="382" spans="1:6" hidden="1">
      <c r="A382" t="s">
        <v>12</v>
      </c>
      <c r="B382">
        <v>1956</v>
      </c>
      <c r="C382" t="s">
        <v>21</v>
      </c>
      <c r="D382" s="5">
        <v>20699</v>
      </c>
      <c r="E382">
        <v>27.4</v>
      </c>
      <c r="F382">
        <v>1.9</v>
      </c>
    </row>
    <row r="383" spans="1:6" hidden="1">
      <c r="A383" t="s">
        <v>12</v>
      </c>
      <c r="B383">
        <v>1956</v>
      </c>
      <c r="C383" t="s">
        <v>22</v>
      </c>
      <c r="D383" s="5">
        <v>20729</v>
      </c>
      <c r="E383">
        <v>27.5</v>
      </c>
      <c r="F383">
        <v>2.2000000000000002</v>
      </c>
    </row>
    <row r="384" spans="1:6" hidden="1">
      <c r="A384" t="s">
        <v>12</v>
      </c>
      <c r="B384">
        <v>1956</v>
      </c>
      <c r="C384" t="s">
        <v>23</v>
      </c>
      <c r="D384" s="5">
        <v>20760</v>
      </c>
      <c r="E384">
        <v>27.5</v>
      </c>
      <c r="F384">
        <v>2.2000000000000002</v>
      </c>
    </row>
    <row r="385" spans="1:6" hidden="1">
      <c r="A385" t="s">
        <v>12</v>
      </c>
      <c r="B385">
        <v>1956</v>
      </c>
      <c r="C385" t="s">
        <v>24</v>
      </c>
      <c r="D385" s="5">
        <v>20790</v>
      </c>
      <c r="E385">
        <v>27.6</v>
      </c>
      <c r="F385">
        <v>3</v>
      </c>
    </row>
    <row r="386" spans="1:6">
      <c r="A386" t="s">
        <v>12</v>
      </c>
      <c r="B386">
        <v>1957</v>
      </c>
      <c r="C386" t="s">
        <v>13</v>
      </c>
      <c r="D386" s="5">
        <v>20821</v>
      </c>
      <c r="E386">
        <v>27.6</v>
      </c>
      <c r="F386">
        <v>3</v>
      </c>
    </row>
    <row r="387" spans="1:6" hidden="1">
      <c r="A387" t="s">
        <v>12</v>
      </c>
      <c r="B387">
        <v>1957</v>
      </c>
      <c r="C387" t="s">
        <v>14</v>
      </c>
      <c r="D387" s="5">
        <v>20852</v>
      </c>
      <c r="E387">
        <v>27.7</v>
      </c>
      <c r="F387">
        <v>3.4</v>
      </c>
    </row>
    <row r="388" spans="1:6" hidden="1">
      <c r="A388" t="s">
        <v>12</v>
      </c>
      <c r="B388">
        <v>1957</v>
      </c>
      <c r="C388" t="s">
        <v>15</v>
      </c>
      <c r="D388" s="5">
        <v>20880</v>
      </c>
      <c r="E388">
        <v>27.8</v>
      </c>
      <c r="F388">
        <v>3.7</v>
      </c>
    </row>
    <row r="389" spans="1:6" hidden="1">
      <c r="A389" t="s">
        <v>12</v>
      </c>
      <c r="B389">
        <v>1957</v>
      </c>
      <c r="C389" t="s">
        <v>16</v>
      </c>
      <c r="D389" s="5">
        <v>20911</v>
      </c>
      <c r="E389">
        <v>27.9</v>
      </c>
      <c r="F389">
        <v>3.7</v>
      </c>
    </row>
    <row r="390" spans="1:6" hidden="1">
      <c r="A390" t="s">
        <v>12</v>
      </c>
      <c r="B390">
        <v>1957</v>
      </c>
      <c r="C390" t="s">
        <v>17</v>
      </c>
      <c r="D390" s="5">
        <v>20941</v>
      </c>
      <c r="E390">
        <v>28</v>
      </c>
      <c r="F390">
        <v>3.7</v>
      </c>
    </row>
    <row r="391" spans="1:6" hidden="1">
      <c r="A391" t="s">
        <v>12</v>
      </c>
      <c r="B391">
        <v>1957</v>
      </c>
      <c r="C391" t="s">
        <v>18</v>
      </c>
      <c r="D391" s="5">
        <v>20972</v>
      </c>
      <c r="E391">
        <v>28.1</v>
      </c>
      <c r="F391">
        <v>3.3</v>
      </c>
    </row>
    <row r="392" spans="1:6" hidden="1">
      <c r="A392" t="s">
        <v>12</v>
      </c>
      <c r="B392">
        <v>1957</v>
      </c>
      <c r="C392" t="s">
        <v>19</v>
      </c>
      <c r="D392" s="5">
        <v>21002</v>
      </c>
      <c r="E392">
        <v>28.3</v>
      </c>
      <c r="F392">
        <v>3.3</v>
      </c>
    </row>
    <row r="393" spans="1:6" hidden="1">
      <c r="A393" t="s">
        <v>12</v>
      </c>
      <c r="B393">
        <v>1957</v>
      </c>
      <c r="C393" t="s">
        <v>20</v>
      </c>
      <c r="D393" s="5">
        <v>21033</v>
      </c>
      <c r="E393">
        <v>28.3</v>
      </c>
      <c r="F393">
        <v>3.7</v>
      </c>
    </row>
    <row r="394" spans="1:6" hidden="1">
      <c r="A394" t="s">
        <v>12</v>
      </c>
      <c r="B394">
        <v>1957</v>
      </c>
      <c r="C394" t="s">
        <v>21</v>
      </c>
      <c r="D394" s="5">
        <v>21064</v>
      </c>
      <c r="E394">
        <v>28.3</v>
      </c>
      <c r="F394">
        <v>3.3</v>
      </c>
    </row>
    <row r="395" spans="1:6" hidden="1">
      <c r="A395" t="s">
        <v>12</v>
      </c>
      <c r="B395">
        <v>1957</v>
      </c>
      <c r="C395" t="s">
        <v>22</v>
      </c>
      <c r="D395" s="5">
        <v>21094</v>
      </c>
      <c r="E395">
        <v>28.3</v>
      </c>
      <c r="F395">
        <v>2.9</v>
      </c>
    </row>
    <row r="396" spans="1:6" hidden="1">
      <c r="A396" t="s">
        <v>12</v>
      </c>
      <c r="B396">
        <v>1957</v>
      </c>
      <c r="C396" t="s">
        <v>23</v>
      </c>
      <c r="D396" s="5">
        <v>21125</v>
      </c>
      <c r="E396">
        <v>28.4</v>
      </c>
      <c r="F396">
        <v>3.3</v>
      </c>
    </row>
    <row r="397" spans="1:6" hidden="1">
      <c r="A397" t="s">
        <v>12</v>
      </c>
      <c r="B397">
        <v>1957</v>
      </c>
      <c r="C397" t="s">
        <v>24</v>
      </c>
      <c r="D397" s="5">
        <v>21155</v>
      </c>
      <c r="E397">
        <v>28.4</v>
      </c>
      <c r="F397">
        <v>2.9</v>
      </c>
    </row>
    <row r="398" spans="1:6">
      <c r="A398" t="s">
        <v>12</v>
      </c>
      <c r="B398">
        <v>1958</v>
      </c>
      <c r="C398" t="s">
        <v>13</v>
      </c>
      <c r="D398" s="5">
        <v>21186</v>
      </c>
      <c r="E398">
        <v>28.6</v>
      </c>
      <c r="F398">
        <v>3.6</v>
      </c>
    </row>
    <row r="399" spans="1:6" hidden="1">
      <c r="A399" t="s">
        <v>12</v>
      </c>
      <c r="B399">
        <v>1958</v>
      </c>
      <c r="C399" t="s">
        <v>14</v>
      </c>
      <c r="D399" s="5">
        <v>21217</v>
      </c>
      <c r="E399">
        <v>28.6</v>
      </c>
      <c r="F399">
        <v>3.2</v>
      </c>
    </row>
    <row r="400" spans="1:6" hidden="1">
      <c r="A400" t="s">
        <v>12</v>
      </c>
      <c r="B400">
        <v>1958</v>
      </c>
      <c r="C400" t="s">
        <v>15</v>
      </c>
      <c r="D400" s="5">
        <v>21245</v>
      </c>
      <c r="E400">
        <v>28.8</v>
      </c>
      <c r="F400">
        <v>3.6</v>
      </c>
    </row>
    <row r="401" spans="1:6" hidden="1">
      <c r="A401" t="s">
        <v>12</v>
      </c>
      <c r="B401">
        <v>1958</v>
      </c>
      <c r="C401" t="s">
        <v>16</v>
      </c>
      <c r="D401" s="5">
        <v>21276</v>
      </c>
      <c r="E401">
        <v>28.9</v>
      </c>
      <c r="F401">
        <v>3.6</v>
      </c>
    </row>
    <row r="402" spans="1:6" hidden="1">
      <c r="A402" t="s">
        <v>12</v>
      </c>
      <c r="B402">
        <v>1958</v>
      </c>
      <c r="C402" t="s">
        <v>17</v>
      </c>
      <c r="D402" s="5">
        <v>21306</v>
      </c>
      <c r="E402">
        <v>28.9</v>
      </c>
      <c r="F402">
        <v>3.2</v>
      </c>
    </row>
    <row r="403" spans="1:6" hidden="1">
      <c r="A403" t="s">
        <v>12</v>
      </c>
      <c r="B403">
        <v>1958</v>
      </c>
      <c r="C403" t="s">
        <v>18</v>
      </c>
      <c r="D403" s="5">
        <v>21337</v>
      </c>
      <c r="E403">
        <v>28.9</v>
      </c>
      <c r="F403">
        <v>2.8</v>
      </c>
    </row>
    <row r="404" spans="1:6" hidden="1">
      <c r="A404" t="s">
        <v>12</v>
      </c>
      <c r="B404">
        <v>1958</v>
      </c>
      <c r="C404" t="s">
        <v>19</v>
      </c>
      <c r="D404" s="5">
        <v>21367</v>
      </c>
      <c r="E404">
        <v>29</v>
      </c>
      <c r="F404">
        <v>2.5</v>
      </c>
    </row>
    <row r="405" spans="1:6" hidden="1">
      <c r="A405" t="s">
        <v>12</v>
      </c>
      <c r="B405">
        <v>1958</v>
      </c>
      <c r="C405" t="s">
        <v>20</v>
      </c>
      <c r="D405" s="5">
        <v>21398</v>
      </c>
      <c r="E405">
        <v>28.9</v>
      </c>
      <c r="F405">
        <v>2.1</v>
      </c>
    </row>
    <row r="406" spans="1:6" hidden="1">
      <c r="A406" t="s">
        <v>12</v>
      </c>
      <c r="B406">
        <v>1958</v>
      </c>
      <c r="C406" t="s">
        <v>21</v>
      </c>
      <c r="D406" s="5">
        <v>21429</v>
      </c>
      <c r="E406">
        <v>28.9</v>
      </c>
      <c r="F406">
        <v>2.1</v>
      </c>
    </row>
    <row r="407" spans="1:6" hidden="1">
      <c r="A407" t="s">
        <v>12</v>
      </c>
      <c r="B407">
        <v>1958</v>
      </c>
      <c r="C407" t="s">
        <v>22</v>
      </c>
      <c r="D407" s="5">
        <v>21459</v>
      </c>
      <c r="E407">
        <v>28.9</v>
      </c>
      <c r="F407">
        <v>2.1</v>
      </c>
    </row>
    <row r="408" spans="1:6" hidden="1">
      <c r="A408" t="s">
        <v>12</v>
      </c>
      <c r="B408">
        <v>1958</v>
      </c>
      <c r="C408" t="s">
        <v>23</v>
      </c>
      <c r="D408" s="5">
        <v>21490</v>
      </c>
      <c r="E408">
        <v>29</v>
      </c>
      <c r="F408">
        <v>2.1</v>
      </c>
    </row>
    <row r="409" spans="1:6" hidden="1">
      <c r="A409" t="s">
        <v>12</v>
      </c>
      <c r="B409">
        <v>1958</v>
      </c>
      <c r="C409" t="s">
        <v>24</v>
      </c>
      <c r="D409" s="5">
        <v>21520</v>
      </c>
      <c r="E409">
        <v>28.9</v>
      </c>
      <c r="F409">
        <v>1.8</v>
      </c>
    </row>
    <row r="410" spans="1:6">
      <c r="A410" t="s">
        <v>12</v>
      </c>
      <c r="B410">
        <v>1959</v>
      </c>
      <c r="C410" t="s">
        <v>13</v>
      </c>
      <c r="D410" s="5">
        <v>21551</v>
      </c>
      <c r="E410">
        <v>29</v>
      </c>
      <c r="F410">
        <v>1.4</v>
      </c>
    </row>
    <row r="411" spans="1:6" hidden="1">
      <c r="A411" t="s">
        <v>12</v>
      </c>
      <c r="B411">
        <v>1959</v>
      </c>
      <c r="C411" t="s">
        <v>14</v>
      </c>
      <c r="D411" s="5">
        <v>21582</v>
      </c>
      <c r="E411">
        <v>28.9</v>
      </c>
      <c r="F411">
        <v>1</v>
      </c>
    </row>
    <row r="412" spans="1:6" hidden="1">
      <c r="A412" t="s">
        <v>12</v>
      </c>
      <c r="B412">
        <v>1959</v>
      </c>
      <c r="C412" t="s">
        <v>15</v>
      </c>
      <c r="D412" s="5">
        <v>21610</v>
      </c>
      <c r="E412">
        <v>28.9</v>
      </c>
      <c r="F412">
        <v>0.3</v>
      </c>
    </row>
    <row r="413" spans="1:6" hidden="1">
      <c r="A413" t="s">
        <v>12</v>
      </c>
      <c r="B413">
        <v>1959</v>
      </c>
      <c r="C413" t="s">
        <v>16</v>
      </c>
      <c r="D413" s="5">
        <v>21641</v>
      </c>
      <c r="E413">
        <v>29</v>
      </c>
      <c r="F413">
        <v>0.3</v>
      </c>
    </row>
    <row r="414" spans="1:6" hidden="1">
      <c r="A414" t="s">
        <v>12</v>
      </c>
      <c r="B414">
        <v>1959</v>
      </c>
      <c r="C414" t="s">
        <v>17</v>
      </c>
      <c r="D414" s="5">
        <v>21671</v>
      </c>
      <c r="E414">
        <v>29</v>
      </c>
      <c r="F414">
        <v>0.3</v>
      </c>
    </row>
    <row r="415" spans="1:6" hidden="1">
      <c r="A415" t="s">
        <v>12</v>
      </c>
      <c r="B415">
        <v>1959</v>
      </c>
      <c r="C415" t="s">
        <v>18</v>
      </c>
      <c r="D415" s="5">
        <v>21702</v>
      </c>
      <c r="E415">
        <v>29.1</v>
      </c>
      <c r="F415">
        <v>0.7</v>
      </c>
    </row>
    <row r="416" spans="1:6" hidden="1">
      <c r="A416" t="s">
        <v>12</v>
      </c>
      <c r="B416">
        <v>1959</v>
      </c>
      <c r="C416" t="s">
        <v>19</v>
      </c>
      <c r="D416" s="5">
        <v>21732</v>
      </c>
      <c r="E416">
        <v>29.2</v>
      </c>
      <c r="F416">
        <v>0.7</v>
      </c>
    </row>
    <row r="417" spans="1:6" hidden="1">
      <c r="A417" t="s">
        <v>12</v>
      </c>
      <c r="B417">
        <v>1959</v>
      </c>
      <c r="C417" t="s">
        <v>20</v>
      </c>
      <c r="D417" s="5">
        <v>21763</v>
      </c>
      <c r="E417">
        <v>29.2</v>
      </c>
      <c r="F417">
        <v>1</v>
      </c>
    </row>
    <row r="418" spans="1:6" hidden="1">
      <c r="A418" t="s">
        <v>12</v>
      </c>
      <c r="B418">
        <v>1959</v>
      </c>
      <c r="C418" t="s">
        <v>21</v>
      </c>
      <c r="D418" s="5">
        <v>21794</v>
      </c>
      <c r="E418">
        <v>29.3</v>
      </c>
      <c r="F418">
        <v>1.4</v>
      </c>
    </row>
    <row r="419" spans="1:6" hidden="1">
      <c r="A419" t="s">
        <v>12</v>
      </c>
      <c r="B419">
        <v>1959</v>
      </c>
      <c r="C419" t="s">
        <v>22</v>
      </c>
      <c r="D419" s="5">
        <v>21824</v>
      </c>
      <c r="E419">
        <v>29.4</v>
      </c>
      <c r="F419">
        <v>1.7</v>
      </c>
    </row>
    <row r="420" spans="1:6" hidden="1">
      <c r="A420" t="s">
        <v>12</v>
      </c>
      <c r="B420">
        <v>1959</v>
      </c>
      <c r="C420" t="s">
        <v>23</v>
      </c>
      <c r="D420" s="5">
        <v>21855</v>
      </c>
      <c r="E420">
        <v>29.4</v>
      </c>
      <c r="F420">
        <v>1.4</v>
      </c>
    </row>
    <row r="421" spans="1:6" hidden="1">
      <c r="A421" t="s">
        <v>12</v>
      </c>
      <c r="B421">
        <v>1959</v>
      </c>
      <c r="C421" t="s">
        <v>24</v>
      </c>
      <c r="D421" s="5">
        <v>21885</v>
      </c>
      <c r="E421">
        <v>29.4</v>
      </c>
      <c r="F421">
        <v>1.7</v>
      </c>
    </row>
    <row r="422" spans="1:6">
      <c r="A422" t="s">
        <v>12</v>
      </c>
      <c r="B422">
        <v>1960</v>
      </c>
      <c r="C422" t="s">
        <v>13</v>
      </c>
      <c r="D422" s="5">
        <v>21916</v>
      </c>
      <c r="E422">
        <v>29.3</v>
      </c>
      <c r="F422">
        <v>1</v>
      </c>
    </row>
    <row r="423" spans="1:6" hidden="1">
      <c r="A423" t="s">
        <v>12</v>
      </c>
      <c r="B423">
        <v>1960</v>
      </c>
      <c r="C423" t="s">
        <v>14</v>
      </c>
      <c r="D423" s="5">
        <v>21947</v>
      </c>
      <c r="E423">
        <v>29.4</v>
      </c>
      <c r="F423">
        <v>1.7</v>
      </c>
    </row>
    <row r="424" spans="1:6" hidden="1">
      <c r="A424" t="s">
        <v>12</v>
      </c>
      <c r="B424">
        <v>1960</v>
      </c>
      <c r="C424" t="s">
        <v>15</v>
      </c>
      <c r="D424" s="5">
        <v>21976</v>
      </c>
      <c r="E424">
        <v>29.4</v>
      </c>
      <c r="F424">
        <v>1.7</v>
      </c>
    </row>
    <row r="425" spans="1:6" hidden="1">
      <c r="A425" t="s">
        <v>12</v>
      </c>
      <c r="B425">
        <v>1960</v>
      </c>
      <c r="C425" t="s">
        <v>16</v>
      </c>
      <c r="D425" s="5">
        <v>22007</v>
      </c>
      <c r="E425">
        <v>29.5</v>
      </c>
      <c r="F425">
        <v>1.7</v>
      </c>
    </row>
    <row r="426" spans="1:6" hidden="1">
      <c r="A426" t="s">
        <v>12</v>
      </c>
      <c r="B426">
        <v>1960</v>
      </c>
      <c r="C426" t="s">
        <v>17</v>
      </c>
      <c r="D426" s="5">
        <v>22037</v>
      </c>
      <c r="E426">
        <v>29.5</v>
      </c>
      <c r="F426">
        <v>1.7</v>
      </c>
    </row>
    <row r="427" spans="1:6" hidden="1">
      <c r="A427" t="s">
        <v>12</v>
      </c>
      <c r="B427">
        <v>1960</v>
      </c>
      <c r="C427" t="s">
        <v>18</v>
      </c>
      <c r="D427" s="5">
        <v>22068</v>
      </c>
      <c r="E427">
        <v>29.6</v>
      </c>
      <c r="F427">
        <v>1.7</v>
      </c>
    </row>
    <row r="428" spans="1:6" hidden="1">
      <c r="A428" t="s">
        <v>12</v>
      </c>
      <c r="B428">
        <v>1960</v>
      </c>
      <c r="C428" t="s">
        <v>19</v>
      </c>
      <c r="D428" s="5">
        <v>22098</v>
      </c>
      <c r="E428">
        <v>29.6</v>
      </c>
      <c r="F428">
        <v>1.4</v>
      </c>
    </row>
    <row r="429" spans="1:6" hidden="1">
      <c r="A429" t="s">
        <v>12</v>
      </c>
      <c r="B429">
        <v>1960</v>
      </c>
      <c r="C429" t="s">
        <v>20</v>
      </c>
      <c r="D429" s="5">
        <v>22129</v>
      </c>
      <c r="E429">
        <v>29.6</v>
      </c>
      <c r="F429">
        <v>1.4</v>
      </c>
    </row>
    <row r="430" spans="1:6" hidden="1">
      <c r="A430" t="s">
        <v>12</v>
      </c>
      <c r="B430">
        <v>1960</v>
      </c>
      <c r="C430" t="s">
        <v>21</v>
      </c>
      <c r="D430" s="5">
        <v>22160</v>
      </c>
      <c r="E430">
        <v>29.6</v>
      </c>
      <c r="F430">
        <v>1</v>
      </c>
    </row>
    <row r="431" spans="1:6" hidden="1">
      <c r="A431" t="s">
        <v>12</v>
      </c>
      <c r="B431">
        <v>1960</v>
      </c>
      <c r="C431" t="s">
        <v>22</v>
      </c>
      <c r="D431" s="5">
        <v>22190</v>
      </c>
      <c r="E431">
        <v>29.8</v>
      </c>
      <c r="F431">
        <v>1.4</v>
      </c>
    </row>
    <row r="432" spans="1:6" hidden="1">
      <c r="A432" t="s">
        <v>12</v>
      </c>
      <c r="B432">
        <v>1960</v>
      </c>
      <c r="C432" t="s">
        <v>23</v>
      </c>
      <c r="D432" s="5">
        <v>22221</v>
      </c>
      <c r="E432">
        <v>29.8</v>
      </c>
      <c r="F432">
        <v>1.4</v>
      </c>
    </row>
    <row r="433" spans="1:6" hidden="1">
      <c r="A433" t="s">
        <v>12</v>
      </c>
      <c r="B433">
        <v>1960</v>
      </c>
      <c r="C433" t="s">
        <v>24</v>
      </c>
      <c r="D433" s="5">
        <v>22251</v>
      </c>
      <c r="E433">
        <v>29.8</v>
      </c>
      <c r="F433">
        <v>1.4</v>
      </c>
    </row>
    <row r="434" spans="1:6">
      <c r="A434" t="s">
        <v>12</v>
      </c>
      <c r="B434">
        <v>1961</v>
      </c>
      <c r="C434" t="s">
        <v>13</v>
      </c>
      <c r="D434" s="5">
        <v>22282</v>
      </c>
      <c r="E434">
        <v>29.8</v>
      </c>
      <c r="F434">
        <v>1.7</v>
      </c>
    </row>
    <row r="435" spans="1:6" hidden="1">
      <c r="A435" t="s">
        <v>12</v>
      </c>
      <c r="B435">
        <v>1961</v>
      </c>
      <c r="C435" t="s">
        <v>14</v>
      </c>
      <c r="D435" s="5">
        <v>22313</v>
      </c>
      <c r="E435">
        <v>29.8</v>
      </c>
      <c r="F435">
        <v>1.4</v>
      </c>
    </row>
    <row r="436" spans="1:6" hidden="1">
      <c r="A436" t="s">
        <v>12</v>
      </c>
      <c r="B436">
        <v>1961</v>
      </c>
      <c r="C436" t="s">
        <v>15</v>
      </c>
      <c r="D436" s="5">
        <v>22341</v>
      </c>
      <c r="E436">
        <v>29.8</v>
      </c>
      <c r="F436">
        <v>1.4</v>
      </c>
    </row>
    <row r="437" spans="1:6" hidden="1">
      <c r="A437" t="s">
        <v>12</v>
      </c>
      <c r="B437">
        <v>1961</v>
      </c>
      <c r="C437" t="s">
        <v>16</v>
      </c>
      <c r="D437" s="5">
        <v>22372</v>
      </c>
      <c r="E437">
        <v>29.8</v>
      </c>
      <c r="F437">
        <v>1</v>
      </c>
    </row>
    <row r="438" spans="1:6" hidden="1">
      <c r="A438" t="s">
        <v>12</v>
      </c>
      <c r="B438">
        <v>1961</v>
      </c>
      <c r="C438" t="s">
        <v>17</v>
      </c>
      <c r="D438" s="5">
        <v>22402</v>
      </c>
      <c r="E438">
        <v>29.8</v>
      </c>
      <c r="F438">
        <v>1</v>
      </c>
    </row>
    <row r="439" spans="1:6" hidden="1">
      <c r="A439" t="s">
        <v>12</v>
      </c>
      <c r="B439">
        <v>1961</v>
      </c>
      <c r="C439" t="s">
        <v>18</v>
      </c>
      <c r="D439" s="5">
        <v>22433</v>
      </c>
      <c r="E439">
        <v>29.8</v>
      </c>
      <c r="F439">
        <v>0.7</v>
      </c>
    </row>
    <row r="440" spans="1:6" hidden="1">
      <c r="A440" t="s">
        <v>12</v>
      </c>
      <c r="B440">
        <v>1961</v>
      </c>
      <c r="C440" t="s">
        <v>19</v>
      </c>
      <c r="D440" s="5">
        <v>22463</v>
      </c>
      <c r="E440">
        <v>30</v>
      </c>
      <c r="F440">
        <v>1.4</v>
      </c>
    </row>
    <row r="441" spans="1:6" hidden="1">
      <c r="A441" t="s">
        <v>12</v>
      </c>
      <c r="B441">
        <v>1961</v>
      </c>
      <c r="C441" t="s">
        <v>20</v>
      </c>
      <c r="D441" s="5">
        <v>22494</v>
      </c>
      <c r="E441">
        <v>29.9</v>
      </c>
      <c r="F441">
        <v>1</v>
      </c>
    </row>
    <row r="442" spans="1:6" hidden="1">
      <c r="A442" t="s">
        <v>12</v>
      </c>
      <c r="B442">
        <v>1961</v>
      </c>
      <c r="C442" t="s">
        <v>21</v>
      </c>
      <c r="D442" s="5">
        <v>22525</v>
      </c>
      <c r="E442">
        <v>30</v>
      </c>
      <c r="F442">
        <v>1.4</v>
      </c>
    </row>
    <row r="443" spans="1:6" hidden="1">
      <c r="A443" t="s">
        <v>12</v>
      </c>
      <c r="B443">
        <v>1961</v>
      </c>
      <c r="C443" t="s">
        <v>22</v>
      </c>
      <c r="D443" s="5">
        <v>22555</v>
      </c>
      <c r="E443">
        <v>30</v>
      </c>
      <c r="F443">
        <v>0.7</v>
      </c>
    </row>
    <row r="444" spans="1:6" hidden="1">
      <c r="A444" t="s">
        <v>12</v>
      </c>
      <c r="B444">
        <v>1961</v>
      </c>
      <c r="C444" t="s">
        <v>23</v>
      </c>
      <c r="D444" s="5">
        <v>22586</v>
      </c>
      <c r="E444">
        <v>30</v>
      </c>
      <c r="F444">
        <v>0.7</v>
      </c>
    </row>
    <row r="445" spans="1:6" hidden="1">
      <c r="A445" t="s">
        <v>12</v>
      </c>
      <c r="B445">
        <v>1961</v>
      </c>
      <c r="C445" t="s">
        <v>24</v>
      </c>
      <c r="D445" s="5">
        <v>22616</v>
      </c>
      <c r="E445">
        <v>30</v>
      </c>
      <c r="F445">
        <v>0.7</v>
      </c>
    </row>
    <row r="446" spans="1:6">
      <c r="A446" t="s">
        <v>12</v>
      </c>
      <c r="B446">
        <v>1962</v>
      </c>
      <c r="C446" t="s">
        <v>13</v>
      </c>
      <c r="D446" s="5">
        <v>22647</v>
      </c>
      <c r="E446">
        <v>30</v>
      </c>
      <c r="F446">
        <v>0.7</v>
      </c>
    </row>
    <row r="447" spans="1:6" hidden="1">
      <c r="A447" t="s">
        <v>12</v>
      </c>
      <c r="B447">
        <v>1962</v>
      </c>
      <c r="C447" t="s">
        <v>14</v>
      </c>
      <c r="D447" s="5">
        <v>22678</v>
      </c>
      <c r="E447">
        <v>30.1</v>
      </c>
      <c r="F447">
        <v>1</v>
      </c>
    </row>
    <row r="448" spans="1:6" hidden="1">
      <c r="A448" t="s">
        <v>12</v>
      </c>
      <c r="B448">
        <v>1962</v>
      </c>
      <c r="C448" t="s">
        <v>15</v>
      </c>
      <c r="D448" s="5">
        <v>22706</v>
      </c>
      <c r="E448">
        <v>30.1</v>
      </c>
      <c r="F448">
        <v>1</v>
      </c>
    </row>
    <row r="449" spans="1:6" hidden="1">
      <c r="A449" t="s">
        <v>12</v>
      </c>
      <c r="B449">
        <v>1962</v>
      </c>
      <c r="C449" t="s">
        <v>16</v>
      </c>
      <c r="D449" s="5">
        <v>22737</v>
      </c>
      <c r="E449">
        <v>30.2</v>
      </c>
      <c r="F449">
        <v>1.3</v>
      </c>
    </row>
    <row r="450" spans="1:6" hidden="1">
      <c r="A450" t="s">
        <v>12</v>
      </c>
      <c r="B450">
        <v>1962</v>
      </c>
      <c r="C450" t="s">
        <v>17</v>
      </c>
      <c r="D450" s="5">
        <v>22767</v>
      </c>
      <c r="E450">
        <v>30.2</v>
      </c>
      <c r="F450">
        <v>1.3</v>
      </c>
    </row>
    <row r="451" spans="1:6" hidden="1">
      <c r="A451" t="s">
        <v>12</v>
      </c>
      <c r="B451">
        <v>1962</v>
      </c>
      <c r="C451" t="s">
        <v>18</v>
      </c>
      <c r="D451" s="5">
        <v>22798</v>
      </c>
      <c r="E451">
        <v>30.2</v>
      </c>
      <c r="F451">
        <v>1.3</v>
      </c>
    </row>
    <row r="452" spans="1:6" hidden="1">
      <c r="A452" t="s">
        <v>12</v>
      </c>
      <c r="B452">
        <v>1962</v>
      </c>
      <c r="C452" t="s">
        <v>19</v>
      </c>
      <c r="D452" s="5">
        <v>22828</v>
      </c>
      <c r="E452">
        <v>30.3</v>
      </c>
      <c r="F452">
        <v>1</v>
      </c>
    </row>
    <row r="453" spans="1:6" hidden="1">
      <c r="A453" t="s">
        <v>12</v>
      </c>
      <c r="B453">
        <v>1962</v>
      </c>
      <c r="C453" t="s">
        <v>20</v>
      </c>
      <c r="D453" s="5">
        <v>22859</v>
      </c>
      <c r="E453">
        <v>30.3</v>
      </c>
      <c r="F453">
        <v>1.3</v>
      </c>
    </row>
    <row r="454" spans="1:6" hidden="1">
      <c r="A454" t="s">
        <v>12</v>
      </c>
      <c r="B454">
        <v>1962</v>
      </c>
      <c r="C454" t="s">
        <v>21</v>
      </c>
      <c r="D454" s="5">
        <v>22890</v>
      </c>
      <c r="E454">
        <v>30.4</v>
      </c>
      <c r="F454">
        <v>1.3</v>
      </c>
    </row>
    <row r="455" spans="1:6" hidden="1">
      <c r="A455" t="s">
        <v>12</v>
      </c>
      <c r="B455">
        <v>1962</v>
      </c>
      <c r="C455" t="s">
        <v>22</v>
      </c>
      <c r="D455" s="5">
        <v>22920</v>
      </c>
      <c r="E455">
        <v>30.4</v>
      </c>
      <c r="F455">
        <v>1.3</v>
      </c>
    </row>
    <row r="456" spans="1:6" hidden="1">
      <c r="A456" t="s">
        <v>12</v>
      </c>
      <c r="B456">
        <v>1962</v>
      </c>
      <c r="C456" t="s">
        <v>23</v>
      </c>
      <c r="D456" s="5">
        <v>22951</v>
      </c>
      <c r="E456">
        <v>30.4</v>
      </c>
      <c r="F456">
        <v>1.3</v>
      </c>
    </row>
    <row r="457" spans="1:6" hidden="1">
      <c r="A457" t="s">
        <v>12</v>
      </c>
      <c r="B457">
        <v>1962</v>
      </c>
      <c r="C457" t="s">
        <v>24</v>
      </c>
      <c r="D457" s="5">
        <v>22981</v>
      </c>
      <c r="E457">
        <v>30.4</v>
      </c>
      <c r="F457">
        <v>1.3</v>
      </c>
    </row>
    <row r="458" spans="1:6">
      <c r="A458" t="s">
        <v>12</v>
      </c>
      <c r="B458">
        <v>1963</v>
      </c>
      <c r="C458" t="s">
        <v>13</v>
      </c>
      <c r="D458" s="5">
        <v>23012</v>
      </c>
      <c r="E458">
        <v>30.4</v>
      </c>
      <c r="F458">
        <v>1.3</v>
      </c>
    </row>
    <row r="459" spans="1:6" hidden="1">
      <c r="A459" t="s">
        <v>12</v>
      </c>
      <c r="B459">
        <v>1963</v>
      </c>
      <c r="C459" t="s">
        <v>14</v>
      </c>
      <c r="D459" s="5">
        <v>23043</v>
      </c>
      <c r="E459">
        <v>30.4</v>
      </c>
      <c r="F459">
        <v>1</v>
      </c>
    </row>
    <row r="460" spans="1:6" hidden="1">
      <c r="A460" t="s">
        <v>12</v>
      </c>
      <c r="B460">
        <v>1963</v>
      </c>
      <c r="C460" t="s">
        <v>15</v>
      </c>
      <c r="D460" s="5">
        <v>23071</v>
      </c>
      <c r="E460">
        <v>30.5</v>
      </c>
      <c r="F460">
        <v>1.3</v>
      </c>
    </row>
    <row r="461" spans="1:6" hidden="1">
      <c r="A461" t="s">
        <v>12</v>
      </c>
      <c r="B461">
        <v>1963</v>
      </c>
      <c r="C461" t="s">
        <v>16</v>
      </c>
      <c r="D461" s="5">
        <v>23102</v>
      </c>
      <c r="E461">
        <v>30.5</v>
      </c>
      <c r="F461">
        <v>1</v>
      </c>
    </row>
    <row r="462" spans="1:6" hidden="1">
      <c r="A462" t="s">
        <v>12</v>
      </c>
      <c r="B462">
        <v>1963</v>
      </c>
      <c r="C462" t="s">
        <v>17</v>
      </c>
      <c r="D462" s="5">
        <v>23132</v>
      </c>
      <c r="E462">
        <v>30.5</v>
      </c>
      <c r="F462">
        <v>1</v>
      </c>
    </row>
    <row r="463" spans="1:6" hidden="1">
      <c r="A463" t="s">
        <v>12</v>
      </c>
      <c r="B463">
        <v>1963</v>
      </c>
      <c r="C463" t="s">
        <v>18</v>
      </c>
      <c r="D463" s="5">
        <v>23163</v>
      </c>
      <c r="E463">
        <v>30.6</v>
      </c>
      <c r="F463">
        <v>1.3</v>
      </c>
    </row>
    <row r="464" spans="1:6" hidden="1">
      <c r="A464" t="s">
        <v>12</v>
      </c>
      <c r="B464">
        <v>1963</v>
      </c>
      <c r="C464" t="s">
        <v>19</v>
      </c>
      <c r="D464" s="5">
        <v>23193</v>
      </c>
      <c r="E464">
        <v>30.7</v>
      </c>
      <c r="F464">
        <v>1.3</v>
      </c>
    </row>
    <row r="465" spans="1:6" hidden="1">
      <c r="A465" t="s">
        <v>12</v>
      </c>
      <c r="B465">
        <v>1963</v>
      </c>
      <c r="C465" t="s">
        <v>20</v>
      </c>
      <c r="D465" s="5">
        <v>23224</v>
      </c>
      <c r="E465">
        <v>30.7</v>
      </c>
      <c r="F465">
        <v>1.3</v>
      </c>
    </row>
    <row r="466" spans="1:6" hidden="1">
      <c r="A466" t="s">
        <v>12</v>
      </c>
      <c r="B466">
        <v>1963</v>
      </c>
      <c r="C466" t="s">
        <v>21</v>
      </c>
      <c r="D466" s="5">
        <v>23255</v>
      </c>
      <c r="E466">
        <v>30.7</v>
      </c>
      <c r="F466">
        <v>1</v>
      </c>
    </row>
    <row r="467" spans="1:6" hidden="1">
      <c r="A467" t="s">
        <v>12</v>
      </c>
      <c r="B467">
        <v>1963</v>
      </c>
      <c r="C467" t="s">
        <v>22</v>
      </c>
      <c r="D467" s="5">
        <v>23285</v>
      </c>
      <c r="E467">
        <v>30.8</v>
      </c>
      <c r="F467">
        <v>1.3</v>
      </c>
    </row>
    <row r="468" spans="1:6" hidden="1">
      <c r="A468" t="s">
        <v>12</v>
      </c>
      <c r="B468">
        <v>1963</v>
      </c>
      <c r="C468" t="s">
        <v>23</v>
      </c>
      <c r="D468" s="5">
        <v>23316</v>
      </c>
      <c r="E468">
        <v>30.8</v>
      </c>
      <c r="F468">
        <v>1.3</v>
      </c>
    </row>
    <row r="469" spans="1:6" hidden="1">
      <c r="A469" t="s">
        <v>12</v>
      </c>
      <c r="B469">
        <v>1963</v>
      </c>
      <c r="C469" t="s">
        <v>24</v>
      </c>
      <c r="D469" s="5">
        <v>23346</v>
      </c>
      <c r="E469">
        <v>30.9</v>
      </c>
      <c r="F469">
        <v>1.6</v>
      </c>
    </row>
    <row r="470" spans="1:6">
      <c r="A470" t="s">
        <v>12</v>
      </c>
      <c r="B470">
        <v>1964</v>
      </c>
      <c r="C470" t="s">
        <v>13</v>
      </c>
      <c r="D470" s="5">
        <v>23377</v>
      </c>
      <c r="E470">
        <v>30.9</v>
      </c>
      <c r="F470">
        <v>1.6</v>
      </c>
    </row>
    <row r="471" spans="1:6" hidden="1">
      <c r="A471" t="s">
        <v>12</v>
      </c>
      <c r="B471">
        <v>1964</v>
      </c>
      <c r="C471" t="s">
        <v>14</v>
      </c>
      <c r="D471" s="5">
        <v>23408</v>
      </c>
      <c r="E471">
        <v>30.9</v>
      </c>
      <c r="F471">
        <v>1.6</v>
      </c>
    </row>
    <row r="472" spans="1:6" hidden="1">
      <c r="A472" t="s">
        <v>12</v>
      </c>
      <c r="B472">
        <v>1964</v>
      </c>
      <c r="C472" t="s">
        <v>15</v>
      </c>
      <c r="D472" s="5">
        <v>23437</v>
      </c>
      <c r="E472">
        <v>30.9</v>
      </c>
      <c r="F472">
        <v>1.3</v>
      </c>
    </row>
    <row r="473" spans="1:6" hidden="1">
      <c r="A473" t="s">
        <v>12</v>
      </c>
      <c r="B473">
        <v>1964</v>
      </c>
      <c r="C473" t="s">
        <v>16</v>
      </c>
      <c r="D473" s="5">
        <v>23468</v>
      </c>
      <c r="E473">
        <v>30.9</v>
      </c>
      <c r="F473">
        <v>1.3</v>
      </c>
    </row>
    <row r="474" spans="1:6" hidden="1">
      <c r="A474" t="s">
        <v>12</v>
      </c>
      <c r="B474">
        <v>1964</v>
      </c>
      <c r="C474" t="s">
        <v>17</v>
      </c>
      <c r="D474" s="5">
        <v>23498</v>
      </c>
      <c r="E474">
        <v>30.9</v>
      </c>
      <c r="F474">
        <v>1.3</v>
      </c>
    </row>
    <row r="475" spans="1:6" hidden="1">
      <c r="A475" t="s">
        <v>12</v>
      </c>
      <c r="B475">
        <v>1964</v>
      </c>
      <c r="C475" t="s">
        <v>18</v>
      </c>
      <c r="D475" s="5">
        <v>23529</v>
      </c>
      <c r="E475">
        <v>31</v>
      </c>
      <c r="F475">
        <v>1.3</v>
      </c>
    </row>
    <row r="476" spans="1:6" hidden="1">
      <c r="A476" t="s">
        <v>12</v>
      </c>
      <c r="B476">
        <v>1964</v>
      </c>
      <c r="C476" t="s">
        <v>19</v>
      </c>
      <c r="D476" s="5">
        <v>23559</v>
      </c>
      <c r="E476">
        <v>31.1</v>
      </c>
      <c r="F476">
        <v>1.3</v>
      </c>
    </row>
    <row r="477" spans="1:6" hidden="1">
      <c r="A477" t="s">
        <v>12</v>
      </c>
      <c r="B477">
        <v>1964</v>
      </c>
      <c r="C477" t="s">
        <v>20</v>
      </c>
      <c r="D477" s="5">
        <v>23590</v>
      </c>
      <c r="E477">
        <v>31</v>
      </c>
      <c r="F477">
        <v>1</v>
      </c>
    </row>
    <row r="478" spans="1:6" hidden="1">
      <c r="A478" t="s">
        <v>12</v>
      </c>
      <c r="B478">
        <v>1964</v>
      </c>
      <c r="C478" t="s">
        <v>21</v>
      </c>
      <c r="D478" s="5">
        <v>23621</v>
      </c>
      <c r="E478">
        <v>31.1</v>
      </c>
      <c r="F478">
        <v>1.3</v>
      </c>
    </row>
    <row r="479" spans="1:6" hidden="1">
      <c r="A479" t="s">
        <v>12</v>
      </c>
      <c r="B479">
        <v>1964</v>
      </c>
      <c r="C479" t="s">
        <v>22</v>
      </c>
      <c r="D479" s="5">
        <v>23651</v>
      </c>
      <c r="E479">
        <v>31.1</v>
      </c>
      <c r="F479">
        <v>1</v>
      </c>
    </row>
    <row r="480" spans="1:6" hidden="1">
      <c r="A480" t="s">
        <v>12</v>
      </c>
      <c r="B480">
        <v>1964</v>
      </c>
      <c r="C480" t="s">
        <v>23</v>
      </c>
      <c r="D480" s="5">
        <v>23682</v>
      </c>
      <c r="E480">
        <v>31.2</v>
      </c>
      <c r="F480">
        <v>1.3</v>
      </c>
    </row>
    <row r="481" spans="1:6" hidden="1">
      <c r="A481" t="s">
        <v>12</v>
      </c>
      <c r="B481">
        <v>1964</v>
      </c>
      <c r="C481" t="s">
        <v>24</v>
      </c>
      <c r="D481" s="5">
        <v>23712</v>
      </c>
      <c r="E481">
        <v>31.2</v>
      </c>
      <c r="F481">
        <v>1</v>
      </c>
    </row>
    <row r="482" spans="1:6">
      <c r="A482" t="s">
        <v>12</v>
      </c>
      <c r="B482">
        <v>1965</v>
      </c>
      <c r="C482" t="s">
        <v>13</v>
      </c>
      <c r="D482" s="5">
        <v>23743</v>
      </c>
      <c r="E482">
        <v>31.2</v>
      </c>
      <c r="F482">
        <v>1</v>
      </c>
    </row>
    <row r="483" spans="1:6" hidden="1">
      <c r="A483" t="s">
        <v>12</v>
      </c>
      <c r="B483">
        <v>1965</v>
      </c>
      <c r="C483" t="s">
        <v>14</v>
      </c>
      <c r="D483" s="5">
        <v>23774</v>
      </c>
      <c r="E483">
        <v>31.2</v>
      </c>
      <c r="F483">
        <v>1</v>
      </c>
    </row>
    <row r="484" spans="1:6" hidden="1">
      <c r="A484" t="s">
        <v>12</v>
      </c>
      <c r="B484">
        <v>1965</v>
      </c>
      <c r="C484" t="s">
        <v>15</v>
      </c>
      <c r="D484" s="5">
        <v>23802</v>
      </c>
      <c r="E484">
        <v>31.3</v>
      </c>
      <c r="F484">
        <v>1.3</v>
      </c>
    </row>
    <row r="485" spans="1:6" hidden="1">
      <c r="A485" t="s">
        <v>12</v>
      </c>
      <c r="B485">
        <v>1965</v>
      </c>
      <c r="C485" t="s">
        <v>16</v>
      </c>
      <c r="D485" s="5">
        <v>23833</v>
      </c>
      <c r="E485">
        <v>31.4</v>
      </c>
      <c r="F485">
        <v>1.6</v>
      </c>
    </row>
    <row r="486" spans="1:6" hidden="1">
      <c r="A486" t="s">
        <v>12</v>
      </c>
      <c r="B486">
        <v>1965</v>
      </c>
      <c r="C486" t="s">
        <v>17</v>
      </c>
      <c r="D486" s="5">
        <v>23863</v>
      </c>
      <c r="E486">
        <v>31.4</v>
      </c>
      <c r="F486">
        <v>1.6</v>
      </c>
    </row>
    <row r="487" spans="1:6" hidden="1">
      <c r="A487" t="s">
        <v>12</v>
      </c>
      <c r="B487">
        <v>1965</v>
      </c>
      <c r="C487" t="s">
        <v>18</v>
      </c>
      <c r="D487" s="5">
        <v>23894</v>
      </c>
      <c r="E487">
        <v>31.6</v>
      </c>
      <c r="F487">
        <v>1.9</v>
      </c>
    </row>
    <row r="488" spans="1:6" hidden="1">
      <c r="A488" t="s">
        <v>12</v>
      </c>
      <c r="B488">
        <v>1965</v>
      </c>
      <c r="C488" t="s">
        <v>19</v>
      </c>
      <c r="D488" s="5">
        <v>23924</v>
      </c>
      <c r="E488">
        <v>31.6</v>
      </c>
      <c r="F488">
        <v>1.6</v>
      </c>
    </row>
    <row r="489" spans="1:6" hidden="1">
      <c r="A489" t="s">
        <v>12</v>
      </c>
      <c r="B489">
        <v>1965</v>
      </c>
      <c r="C489" t="s">
        <v>20</v>
      </c>
      <c r="D489" s="5">
        <v>23955</v>
      </c>
      <c r="E489">
        <v>31.6</v>
      </c>
      <c r="F489">
        <v>1.9</v>
      </c>
    </row>
    <row r="490" spans="1:6" hidden="1">
      <c r="A490" t="s">
        <v>12</v>
      </c>
      <c r="B490">
        <v>1965</v>
      </c>
      <c r="C490" t="s">
        <v>21</v>
      </c>
      <c r="D490" s="5">
        <v>23986</v>
      </c>
      <c r="E490">
        <v>31.6</v>
      </c>
      <c r="F490">
        <v>1.6</v>
      </c>
    </row>
    <row r="491" spans="1:6" hidden="1">
      <c r="A491" t="s">
        <v>12</v>
      </c>
      <c r="B491">
        <v>1965</v>
      </c>
      <c r="C491" t="s">
        <v>22</v>
      </c>
      <c r="D491" s="5">
        <v>24016</v>
      </c>
      <c r="E491">
        <v>31.7</v>
      </c>
      <c r="F491">
        <v>1.9</v>
      </c>
    </row>
    <row r="492" spans="1:6" hidden="1">
      <c r="A492" t="s">
        <v>12</v>
      </c>
      <c r="B492">
        <v>1965</v>
      </c>
      <c r="C492" t="s">
        <v>23</v>
      </c>
      <c r="D492" s="5">
        <v>24047</v>
      </c>
      <c r="E492">
        <v>31.7</v>
      </c>
      <c r="F492">
        <v>1.6</v>
      </c>
    </row>
    <row r="493" spans="1:6" hidden="1">
      <c r="A493" t="s">
        <v>12</v>
      </c>
      <c r="B493">
        <v>1965</v>
      </c>
      <c r="C493" t="s">
        <v>24</v>
      </c>
      <c r="D493" s="5">
        <v>24077</v>
      </c>
      <c r="E493">
        <v>31.8</v>
      </c>
      <c r="F493">
        <v>1.9</v>
      </c>
    </row>
    <row r="494" spans="1:6">
      <c r="A494" t="s">
        <v>12</v>
      </c>
      <c r="B494">
        <v>1966</v>
      </c>
      <c r="C494" t="s">
        <v>13</v>
      </c>
      <c r="D494" s="5">
        <v>24108</v>
      </c>
      <c r="E494">
        <v>31.8</v>
      </c>
      <c r="F494">
        <v>1.9</v>
      </c>
    </row>
    <row r="495" spans="1:6" hidden="1">
      <c r="A495" t="s">
        <v>12</v>
      </c>
      <c r="B495">
        <v>1966</v>
      </c>
      <c r="C495" t="s">
        <v>14</v>
      </c>
      <c r="D495" s="5">
        <v>24139</v>
      </c>
      <c r="E495">
        <v>32</v>
      </c>
      <c r="F495">
        <v>2.6</v>
      </c>
    </row>
    <row r="496" spans="1:6" hidden="1">
      <c r="A496" t="s">
        <v>12</v>
      </c>
      <c r="B496">
        <v>1966</v>
      </c>
      <c r="C496" t="s">
        <v>15</v>
      </c>
      <c r="D496" s="5">
        <v>24167</v>
      </c>
      <c r="E496">
        <v>32.1</v>
      </c>
      <c r="F496">
        <v>2.6</v>
      </c>
    </row>
    <row r="497" spans="1:6" hidden="1">
      <c r="A497" t="s">
        <v>12</v>
      </c>
      <c r="B497">
        <v>1966</v>
      </c>
      <c r="C497" t="s">
        <v>16</v>
      </c>
      <c r="D497" s="5">
        <v>24198</v>
      </c>
      <c r="E497">
        <v>32.299999999999997</v>
      </c>
      <c r="F497">
        <v>2.9</v>
      </c>
    </row>
    <row r="498" spans="1:6" hidden="1">
      <c r="A498" t="s">
        <v>12</v>
      </c>
      <c r="B498">
        <v>1966</v>
      </c>
      <c r="C498" t="s">
        <v>17</v>
      </c>
      <c r="D498" s="5">
        <v>24228</v>
      </c>
      <c r="E498">
        <v>32.299999999999997</v>
      </c>
      <c r="F498">
        <v>2.9</v>
      </c>
    </row>
    <row r="499" spans="1:6" hidden="1">
      <c r="A499" t="s">
        <v>12</v>
      </c>
      <c r="B499">
        <v>1966</v>
      </c>
      <c r="C499" t="s">
        <v>18</v>
      </c>
      <c r="D499" s="5">
        <v>24259</v>
      </c>
      <c r="E499">
        <v>32.4</v>
      </c>
      <c r="F499">
        <v>2.5</v>
      </c>
    </row>
    <row r="500" spans="1:6" hidden="1">
      <c r="A500" t="s">
        <v>12</v>
      </c>
      <c r="B500">
        <v>1966</v>
      </c>
      <c r="C500" t="s">
        <v>19</v>
      </c>
      <c r="D500" s="5">
        <v>24289</v>
      </c>
      <c r="E500">
        <v>32.5</v>
      </c>
      <c r="F500">
        <v>2.8</v>
      </c>
    </row>
    <row r="501" spans="1:6" hidden="1">
      <c r="A501" t="s">
        <v>12</v>
      </c>
      <c r="B501">
        <v>1966</v>
      </c>
      <c r="C501" t="s">
        <v>20</v>
      </c>
      <c r="D501" s="5">
        <v>24320</v>
      </c>
      <c r="E501">
        <v>32.700000000000003</v>
      </c>
      <c r="F501">
        <v>3.5</v>
      </c>
    </row>
    <row r="502" spans="1:6" hidden="1">
      <c r="A502" t="s">
        <v>12</v>
      </c>
      <c r="B502">
        <v>1966</v>
      </c>
      <c r="C502" t="s">
        <v>21</v>
      </c>
      <c r="D502" s="5">
        <v>24351</v>
      </c>
      <c r="E502">
        <v>32.700000000000003</v>
      </c>
      <c r="F502">
        <v>3.5</v>
      </c>
    </row>
    <row r="503" spans="1:6" hidden="1">
      <c r="A503" t="s">
        <v>12</v>
      </c>
      <c r="B503">
        <v>1966</v>
      </c>
      <c r="C503" t="s">
        <v>22</v>
      </c>
      <c r="D503" s="5">
        <v>24381</v>
      </c>
      <c r="E503">
        <v>32.9</v>
      </c>
      <c r="F503">
        <v>3.8</v>
      </c>
    </row>
    <row r="504" spans="1:6" hidden="1">
      <c r="A504" t="s">
        <v>12</v>
      </c>
      <c r="B504">
        <v>1966</v>
      </c>
      <c r="C504" t="s">
        <v>23</v>
      </c>
      <c r="D504" s="5">
        <v>24412</v>
      </c>
      <c r="E504">
        <v>32.9</v>
      </c>
      <c r="F504">
        <v>3.8</v>
      </c>
    </row>
    <row r="505" spans="1:6" hidden="1">
      <c r="A505" t="s">
        <v>12</v>
      </c>
      <c r="B505">
        <v>1966</v>
      </c>
      <c r="C505" t="s">
        <v>24</v>
      </c>
      <c r="D505" s="5">
        <v>24442</v>
      </c>
      <c r="E505">
        <v>32.9</v>
      </c>
      <c r="F505">
        <v>3.5</v>
      </c>
    </row>
    <row r="506" spans="1:6">
      <c r="A506" t="s">
        <v>12</v>
      </c>
      <c r="B506">
        <v>1967</v>
      </c>
      <c r="C506" t="s">
        <v>13</v>
      </c>
      <c r="D506" s="5">
        <v>24473</v>
      </c>
      <c r="E506">
        <v>32.9</v>
      </c>
      <c r="F506">
        <v>3.5</v>
      </c>
    </row>
    <row r="507" spans="1:6" hidden="1">
      <c r="A507" t="s">
        <v>12</v>
      </c>
      <c r="B507">
        <v>1967</v>
      </c>
      <c r="C507" t="s">
        <v>14</v>
      </c>
      <c r="D507" s="5">
        <v>24504</v>
      </c>
      <c r="E507">
        <v>32.9</v>
      </c>
      <c r="F507">
        <v>2.8</v>
      </c>
    </row>
    <row r="508" spans="1:6" hidden="1">
      <c r="A508" t="s">
        <v>12</v>
      </c>
      <c r="B508">
        <v>1967</v>
      </c>
      <c r="C508" t="s">
        <v>15</v>
      </c>
      <c r="D508" s="5">
        <v>24532</v>
      </c>
      <c r="E508">
        <v>33</v>
      </c>
      <c r="F508">
        <v>2.8</v>
      </c>
    </row>
    <row r="509" spans="1:6" hidden="1">
      <c r="A509" t="s">
        <v>12</v>
      </c>
      <c r="B509">
        <v>1967</v>
      </c>
      <c r="C509" t="s">
        <v>16</v>
      </c>
      <c r="D509" s="5">
        <v>24563</v>
      </c>
      <c r="E509">
        <v>33.1</v>
      </c>
      <c r="F509">
        <v>2.5</v>
      </c>
    </row>
    <row r="510" spans="1:6" hidden="1">
      <c r="A510" t="s">
        <v>12</v>
      </c>
      <c r="B510">
        <v>1967</v>
      </c>
      <c r="C510" t="s">
        <v>17</v>
      </c>
      <c r="D510" s="5">
        <v>24593</v>
      </c>
      <c r="E510">
        <v>33.200000000000003</v>
      </c>
      <c r="F510">
        <v>2.8</v>
      </c>
    </row>
    <row r="511" spans="1:6" hidden="1">
      <c r="A511" t="s">
        <v>12</v>
      </c>
      <c r="B511">
        <v>1967</v>
      </c>
      <c r="C511" t="s">
        <v>18</v>
      </c>
      <c r="D511" s="5">
        <v>24624</v>
      </c>
      <c r="E511">
        <v>33.299999999999997</v>
      </c>
      <c r="F511">
        <v>2.8</v>
      </c>
    </row>
    <row r="512" spans="1:6" hidden="1">
      <c r="A512" t="s">
        <v>12</v>
      </c>
      <c r="B512">
        <v>1967</v>
      </c>
      <c r="C512" t="s">
        <v>19</v>
      </c>
      <c r="D512" s="5">
        <v>24654</v>
      </c>
      <c r="E512">
        <v>33.4</v>
      </c>
      <c r="F512">
        <v>2.8</v>
      </c>
    </row>
    <row r="513" spans="1:6" hidden="1">
      <c r="A513" t="s">
        <v>12</v>
      </c>
      <c r="B513">
        <v>1967</v>
      </c>
      <c r="C513" t="s">
        <v>20</v>
      </c>
      <c r="D513" s="5">
        <v>24685</v>
      </c>
      <c r="E513">
        <v>33.5</v>
      </c>
      <c r="F513">
        <v>2.4</v>
      </c>
    </row>
    <row r="514" spans="1:6" hidden="1">
      <c r="A514" t="s">
        <v>12</v>
      </c>
      <c r="B514">
        <v>1967</v>
      </c>
      <c r="C514" t="s">
        <v>21</v>
      </c>
      <c r="D514" s="5">
        <v>24716</v>
      </c>
      <c r="E514">
        <v>33.6</v>
      </c>
      <c r="F514">
        <v>2.8</v>
      </c>
    </row>
    <row r="515" spans="1:6" hidden="1">
      <c r="A515" t="s">
        <v>12</v>
      </c>
      <c r="B515">
        <v>1967</v>
      </c>
      <c r="C515" t="s">
        <v>22</v>
      </c>
      <c r="D515" s="5">
        <v>24746</v>
      </c>
      <c r="E515">
        <v>33.700000000000003</v>
      </c>
      <c r="F515">
        <v>2.4</v>
      </c>
    </row>
    <row r="516" spans="1:6" hidden="1">
      <c r="A516" t="s">
        <v>12</v>
      </c>
      <c r="B516">
        <v>1967</v>
      </c>
      <c r="C516" t="s">
        <v>23</v>
      </c>
      <c r="D516" s="5">
        <v>24777</v>
      </c>
      <c r="E516">
        <v>33.799999999999997</v>
      </c>
      <c r="F516">
        <v>2.7</v>
      </c>
    </row>
    <row r="517" spans="1:6" hidden="1">
      <c r="A517" t="s">
        <v>12</v>
      </c>
      <c r="B517">
        <v>1967</v>
      </c>
      <c r="C517" t="s">
        <v>24</v>
      </c>
      <c r="D517" s="5">
        <v>24807</v>
      </c>
      <c r="E517">
        <v>33.9</v>
      </c>
      <c r="F517">
        <v>3</v>
      </c>
    </row>
    <row r="518" spans="1:6">
      <c r="A518" t="s">
        <v>12</v>
      </c>
      <c r="B518">
        <v>1968</v>
      </c>
      <c r="C518" t="s">
        <v>13</v>
      </c>
      <c r="D518" s="5">
        <v>24838</v>
      </c>
      <c r="E518">
        <v>34.1</v>
      </c>
      <c r="F518">
        <v>3.6</v>
      </c>
    </row>
    <row r="519" spans="1:6" hidden="1">
      <c r="A519" t="s">
        <v>12</v>
      </c>
      <c r="B519">
        <v>1968</v>
      </c>
      <c r="C519" t="s">
        <v>14</v>
      </c>
      <c r="D519" s="5">
        <v>24869</v>
      </c>
      <c r="E519">
        <v>34.200000000000003</v>
      </c>
      <c r="F519">
        <v>4</v>
      </c>
    </row>
    <row r="520" spans="1:6" hidden="1">
      <c r="A520" t="s">
        <v>12</v>
      </c>
      <c r="B520">
        <v>1968</v>
      </c>
      <c r="C520" t="s">
        <v>15</v>
      </c>
      <c r="D520" s="5">
        <v>24898</v>
      </c>
      <c r="E520">
        <v>34.299999999999997</v>
      </c>
      <c r="F520">
        <v>3.9</v>
      </c>
    </row>
    <row r="521" spans="1:6" hidden="1">
      <c r="A521" t="s">
        <v>12</v>
      </c>
      <c r="B521">
        <v>1968</v>
      </c>
      <c r="C521" t="s">
        <v>16</v>
      </c>
      <c r="D521" s="5">
        <v>24929</v>
      </c>
      <c r="E521">
        <v>34.4</v>
      </c>
      <c r="F521">
        <v>3.9</v>
      </c>
    </row>
    <row r="522" spans="1:6" hidden="1">
      <c r="A522" t="s">
        <v>12</v>
      </c>
      <c r="B522">
        <v>1968</v>
      </c>
      <c r="C522" t="s">
        <v>17</v>
      </c>
      <c r="D522" s="5">
        <v>24959</v>
      </c>
      <c r="E522">
        <v>34.5</v>
      </c>
      <c r="F522">
        <v>3.9</v>
      </c>
    </row>
    <row r="523" spans="1:6" hidden="1">
      <c r="A523" t="s">
        <v>12</v>
      </c>
      <c r="B523">
        <v>1968</v>
      </c>
      <c r="C523" t="s">
        <v>18</v>
      </c>
      <c r="D523" s="5">
        <v>24990</v>
      </c>
      <c r="E523">
        <v>34.700000000000003</v>
      </c>
      <c r="F523">
        <v>4.2</v>
      </c>
    </row>
    <row r="524" spans="1:6" hidden="1">
      <c r="A524" t="s">
        <v>12</v>
      </c>
      <c r="B524">
        <v>1968</v>
      </c>
      <c r="C524" t="s">
        <v>19</v>
      </c>
      <c r="D524" s="5">
        <v>25020</v>
      </c>
      <c r="E524">
        <v>34.9</v>
      </c>
      <c r="F524">
        <v>4.5</v>
      </c>
    </row>
    <row r="525" spans="1:6" hidden="1">
      <c r="A525" t="s">
        <v>12</v>
      </c>
      <c r="B525">
        <v>1968</v>
      </c>
      <c r="C525" t="s">
        <v>20</v>
      </c>
      <c r="D525" s="5">
        <v>25051</v>
      </c>
      <c r="E525">
        <v>35</v>
      </c>
      <c r="F525">
        <v>4.5</v>
      </c>
    </row>
    <row r="526" spans="1:6" hidden="1">
      <c r="A526" t="s">
        <v>12</v>
      </c>
      <c r="B526">
        <v>1968</v>
      </c>
      <c r="C526" t="s">
        <v>21</v>
      </c>
      <c r="D526" s="5">
        <v>25082</v>
      </c>
      <c r="E526">
        <v>35.1</v>
      </c>
      <c r="F526">
        <v>4.5</v>
      </c>
    </row>
    <row r="527" spans="1:6" hidden="1">
      <c r="A527" t="s">
        <v>12</v>
      </c>
      <c r="B527">
        <v>1968</v>
      </c>
      <c r="C527" t="s">
        <v>22</v>
      </c>
      <c r="D527" s="5">
        <v>25112</v>
      </c>
      <c r="E527">
        <v>35.299999999999997</v>
      </c>
      <c r="F527">
        <v>4.7</v>
      </c>
    </row>
    <row r="528" spans="1:6" hidden="1">
      <c r="A528" t="s">
        <v>12</v>
      </c>
      <c r="B528">
        <v>1968</v>
      </c>
      <c r="C528" t="s">
        <v>23</v>
      </c>
      <c r="D528" s="5">
        <v>25143</v>
      </c>
      <c r="E528">
        <v>35.4</v>
      </c>
      <c r="F528">
        <v>4.7</v>
      </c>
    </row>
    <row r="529" spans="1:6" hidden="1">
      <c r="A529" t="s">
        <v>12</v>
      </c>
      <c r="B529">
        <v>1968</v>
      </c>
      <c r="C529" t="s">
        <v>24</v>
      </c>
      <c r="D529" s="5">
        <v>25173</v>
      </c>
      <c r="E529">
        <v>35.5</v>
      </c>
      <c r="F529">
        <v>4.7</v>
      </c>
    </row>
    <row r="530" spans="1:6">
      <c r="A530" t="s">
        <v>12</v>
      </c>
      <c r="B530">
        <v>1969</v>
      </c>
      <c r="C530" t="s">
        <v>13</v>
      </c>
      <c r="D530" s="5">
        <v>25204</v>
      </c>
      <c r="E530">
        <v>35.6</v>
      </c>
      <c r="F530">
        <v>4.4000000000000004</v>
      </c>
    </row>
    <row r="531" spans="1:6" hidden="1">
      <c r="A531" t="s">
        <v>12</v>
      </c>
      <c r="B531">
        <v>1969</v>
      </c>
      <c r="C531" t="s">
        <v>14</v>
      </c>
      <c r="D531" s="5">
        <v>25235</v>
      </c>
      <c r="E531">
        <v>35.799999999999997</v>
      </c>
      <c r="F531">
        <v>4.7</v>
      </c>
    </row>
    <row r="532" spans="1:6" hidden="1">
      <c r="A532" t="s">
        <v>12</v>
      </c>
      <c r="B532">
        <v>1969</v>
      </c>
      <c r="C532" t="s">
        <v>15</v>
      </c>
      <c r="D532" s="5">
        <v>25263</v>
      </c>
      <c r="E532">
        <v>36.1</v>
      </c>
      <c r="F532">
        <v>5.2</v>
      </c>
    </row>
    <row r="533" spans="1:6" hidden="1">
      <c r="A533" t="s">
        <v>12</v>
      </c>
      <c r="B533">
        <v>1969</v>
      </c>
      <c r="C533" t="s">
        <v>16</v>
      </c>
      <c r="D533" s="5">
        <v>25294</v>
      </c>
      <c r="E533">
        <v>36.299999999999997</v>
      </c>
      <c r="F533">
        <v>5.5</v>
      </c>
    </row>
    <row r="534" spans="1:6" hidden="1">
      <c r="A534" t="s">
        <v>12</v>
      </c>
      <c r="B534">
        <v>1969</v>
      </c>
      <c r="C534" t="s">
        <v>17</v>
      </c>
      <c r="D534" s="5">
        <v>25324</v>
      </c>
      <c r="E534">
        <v>36.4</v>
      </c>
      <c r="F534">
        <v>5.5</v>
      </c>
    </row>
    <row r="535" spans="1:6" hidden="1">
      <c r="A535" t="s">
        <v>12</v>
      </c>
      <c r="B535">
        <v>1969</v>
      </c>
      <c r="C535" t="s">
        <v>18</v>
      </c>
      <c r="D535" s="5">
        <v>25355</v>
      </c>
      <c r="E535">
        <v>36.6</v>
      </c>
      <c r="F535">
        <v>5.5</v>
      </c>
    </row>
    <row r="536" spans="1:6" hidden="1">
      <c r="A536" t="s">
        <v>12</v>
      </c>
      <c r="B536">
        <v>1969</v>
      </c>
      <c r="C536" t="s">
        <v>19</v>
      </c>
      <c r="D536" s="5">
        <v>25385</v>
      </c>
      <c r="E536">
        <v>36.799999999999997</v>
      </c>
      <c r="F536">
        <v>5.4</v>
      </c>
    </row>
    <row r="537" spans="1:6" hidden="1">
      <c r="A537" t="s">
        <v>12</v>
      </c>
      <c r="B537">
        <v>1969</v>
      </c>
      <c r="C537" t="s">
        <v>20</v>
      </c>
      <c r="D537" s="5">
        <v>25416</v>
      </c>
      <c r="E537">
        <v>37</v>
      </c>
      <c r="F537">
        <v>5.7</v>
      </c>
    </row>
    <row r="538" spans="1:6" hidden="1">
      <c r="A538" t="s">
        <v>12</v>
      </c>
      <c r="B538">
        <v>1969</v>
      </c>
      <c r="C538" t="s">
        <v>21</v>
      </c>
      <c r="D538" s="5">
        <v>25447</v>
      </c>
      <c r="E538">
        <v>37.1</v>
      </c>
      <c r="F538">
        <v>5.7</v>
      </c>
    </row>
    <row r="539" spans="1:6" hidden="1">
      <c r="A539" t="s">
        <v>12</v>
      </c>
      <c r="B539">
        <v>1969</v>
      </c>
      <c r="C539" t="s">
        <v>22</v>
      </c>
      <c r="D539" s="5">
        <v>25477</v>
      </c>
      <c r="E539">
        <v>37.299999999999997</v>
      </c>
      <c r="F539">
        <v>5.7</v>
      </c>
    </row>
    <row r="540" spans="1:6" hidden="1">
      <c r="A540" t="s">
        <v>12</v>
      </c>
      <c r="B540">
        <v>1969</v>
      </c>
      <c r="C540" t="s">
        <v>23</v>
      </c>
      <c r="D540" s="5">
        <v>25508</v>
      </c>
      <c r="E540">
        <v>37.5</v>
      </c>
      <c r="F540">
        <v>5.9</v>
      </c>
    </row>
    <row r="541" spans="1:6" hidden="1">
      <c r="A541" t="s">
        <v>12</v>
      </c>
      <c r="B541">
        <v>1969</v>
      </c>
      <c r="C541" t="s">
        <v>24</v>
      </c>
      <c r="D541" s="5">
        <v>25538</v>
      </c>
      <c r="E541">
        <v>37.700000000000003</v>
      </c>
      <c r="F541">
        <v>6.2</v>
      </c>
    </row>
    <row r="542" spans="1:6">
      <c r="A542" t="s">
        <v>12</v>
      </c>
      <c r="B542">
        <v>1970</v>
      </c>
      <c r="C542" t="s">
        <v>13</v>
      </c>
      <c r="D542" s="5">
        <v>25569</v>
      </c>
      <c r="E542">
        <v>37.799999999999997</v>
      </c>
      <c r="F542">
        <v>6.2</v>
      </c>
    </row>
    <row r="543" spans="1:6" hidden="1">
      <c r="A543" t="s">
        <v>12</v>
      </c>
      <c r="B543">
        <v>1970</v>
      </c>
      <c r="C543" t="s">
        <v>14</v>
      </c>
      <c r="D543" s="5">
        <v>25600</v>
      </c>
      <c r="E543">
        <v>38</v>
      </c>
      <c r="F543">
        <v>6.1</v>
      </c>
    </row>
    <row r="544" spans="1:6" hidden="1">
      <c r="A544" t="s">
        <v>12</v>
      </c>
      <c r="B544">
        <v>1970</v>
      </c>
      <c r="C544" t="s">
        <v>15</v>
      </c>
      <c r="D544" s="5">
        <v>25628</v>
      </c>
      <c r="E544">
        <v>38.200000000000003</v>
      </c>
      <c r="F544">
        <v>5.8</v>
      </c>
    </row>
    <row r="545" spans="1:6" hidden="1">
      <c r="A545" t="s">
        <v>12</v>
      </c>
      <c r="B545">
        <v>1970</v>
      </c>
      <c r="C545" t="s">
        <v>16</v>
      </c>
      <c r="D545" s="5">
        <v>25659</v>
      </c>
      <c r="E545">
        <v>38.5</v>
      </c>
      <c r="F545">
        <v>6.1</v>
      </c>
    </row>
    <row r="546" spans="1:6" hidden="1">
      <c r="A546" t="s">
        <v>12</v>
      </c>
      <c r="B546">
        <v>1970</v>
      </c>
      <c r="C546" t="s">
        <v>17</v>
      </c>
      <c r="D546" s="5">
        <v>25689</v>
      </c>
      <c r="E546">
        <v>38.6</v>
      </c>
      <c r="F546">
        <v>6</v>
      </c>
    </row>
    <row r="547" spans="1:6" hidden="1">
      <c r="A547" t="s">
        <v>12</v>
      </c>
      <c r="B547">
        <v>1970</v>
      </c>
      <c r="C547" t="s">
        <v>18</v>
      </c>
      <c r="D547" s="5">
        <v>25720</v>
      </c>
      <c r="E547">
        <v>38.799999999999997</v>
      </c>
      <c r="F547">
        <v>6</v>
      </c>
    </row>
    <row r="548" spans="1:6" hidden="1">
      <c r="A548" t="s">
        <v>12</v>
      </c>
      <c r="B548">
        <v>1970</v>
      </c>
      <c r="C548" t="s">
        <v>19</v>
      </c>
      <c r="D548" s="5">
        <v>25750</v>
      </c>
      <c r="E548">
        <v>39</v>
      </c>
      <c r="F548">
        <v>6</v>
      </c>
    </row>
    <row r="549" spans="1:6" hidden="1">
      <c r="A549" t="s">
        <v>12</v>
      </c>
      <c r="B549">
        <v>1970</v>
      </c>
      <c r="C549" t="s">
        <v>20</v>
      </c>
      <c r="D549" s="5">
        <v>25781</v>
      </c>
      <c r="E549">
        <v>39</v>
      </c>
      <c r="F549">
        <v>5.4</v>
      </c>
    </row>
    <row r="550" spans="1:6" hidden="1">
      <c r="A550" t="s">
        <v>12</v>
      </c>
      <c r="B550">
        <v>1970</v>
      </c>
      <c r="C550" t="s">
        <v>21</v>
      </c>
      <c r="D550" s="5">
        <v>25812</v>
      </c>
      <c r="E550">
        <v>39.200000000000003</v>
      </c>
      <c r="F550">
        <v>5.7</v>
      </c>
    </row>
    <row r="551" spans="1:6" hidden="1">
      <c r="A551" t="s">
        <v>12</v>
      </c>
      <c r="B551">
        <v>1970</v>
      </c>
      <c r="C551" t="s">
        <v>22</v>
      </c>
      <c r="D551" s="5">
        <v>25842</v>
      </c>
      <c r="E551">
        <v>39.4</v>
      </c>
      <c r="F551">
        <v>5.6</v>
      </c>
    </row>
    <row r="552" spans="1:6" hidden="1">
      <c r="A552" t="s">
        <v>12</v>
      </c>
      <c r="B552">
        <v>1970</v>
      </c>
      <c r="C552" t="s">
        <v>23</v>
      </c>
      <c r="D552" s="5">
        <v>25873</v>
      </c>
      <c r="E552">
        <v>39.6</v>
      </c>
      <c r="F552">
        <v>5.6</v>
      </c>
    </row>
    <row r="553" spans="1:6" hidden="1">
      <c r="A553" t="s">
        <v>12</v>
      </c>
      <c r="B553">
        <v>1970</v>
      </c>
      <c r="C553" t="s">
        <v>24</v>
      </c>
      <c r="D553" s="5">
        <v>25903</v>
      </c>
      <c r="E553">
        <v>39.799999999999997</v>
      </c>
      <c r="F553">
        <v>5.6</v>
      </c>
    </row>
    <row r="554" spans="1:6">
      <c r="A554" t="s">
        <v>12</v>
      </c>
      <c r="B554">
        <v>1971</v>
      </c>
      <c r="C554" t="s">
        <v>13</v>
      </c>
      <c r="D554" s="5">
        <v>25934</v>
      </c>
      <c r="E554">
        <v>39.799999999999997</v>
      </c>
      <c r="F554">
        <v>5.3</v>
      </c>
    </row>
    <row r="555" spans="1:6" hidden="1">
      <c r="A555" t="s">
        <v>12</v>
      </c>
      <c r="B555">
        <v>1971</v>
      </c>
      <c r="C555" t="s">
        <v>14</v>
      </c>
      <c r="D555" s="5">
        <v>25965</v>
      </c>
      <c r="E555">
        <v>39.9</v>
      </c>
      <c r="F555">
        <v>5</v>
      </c>
    </row>
    <row r="556" spans="1:6" hidden="1">
      <c r="A556" t="s">
        <v>12</v>
      </c>
      <c r="B556">
        <v>1971</v>
      </c>
      <c r="C556" t="s">
        <v>15</v>
      </c>
      <c r="D556" s="5">
        <v>25993</v>
      </c>
      <c r="E556">
        <v>40</v>
      </c>
      <c r="F556">
        <v>4.7</v>
      </c>
    </row>
    <row r="557" spans="1:6" hidden="1">
      <c r="A557" t="s">
        <v>12</v>
      </c>
      <c r="B557">
        <v>1971</v>
      </c>
      <c r="C557" t="s">
        <v>16</v>
      </c>
      <c r="D557" s="5">
        <v>26024</v>
      </c>
      <c r="E557">
        <v>40.1</v>
      </c>
      <c r="F557">
        <v>4.2</v>
      </c>
    </row>
    <row r="558" spans="1:6" hidden="1">
      <c r="A558" t="s">
        <v>12</v>
      </c>
      <c r="B558">
        <v>1971</v>
      </c>
      <c r="C558" t="s">
        <v>17</v>
      </c>
      <c r="D558" s="5">
        <v>26054</v>
      </c>
      <c r="E558">
        <v>40.299999999999997</v>
      </c>
      <c r="F558">
        <v>4.4000000000000004</v>
      </c>
    </row>
    <row r="559" spans="1:6" hidden="1">
      <c r="A559" t="s">
        <v>12</v>
      </c>
      <c r="B559">
        <v>1971</v>
      </c>
      <c r="C559" t="s">
        <v>18</v>
      </c>
      <c r="D559" s="5">
        <v>26085</v>
      </c>
      <c r="E559">
        <v>40.6</v>
      </c>
      <c r="F559">
        <v>4.5999999999999996</v>
      </c>
    </row>
    <row r="560" spans="1:6" hidden="1">
      <c r="A560" t="s">
        <v>12</v>
      </c>
      <c r="B560">
        <v>1971</v>
      </c>
      <c r="C560" t="s">
        <v>19</v>
      </c>
      <c r="D560" s="5">
        <v>26115</v>
      </c>
      <c r="E560">
        <v>40.700000000000003</v>
      </c>
      <c r="F560">
        <v>4.4000000000000004</v>
      </c>
    </row>
    <row r="561" spans="1:6" hidden="1">
      <c r="A561" t="s">
        <v>12</v>
      </c>
      <c r="B561">
        <v>1971</v>
      </c>
      <c r="C561" t="s">
        <v>20</v>
      </c>
      <c r="D561" s="5">
        <v>26146</v>
      </c>
      <c r="E561">
        <v>40.799999999999997</v>
      </c>
      <c r="F561">
        <v>4.5999999999999996</v>
      </c>
    </row>
    <row r="562" spans="1:6" hidden="1">
      <c r="A562" t="s">
        <v>12</v>
      </c>
      <c r="B562">
        <v>1971</v>
      </c>
      <c r="C562" t="s">
        <v>21</v>
      </c>
      <c r="D562" s="5">
        <v>26177</v>
      </c>
      <c r="E562">
        <v>40.799999999999997</v>
      </c>
      <c r="F562">
        <v>4.0999999999999996</v>
      </c>
    </row>
    <row r="563" spans="1:6" hidden="1">
      <c r="A563" t="s">
        <v>12</v>
      </c>
      <c r="B563">
        <v>1971</v>
      </c>
      <c r="C563" t="s">
        <v>22</v>
      </c>
      <c r="D563" s="5">
        <v>26207</v>
      </c>
      <c r="E563">
        <v>40.9</v>
      </c>
      <c r="F563">
        <v>3.8</v>
      </c>
    </row>
    <row r="564" spans="1:6" hidden="1">
      <c r="A564" t="s">
        <v>12</v>
      </c>
      <c r="B564">
        <v>1971</v>
      </c>
      <c r="C564" t="s">
        <v>23</v>
      </c>
      <c r="D564" s="5">
        <v>26238</v>
      </c>
      <c r="E564">
        <v>40.9</v>
      </c>
      <c r="F564">
        <v>3.3</v>
      </c>
    </row>
    <row r="565" spans="1:6" hidden="1">
      <c r="A565" t="s">
        <v>12</v>
      </c>
      <c r="B565">
        <v>1971</v>
      </c>
      <c r="C565" t="s">
        <v>24</v>
      </c>
      <c r="D565" s="5">
        <v>26268</v>
      </c>
      <c r="E565">
        <v>41.1</v>
      </c>
      <c r="F565">
        <v>3.3</v>
      </c>
    </row>
    <row r="566" spans="1:6">
      <c r="A566" t="s">
        <v>12</v>
      </c>
      <c r="B566">
        <v>1972</v>
      </c>
      <c r="C566" t="s">
        <v>13</v>
      </c>
      <c r="D566" s="5">
        <v>26299</v>
      </c>
      <c r="E566">
        <v>41.1</v>
      </c>
      <c r="F566">
        <v>3.3</v>
      </c>
    </row>
    <row r="567" spans="1:6" hidden="1">
      <c r="A567" t="s">
        <v>12</v>
      </c>
      <c r="B567">
        <v>1972</v>
      </c>
      <c r="C567" t="s">
        <v>14</v>
      </c>
      <c r="D567" s="5">
        <v>26330</v>
      </c>
      <c r="E567">
        <v>41.3</v>
      </c>
      <c r="F567">
        <v>3.5</v>
      </c>
    </row>
    <row r="568" spans="1:6" hidden="1">
      <c r="A568" t="s">
        <v>12</v>
      </c>
      <c r="B568">
        <v>1972</v>
      </c>
      <c r="C568" t="s">
        <v>15</v>
      </c>
      <c r="D568" s="5">
        <v>26359</v>
      </c>
      <c r="E568">
        <v>41.4</v>
      </c>
      <c r="F568">
        <v>3.5</v>
      </c>
    </row>
    <row r="569" spans="1:6" hidden="1">
      <c r="A569" t="s">
        <v>12</v>
      </c>
      <c r="B569">
        <v>1972</v>
      </c>
      <c r="C569" t="s">
        <v>16</v>
      </c>
      <c r="D569" s="5">
        <v>26390</v>
      </c>
      <c r="E569">
        <v>41.5</v>
      </c>
      <c r="F569">
        <v>3.5</v>
      </c>
    </row>
    <row r="570" spans="1:6" hidden="1">
      <c r="A570" t="s">
        <v>12</v>
      </c>
      <c r="B570">
        <v>1972</v>
      </c>
      <c r="C570" t="s">
        <v>17</v>
      </c>
      <c r="D570" s="5">
        <v>26420</v>
      </c>
      <c r="E570">
        <v>41.6</v>
      </c>
      <c r="F570">
        <v>3.2</v>
      </c>
    </row>
    <row r="571" spans="1:6" hidden="1">
      <c r="A571" t="s">
        <v>12</v>
      </c>
      <c r="B571">
        <v>1972</v>
      </c>
      <c r="C571" t="s">
        <v>18</v>
      </c>
      <c r="D571" s="5">
        <v>26451</v>
      </c>
      <c r="E571">
        <v>41.7</v>
      </c>
      <c r="F571">
        <v>2.7</v>
      </c>
    </row>
    <row r="572" spans="1:6" hidden="1">
      <c r="A572" t="s">
        <v>12</v>
      </c>
      <c r="B572">
        <v>1972</v>
      </c>
      <c r="C572" t="s">
        <v>19</v>
      </c>
      <c r="D572" s="5">
        <v>26481</v>
      </c>
      <c r="E572">
        <v>41.9</v>
      </c>
      <c r="F572">
        <v>2.9</v>
      </c>
    </row>
    <row r="573" spans="1:6" hidden="1">
      <c r="A573" t="s">
        <v>12</v>
      </c>
      <c r="B573">
        <v>1972</v>
      </c>
      <c r="C573" t="s">
        <v>20</v>
      </c>
      <c r="D573" s="5">
        <v>26512</v>
      </c>
      <c r="E573">
        <v>42</v>
      </c>
      <c r="F573">
        <v>2.9</v>
      </c>
    </row>
    <row r="574" spans="1:6" hidden="1">
      <c r="A574" t="s">
        <v>12</v>
      </c>
      <c r="B574">
        <v>1972</v>
      </c>
      <c r="C574" t="s">
        <v>21</v>
      </c>
      <c r="D574" s="5">
        <v>26543</v>
      </c>
      <c r="E574">
        <v>42.1</v>
      </c>
      <c r="F574">
        <v>3.2</v>
      </c>
    </row>
    <row r="575" spans="1:6" hidden="1">
      <c r="A575" t="s">
        <v>12</v>
      </c>
      <c r="B575">
        <v>1972</v>
      </c>
      <c r="C575" t="s">
        <v>22</v>
      </c>
      <c r="D575" s="5">
        <v>26573</v>
      </c>
      <c r="E575">
        <v>42.3</v>
      </c>
      <c r="F575">
        <v>3.4</v>
      </c>
    </row>
    <row r="576" spans="1:6" hidden="1">
      <c r="A576" t="s">
        <v>12</v>
      </c>
      <c r="B576">
        <v>1972</v>
      </c>
      <c r="C576" t="s">
        <v>23</v>
      </c>
      <c r="D576" s="5">
        <v>26604</v>
      </c>
      <c r="E576">
        <v>42.4</v>
      </c>
      <c r="F576">
        <v>3.7</v>
      </c>
    </row>
    <row r="577" spans="1:6" hidden="1">
      <c r="A577" t="s">
        <v>12</v>
      </c>
      <c r="B577">
        <v>1972</v>
      </c>
      <c r="C577" t="s">
        <v>24</v>
      </c>
      <c r="D577" s="5">
        <v>26634</v>
      </c>
      <c r="E577">
        <v>42.5</v>
      </c>
      <c r="F577">
        <v>3.4</v>
      </c>
    </row>
    <row r="578" spans="1:6">
      <c r="A578" t="s">
        <v>12</v>
      </c>
      <c r="B578">
        <v>1973</v>
      </c>
      <c r="C578" t="s">
        <v>13</v>
      </c>
      <c r="D578" s="5">
        <v>26665</v>
      </c>
      <c r="E578">
        <v>42.6</v>
      </c>
      <c r="F578">
        <v>3.6</v>
      </c>
    </row>
    <row r="579" spans="1:6" hidden="1">
      <c r="A579" t="s">
        <v>12</v>
      </c>
      <c r="B579">
        <v>1973</v>
      </c>
      <c r="C579" t="s">
        <v>14</v>
      </c>
      <c r="D579" s="5">
        <v>26696</v>
      </c>
      <c r="E579">
        <v>42.9</v>
      </c>
      <c r="F579">
        <v>3.9</v>
      </c>
    </row>
    <row r="580" spans="1:6" hidden="1">
      <c r="A580" t="s">
        <v>12</v>
      </c>
      <c r="B580">
        <v>1973</v>
      </c>
      <c r="C580" t="s">
        <v>15</v>
      </c>
      <c r="D580" s="5">
        <v>26724</v>
      </c>
      <c r="E580">
        <v>43.3</v>
      </c>
      <c r="F580">
        <v>4.5999999999999996</v>
      </c>
    </row>
    <row r="581" spans="1:6" hidden="1">
      <c r="A581" t="s">
        <v>12</v>
      </c>
      <c r="B581">
        <v>1973</v>
      </c>
      <c r="C581" t="s">
        <v>16</v>
      </c>
      <c r="D581" s="5">
        <v>26755</v>
      </c>
      <c r="E581">
        <v>43.6</v>
      </c>
      <c r="F581">
        <v>5.0999999999999996</v>
      </c>
    </row>
    <row r="582" spans="1:6" hidden="1">
      <c r="A582" t="s">
        <v>12</v>
      </c>
      <c r="B582">
        <v>1973</v>
      </c>
      <c r="C582" t="s">
        <v>17</v>
      </c>
      <c r="D582" s="5">
        <v>26785</v>
      </c>
      <c r="E582">
        <v>43.9</v>
      </c>
      <c r="F582">
        <v>5.5</v>
      </c>
    </row>
    <row r="583" spans="1:6" hidden="1">
      <c r="A583" t="s">
        <v>12</v>
      </c>
      <c r="B583">
        <v>1973</v>
      </c>
      <c r="C583" t="s">
        <v>18</v>
      </c>
      <c r="D583" s="5">
        <v>26816</v>
      </c>
      <c r="E583">
        <v>44.2</v>
      </c>
      <c r="F583">
        <v>6</v>
      </c>
    </row>
    <row r="584" spans="1:6" hidden="1">
      <c r="A584" t="s">
        <v>12</v>
      </c>
      <c r="B584">
        <v>1973</v>
      </c>
      <c r="C584" t="s">
        <v>19</v>
      </c>
      <c r="D584" s="5">
        <v>26846</v>
      </c>
      <c r="E584">
        <v>44.3</v>
      </c>
      <c r="F584">
        <v>5.7</v>
      </c>
    </row>
    <row r="585" spans="1:6" hidden="1">
      <c r="A585" t="s">
        <v>12</v>
      </c>
      <c r="B585">
        <v>1973</v>
      </c>
      <c r="C585" t="s">
        <v>20</v>
      </c>
      <c r="D585" s="5">
        <v>26877</v>
      </c>
      <c r="E585">
        <v>45.1</v>
      </c>
      <c r="F585">
        <v>7.4</v>
      </c>
    </row>
    <row r="586" spans="1:6" hidden="1">
      <c r="A586" t="s">
        <v>12</v>
      </c>
      <c r="B586">
        <v>1973</v>
      </c>
      <c r="C586" t="s">
        <v>21</v>
      </c>
      <c r="D586" s="5">
        <v>26908</v>
      </c>
      <c r="E586">
        <v>45.2</v>
      </c>
      <c r="F586">
        <v>7.4</v>
      </c>
    </row>
    <row r="587" spans="1:6" hidden="1">
      <c r="A587" t="s">
        <v>12</v>
      </c>
      <c r="B587">
        <v>1973</v>
      </c>
      <c r="C587" t="s">
        <v>22</v>
      </c>
      <c r="D587" s="5">
        <v>26938</v>
      </c>
      <c r="E587">
        <v>45.6</v>
      </c>
      <c r="F587">
        <v>7.8</v>
      </c>
    </row>
    <row r="588" spans="1:6" hidden="1">
      <c r="A588" t="s">
        <v>12</v>
      </c>
      <c r="B588">
        <v>1973</v>
      </c>
      <c r="C588" t="s">
        <v>23</v>
      </c>
      <c r="D588" s="5">
        <v>26969</v>
      </c>
      <c r="E588">
        <v>45.9</v>
      </c>
      <c r="F588">
        <v>8.3000000000000007</v>
      </c>
    </row>
    <row r="589" spans="1:6" hidden="1">
      <c r="A589" t="s">
        <v>12</v>
      </c>
      <c r="B589">
        <v>1973</v>
      </c>
      <c r="C589" t="s">
        <v>24</v>
      </c>
      <c r="D589" s="5">
        <v>26999</v>
      </c>
      <c r="E589">
        <v>46.2</v>
      </c>
      <c r="F589">
        <v>8.6999999999999993</v>
      </c>
    </row>
    <row r="590" spans="1:6">
      <c r="A590" t="s">
        <v>12</v>
      </c>
      <c r="B590">
        <v>1974</v>
      </c>
      <c r="C590" t="s">
        <v>13</v>
      </c>
      <c r="D590" s="5">
        <v>27030</v>
      </c>
      <c r="E590">
        <v>46.6</v>
      </c>
      <c r="F590">
        <v>9.4</v>
      </c>
    </row>
    <row r="591" spans="1:6" hidden="1">
      <c r="A591" t="s">
        <v>12</v>
      </c>
      <c r="B591">
        <v>1974</v>
      </c>
      <c r="C591" t="s">
        <v>14</v>
      </c>
      <c r="D591" s="5">
        <v>27061</v>
      </c>
      <c r="E591">
        <v>47.2</v>
      </c>
      <c r="F591">
        <v>10</v>
      </c>
    </row>
    <row r="592" spans="1:6" hidden="1">
      <c r="A592" t="s">
        <v>12</v>
      </c>
      <c r="B592">
        <v>1974</v>
      </c>
      <c r="C592" t="s">
        <v>15</v>
      </c>
      <c r="D592" s="5">
        <v>27089</v>
      </c>
      <c r="E592">
        <v>47.8</v>
      </c>
      <c r="F592">
        <v>10.4</v>
      </c>
    </row>
    <row r="593" spans="1:6" hidden="1">
      <c r="A593" t="s">
        <v>12</v>
      </c>
      <c r="B593">
        <v>1974</v>
      </c>
      <c r="C593" t="s">
        <v>16</v>
      </c>
      <c r="D593" s="5">
        <v>27120</v>
      </c>
      <c r="E593">
        <v>48</v>
      </c>
      <c r="F593">
        <v>10.1</v>
      </c>
    </row>
    <row r="594" spans="1:6" hidden="1">
      <c r="A594" t="s">
        <v>12</v>
      </c>
      <c r="B594">
        <v>1974</v>
      </c>
      <c r="C594" t="s">
        <v>17</v>
      </c>
      <c r="D594" s="5">
        <v>27150</v>
      </c>
      <c r="E594">
        <v>48.6</v>
      </c>
      <c r="F594">
        <v>10.7</v>
      </c>
    </row>
    <row r="595" spans="1:6" hidden="1">
      <c r="A595" t="s">
        <v>12</v>
      </c>
      <c r="B595">
        <v>1974</v>
      </c>
      <c r="C595" t="s">
        <v>18</v>
      </c>
      <c r="D595" s="5">
        <v>27181</v>
      </c>
      <c r="E595">
        <v>49</v>
      </c>
      <c r="F595">
        <v>10.9</v>
      </c>
    </row>
    <row r="596" spans="1:6" hidden="1">
      <c r="A596" t="s">
        <v>12</v>
      </c>
      <c r="B596">
        <v>1974</v>
      </c>
      <c r="C596" t="s">
        <v>19</v>
      </c>
      <c r="D596" s="5">
        <v>27211</v>
      </c>
      <c r="E596">
        <v>49.4</v>
      </c>
      <c r="F596">
        <v>11.5</v>
      </c>
    </row>
    <row r="597" spans="1:6" hidden="1">
      <c r="A597" t="s">
        <v>12</v>
      </c>
      <c r="B597">
        <v>1974</v>
      </c>
      <c r="C597" t="s">
        <v>20</v>
      </c>
      <c r="D597" s="5">
        <v>27242</v>
      </c>
      <c r="E597">
        <v>50</v>
      </c>
      <c r="F597">
        <v>10.9</v>
      </c>
    </row>
    <row r="598" spans="1:6" hidden="1">
      <c r="A598" t="s">
        <v>12</v>
      </c>
      <c r="B598">
        <v>1974</v>
      </c>
      <c r="C598" t="s">
        <v>21</v>
      </c>
      <c r="D598" s="5">
        <v>27273</v>
      </c>
      <c r="E598">
        <v>50.6</v>
      </c>
      <c r="F598">
        <v>11.9</v>
      </c>
    </row>
    <row r="599" spans="1:6" hidden="1">
      <c r="A599" t="s">
        <v>12</v>
      </c>
      <c r="B599">
        <v>1974</v>
      </c>
      <c r="C599" t="s">
        <v>22</v>
      </c>
      <c r="D599" s="5">
        <v>27303</v>
      </c>
      <c r="E599">
        <v>51.1</v>
      </c>
      <c r="F599">
        <v>12.1</v>
      </c>
    </row>
    <row r="600" spans="1:6" hidden="1">
      <c r="A600" t="s">
        <v>12</v>
      </c>
      <c r="B600">
        <v>1974</v>
      </c>
      <c r="C600" t="s">
        <v>23</v>
      </c>
      <c r="D600" s="5">
        <v>27334</v>
      </c>
      <c r="E600">
        <v>51.5</v>
      </c>
      <c r="F600">
        <v>12.2</v>
      </c>
    </row>
    <row r="601" spans="1:6" hidden="1">
      <c r="A601" t="s">
        <v>12</v>
      </c>
      <c r="B601">
        <v>1974</v>
      </c>
      <c r="C601" t="s">
        <v>24</v>
      </c>
      <c r="D601" s="5">
        <v>27364</v>
      </c>
      <c r="E601">
        <v>51.9</v>
      </c>
      <c r="F601">
        <v>12.3</v>
      </c>
    </row>
    <row r="602" spans="1:6">
      <c r="A602" t="s">
        <v>12</v>
      </c>
      <c r="B602">
        <v>1975</v>
      </c>
      <c r="C602" t="s">
        <v>13</v>
      </c>
      <c r="D602" s="5">
        <v>27395</v>
      </c>
      <c r="E602">
        <v>52.1</v>
      </c>
      <c r="F602">
        <v>11.8</v>
      </c>
    </row>
    <row r="603" spans="1:6" hidden="1">
      <c r="A603" t="s">
        <v>12</v>
      </c>
      <c r="B603">
        <v>1975</v>
      </c>
      <c r="C603" t="s">
        <v>14</v>
      </c>
      <c r="D603" s="5">
        <v>27426</v>
      </c>
      <c r="E603">
        <v>52.5</v>
      </c>
      <c r="F603">
        <v>11.2</v>
      </c>
    </row>
    <row r="604" spans="1:6" hidden="1">
      <c r="A604" t="s">
        <v>12</v>
      </c>
      <c r="B604">
        <v>1975</v>
      </c>
      <c r="C604" t="s">
        <v>15</v>
      </c>
      <c r="D604" s="5">
        <v>27454</v>
      </c>
      <c r="E604">
        <v>52.7</v>
      </c>
      <c r="F604">
        <v>10.3</v>
      </c>
    </row>
    <row r="605" spans="1:6" hidden="1">
      <c r="A605" t="s">
        <v>12</v>
      </c>
      <c r="B605">
        <v>1975</v>
      </c>
      <c r="C605" t="s">
        <v>16</v>
      </c>
      <c r="D605" s="5">
        <v>27485</v>
      </c>
      <c r="E605">
        <v>52.9</v>
      </c>
      <c r="F605">
        <v>10.199999999999999</v>
      </c>
    </row>
    <row r="606" spans="1:6" hidden="1">
      <c r="A606" t="s">
        <v>12</v>
      </c>
      <c r="B606">
        <v>1975</v>
      </c>
      <c r="C606" t="s">
        <v>17</v>
      </c>
      <c r="D606" s="5">
        <v>27515</v>
      </c>
      <c r="E606">
        <v>53.2</v>
      </c>
      <c r="F606">
        <v>9.5</v>
      </c>
    </row>
    <row r="607" spans="1:6" hidden="1">
      <c r="A607" t="s">
        <v>12</v>
      </c>
      <c r="B607">
        <v>1975</v>
      </c>
      <c r="C607" t="s">
        <v>18</v>
      </c>
      <c r="D607" s="5">
        <v>27546</v>
      </c>
      <c r="E607">
        <v>53.6</v>
      </c>
      <c r="F607">
        <v>9.4</v>
      </c>
    </row>
    <row r="608" spans="1:6" hidden="1">
      <c r="A608" t="s">
        <v>12</v>
      </c>
      <c r="B608">
        <v>1975</v>
      </c>
      <c r="C608" t="s">
        <v>19</v>
      </c>
      <c r="D608" s="5">
        <v>27576</v>
      </c>
      <c r="E608">
        <v>54.2</v>
      </c>
      <c r="F608">
        <v>9.6999999999999993</v>
      </c>
    </row>
    <row r="609" spans="1:6" hidden="1">
      <c r="A609" t="s">
        <v>12</v>
      </c>
      <c r="B609">
        <v>1975</v>
      </c>
      <c r="C609" t="s">
        <v>20</v>
      </c>
      <c r="D609" s="5">
        <v>27607</v>
      </c>
      <c r="E609">
        <v>54.3</v>
      </c>
      <c r="F609">
        <v>8.6</v>
      </c>
    </row>
    <row r="610" spans="1:6" hidden="1">
      <c r="A610" t="s">
        <v>12</v>
      </c>
      <c r="B610">
        <v>1975</v>
      </c>
      <c r="C610" t="s">
        <v>21</v>
      </c>
      <c r="D610" s="5">
        <v>27638</v>
      </c>
      <c r="E610">
        <v>54.6</v>
      </c>
      <c r="F610">
        <v>7.9</v>
      </c>
    </row>
    <row r="611" spans="1:6" hidden="1">
      <c r="A611" t="s">
        <v>12</v>
      </c>
      <c r="B611">
        <v>1975</v>
      </c>
      <c r="C611" t="s">
        <v>22</v>
      </c>
      <c r="D611" s="5">
        <v>27668</v>
      </c>
      <c r="E611">
        <v>54.9</v>
      </c>
      <c r="F611">
        <v>7.4</v>
      </c>
    </row>
    <row r="612" spans="1:6" hidden="1">
      <c r="A612" t="s">
        <v>12</v>
      </c>
      <c r="B612">
        <v>1975</v>
      </c>
      <c r="C612" t="s">
        <v>23</v>
      </c>
      <c r="D612" s="5">
        <v>27699</v>
      </c>
      <c r="E612">
        <v>55.3</v>
      </c>
      <c r="F612">
        <v>7.4</v>
      </c>
    </row>
    <row r="613" spans="1:6" hidden="1">
      <c r="A613" t="s">
        <v>12</v>
      </c>
      <c r="B613">
        <v>1975</v>
      </c>
      <c r="C613" t="s">
        <v>24</v>
      </c>
      <c r="D613" s="5">
        <v>27729</v>
      </c>
      <c r="E613">
        <v>55.5</v>
      </c>
      <c r="F613">
        <v>6.9</v>
      </c>
    </row>
    <row r="614" spans="1:6">
      <c r="A614" t="s">
        <v>12</v>
      </c>
      <c r="B614">
        <v>1976</v>
      </c>
      <c r="C614" t="s">
        <v>13</v>
      </c>
      <c r="D614" s="5">
        <v>27760</v>
      </c>
      <c r="E614">
        <v>55.6</v>
      </c>
      <c r="F614">
        <v>6.7</v>
      </c>
    </row>
    <row r="615" spans="1:6" hidden="1">
      <c r="A615" t="s">
        <v>12</v>
      </c>
      <c r="B615">
        <v>1976</v>
      </c>
      <c r="C615" t="s">
        <v>14</v>
      </c>
      <c r="D615" s="5">
        <v>27791</v>
      </c>
      <c r="E615">
        <v>55.8</v>
      </c>
      <c r="F615">
        <v>6.3</v>
      </c>
    </row>
    <row r="616" spans="1:6" hidden="1">
      <c r="A616" t="s">
        <v>12</v>
      </c>
      <c r="B616">
        <v>1976</v>
      </c>
      <c r="C616" t="s">
        <v>15</v>
      </c>
      <c r="D616" s="5">
        <v>27820</v>
      </c>
      <c r="E616">
        <v>55.9</v>
      </c>
      <c r="F616">
        <v>6.1</v>
      </c>
    </row>
    <row r="617" spans="1:6" hidden="1">
      <c r="A617" t="s">
        <v>12</v>
      </c>
      <c r="B617">
        <v>1976</v>
      </c>
      <c r="C617" t="s">
        <v>16</v>
      </c>
      <c r="D617" s="5">
        <v>27851</v>
      </c>
      <c r="E617">
        <v>56.1</v>
      </c>
      <c r="F617">
        <v>6</v>
      </c>
    </row>
    <row r="618" spans="1:6" hidden="1">
      <c r="A618" t="s">
        <v>12</v>
      </c>
      <c r="B618">
        <v>1976</v>
      </c>
      <c r="C618" t="s">
        <v>17</v>
      </c>
      <c r="D618" s="5">
        <v>27881</v>
      </c>
      <c r="E618">
        <v>56.5</v>
      </c>
      <c r="F618">
        <v>6.2</v>
      </c>
    </row>
    <row r="619" spans="1:6" hidden="1">
      <c r="A619" t="s">
        <v>12</v>
      </c>
      <c r="B619">
        <v>1976</v>
      </c>
      <c r="C619" t="s">
        <v>18</v>
      </c>
      <c r="D619" s="5">
        <v>27912</v>
      </c>
      <c r="E619">
        <v>56.8</v>
      </c>
      <c r="F619">
        <v>6</v>
      </c>
    </row>
    <row r="620" spans="1:6" hidden="1">
      <c r="A620" t="s">
        <v>12</v>
      </c>
      <c r="B620">
        <v>1976</v>
      </c>
      <c r="C620" t="s">
        <v>19</v>
      </c>
      <c r="D620" s="5">
        <v>27942</v>
      </c>
      <c r="E620">
        <v>57.1</v>
      </c>
      <c r="F620">
        <v>5.4</v>
      </c>
    </row>
    <row r="621" spans="1:6" hidden="1">
      <c r="A621" t="s">
        <v>12</v>
      </c>
      <c r="B621">
        <v>1976</v>
      </c>
      <c r="C621" t="s">
        <v>20</v>
      </c>
      <c r="D621" s="5">
        <v>27973</v>
      </c>
      <c r="E621">
        <v>57.4</v>
      </c>
      <c r="F621">
        <v>5.7</v>
      </c>
    </row>
    <row r="622" spans="1:6" hidden="1">
      <c r="A622" t="s">
        <v>12</v>
      </c>
      <c r="B622">
        <v>1976</v>
      </c>
      <c r="C622" t="s">
        <v>21</v>
      </c>
      <c r="D622" s="5">
        <v>28004</v>
      </c>
      <c r="E622">
        <v>57.6</v>
      </c>
      <c r="F622">
        <v>5.5</v>
      </c>
    </row>
    <row r="623" spans="1:6" hidden="1">
      <c r="A623" t="s">
        <v>12</v>
      </c>
      <c r="B623">
        <v>1976</v>
      </c>
      <c r="C623" t="s">
        <v>22</v>
      </c>
      <c r="D623" s="5">
        <v>28034</v>
      </c>
      <c r="E623">
        <v>57.9</v>
      </c>
      <c r="F623">
        <v>5.5</v>
      </c>
    </row>
    <row r="624" spans="1:6" hidden="1">
      <c r="A624" t="s">
        <v>12</v>
      </c>
      <c r="B624">
        <v>1976</v>
      </c>
      <c r="C624" t="s">
        <v>23</v>
      </c>
      <c r="D624" s="5">
        <v>28065</v>
      </c>
      <c r="E624">
        <v>58</v>
      </c>
      <c r="F624">
        <v>4.9000000000000004</v>
      </c>
    </row>
    <row r="625" spans="1:6" hidden="1">
      <c r="A625" t="s">
        <v>12</v>
      </c>
      <c r="B625">
        <v>1976</v>
      </c>
      <c r="C625" t="s">
        <v>24</v>
      </c>
      <c r="D625" s="5">
        <v>28095</v>
      </c>
      <c r="E625">
        <v>58.2</v>
      </c>
      <c r="F625">
        <v>4.9000000000000004</v>
      </c>
    </row>
    <row r="626" spans="1:6">
      <c r="A626" t="s">
        <v>12</v>
      </c>
      <c r="B626">
        <v>1977</v>
      </c>
      <c r="C626" t="s">
        <v>13</v>
      </c>
      <c r="D626" s="5">
        <v>28126</v>
      </c>
      <c r="E626">
        <v>58.5</v>
      </c>
      <c r="F626">
        <v>5.2</v>
      </c>
    </row>
    <row r="627" spans="1:6" hidden="1">
      <c r="A627" t="s">
        <v>12</v>
      </c>
      <c r="B627">
        <v>1977</v>
      </c>
      <c r="C627" t="s">
        <v>14</v>
      </c>
      <c r="D627" s="5">
        <v>28157</v>
      </c>
      <c r="E627">
        <v>59.1</v>
      </c>
      <c r="F627">
        <v>5.9</v>
      </c>
    </row>
    <row r="628" spans="1:6" hidden="1">
      <c r="A628" t="s">
        <v>12</v>
      </c>
      <c r="B628">
        <v>1977</v>
      </c>
      <c r="C628" t="s">
        <v>15</v>
      </c>
      <c r="D628" s="5">
        <v>28185</v>
      </c>
      <c r="E628">
        <v>59.5</v>
      </c>
      <c r="F628">
        <v>6.4</v>
      </c>
    </row>
    <row r="629" spans="1:6" hidden="1">
      <c r="A629" t="s">
        <v>12</v>
      </c>
      <c r="B629">
        <v>1977</v>
      </c>
      <c r="C629" t="s">
        <v>16</v>
      </c>
      <c r="D629" s="5">
        <v>28216</v>
      </c>
      <c r="E629">
        <v>60</v>
      </c>
      <c r="F629">
        <v>7</v>
      </c>
    </row>
    <row r="630" spans="1:6" hidden="1">
      <c r="A630" t="s">
        <v>12</v>
      </c>
      <c r="B630">
        <v>1977</v>
      </c>
      <c r="C630" t="s">
        <v>17</v>
      </c>
      <c r="D630" s="5">
        <v>28246</v>
      </c>
      <c r="E630">
        <v>60.3</v>
      </c>
      <c r="F630">
        <v>6.7</v>
      </c>
    </row>
    <row r="631" spans="1:6" hidden="1">
      <c r="A631" t="s">
        <v>12</v>
      </c>
      <c r="B631">
        <v>1977</v>
      </c>
      <c r="C631" t="s">
        <v>18</v>
      </c>
      <c r="D631" s="5">
        <v>28277</v>
      </c>
      <c r="E631">
        <v>60.7</v>
      </c>
      <c r="F631">
        <v>6.9</v>
      </c>
    </row>
    <row r="632" spans="1:6" hidden="1">
      <c r="A632" t="s">
        <v>12</v>
      </c>
      <c r="B632">
        <v>1977</v>
      </c>
      <c r="C632" t="s">
        <v>19</v>
      </c>
      <c r="D632" s="5">
        <v>28307</v>
      </c>
      <c r="E632">
        <v>61</v>
      </c>
      <c r="F632">
        <v>6.8</v>
      </c>
    </row>
    <row r="633" spans="1:6" hidden="1">
      <c r="A633" t="s">
        <v>12</v>
      </c>
      <c r="B633">
        <v>1977</v>
      </c>
      <c r="C633" t="s">
        <v>20</v>
      </c>
      <c r="D633" s="5">
        <v>28338</v>
      </c>
      <c r="E633">
        <v>61.2</v>
      </c>
      <c r="F633">
        <v>6.6</v>
      </c>
    </row>
    <row r="634" spans="1:6" hidden="1">
      <c r="A634" t="s">
        <v>12</v>
      </c>
      <c r="B634">
        <v>1977</v>
      </c>
      <c r="C634" t="s">
        <v>21</v>
      </c>
      <c r="D634" s="5">
        <v>28369</v>
      </c>
      <c r="E634">
        <v>61.4</v>
      </c>
      <c r="F634">
        <v>6.6</v>
      </c>
    </row>
    <row r="635" spans="1:6" hidden="1">
      <c r="A635" t="s">
        <v>12</v>
      </c>
      <c r="B635">
        <v>1977</v>
      </c>
      <c r="C635" t="s">
        <v>22</v>
      </c>
      <c r="D635" s="5">
        <v>28399</v>
      </c>
      <c r="E635">
        <v>61.6</v>
      </c>
      <c r="F635">
        <v>6.4</v>
      </c>
    </row>
    <row r="636" spans="1:6" hidden="1">
      <c r="A636" t="s">
        <v>12</v>
      </c>
      <c r="B636">
        <v>1977</v>
      </c>
      <c r="C636" t="s">
        <v>23</v>
      </c>
      <c r="D636" s="5">
        <v>28430</v>
      </c>
      <c r="E636">
        <v>61.9</v>
      </c>
      <c r="F636">
        <v>6.7</v>
      </c>
    </row>
    <row r="637" spans="1:6" hidden="1">
      <c r="A637" t="s">
        <v>12</v>
      </c>
      <c r="B637">
        <v>1977</v>
      </c>
      <c r="C637" t="s">
        <v>24</v>
      </c>
      <c r="D637" s="5">
        <v>28460</v>
      </c>
      <c r="E637">
        <v>62.1</v>
      </c>
      <c r="F637">
        <v>6.7</v>
      </c>
    </row>
    <row r="638" spans="1:6">
      <c r="A638" t="s">
        <v>12</v>
      </c>
      <c r="B638">
        <v>1978</v>
      </c>
      <c r="C638" t="s">
        <v>13</v>
      </c>
      <c r="D638" s="5">
        <v>28491</v>
      </c>
      <c r="E638">
        <v>62.5</v>
      </c>
      <c r="F638">
        <v>6.8</v>
      </c>
    </row>
    <row r="639" spans="1:6" hidden="1">
      <c r="A639" t="s">
        <v>12</v>
      </c>
      <c r="B639">
        <v>1978</v>
      </c>
      <c r="C639" t="s">
        <v>14</v>
      </c>
      <c r="D639" s="5">
        <v>28522</v>
      </c>
      <c r="E639">
        <v>62.9</v>
      </c>
      <c r="F639">
        <v>6.4</v>
      </c>
    </row>
    <row r="640" spans="1:6" hidden="1">
      <c r="A640" t="s">
        <v>12</v>
      </c>
      <c r="B640">
        <v>1978</v>
      </c>
      <c r="C640" t="s">
        <v>15</v>
      </c>
      <c r="D640" s="5">
        <v>28550</v>
      </c>
      <c r="E640">
        <v>63.4</v>
      </c>
      <c r="F640">
        <v>6.6</v>
      </c>
    </row>
    <row r="641" spans="1:6" hidden="1">
      <c r="A641" t="s">
        <v>12</v>
      </c>
      <c r="B641">
        <v>1978</v>
      </c>
      <c r="C641" t="s">
        <v>16</v>
      </c>
      <c r="D641" s="5">
        <v>28581</v>
      </c>
      <c r="E641">
        <v>63.9</v>
      </c>
      <c r="F641">
        <v>6.5</v>
      </c>
    </row>
    <row r="642" spans="1:6" hidden="1">
      <c r="A642" t="s">
        <v>12</v>
      </c>
      <c r="B642">
        <v>1978</v>
      </c>
      <c r="C642" t="s">
        <v>17</v>
      </c>
      <c r="D642" s="5">
        <v>28611</v>
      </c>
      <c r="E642">
        <v>64.5</v>
      </c>
      <c r="F642">
        <v>7</v>
      </c>
    </row>
    <row r="643" spans="1:6" hidden="1">
      <c r="A643" t="s">
        <v>12</v>
      </c>
      <c r="B643">
        <v>1978</v>
      </c>
      <c r="C643" t="s">
        <v>18</v>
      </c>
      <c r="D643" s="5">
        <v>28642</v>
      </c>
      <c r="E643">
        <v>65.2</v>
      </c>
      <c r="F643">
        <v>7.4</v>
      </c>
    </row>
    <row r="644" spans="1:6" hidden="1">
      <c r="A644" t="s">
        <v>12</v>
      </c>
      <c r="B644">
        <v>1978</v>
      </c>
      <c r="C644" t="s">
        <v>19</v>
      </c>
      <c r="D644" s="5">
        <v>28672</v>
      </c>
      <c r="E644">
        <v>65.7</v>
      </c>
      <c r="F644">
        <v>7.7</v>
      </c>
    </row>
    <row r="645" spans="1:6" hidden="1">
      <c r="A645" t="s">
        <v>12</v>
      </c>
      <c r="B645">
        <v>1978</v>
      </c>
      <c r="C645" t="s">
        <v>20</v>
      </c>
      <c r="D645" s="5">
        <v>28703</v>
      </c>
      <c r="E645">
        <v>66</v>
      </c>
      <c r="F645">
        <v>7.8</v>
      </c>
    </row>
    <row r="646" spans="1:6" hidden="1">
      <c r="A646" t="s">
        <v>12</v>
      </c>
      <c r="B646">
        <v>1978</v>
      </c>
      <c r="C646" t="s">
        <v>21</v>
      </c>
      <c r="D646" s="5">
        <v>28734</v>
      </c>
      <c r="E646">
        <v>66.5</v>
      </c>
      <c r="F646">
        <v>8.3000000000000007</v>
      </c>
    </row>
    <row r="647" spans="1:6" hidden="1">
      <c r="A647" t="s">
        <v>12</v>
      </c>
      <c r="B647">
        <v>1978</v>
      </c>
      <c r="C647" t="s">
        <v>22</v>
      </c>
      <c r="D647" s="5">
        <v>28764</v>
      </c>
      <c r="E647">
        <v>67.099999999999994</v>
      </c>
      <c r="F647">
        <v>8.9</v>
      </c>
    </row>
    <row r="648" spans="1:6" hidden="1">
      <c r="A648" t="s">
        <v>12</v>
      </c>
      <c r="B648">
        <v>1978</v>
      </c>
      <c r="C648" t="s">
        <v>23</v>
      </c>
      <c r="D648" s="5">
        <v>28795</v>
      </c>
      <c r="E648">
        <v>67.400000000000006</v>
      </c>
      <c r="F648">
        <v>8.9</v>
      </c>
    </row>
    <row r="649" spans="1:6" hidden="1">
      <c r="A649" t="s">
        <v>12</v>
      </c>
      <c r="B649">
        <v>1978</v>
      </c>
      <c r="C649" t="s">
        <v>24</v>
      </c>
      <c r="D649" s="5">
        <v>28825</v>
      </c>
      <c r="E649">
        <v>67.7</v>
      </c>
      <c r="F649">
        <v>9</v>
      </c>
    </row>
    <row r="650" spans="1:6">
      <c r="A650" t="s">
        <v>12</v>
      </c>
      <c r="B650">
        <v>1979</v>
      </c>
      <c r="C650" t="s">
        <v>13</v>
      </c>
      <c r="D650" s="5">
        <v>28856</v>
      </c>
      <c r="E650">
        <v>68.3</v>
      </c>
      <c r="F650">
        <v>9.3000000000000007</v>
      </c>
    </row>
    <row r="651" spans="1:6" hidden="1">
      <c r="A651" t="s">
        <v>12</v>
      </c>
      <c r="B651">
        <v>1979</v>
      </c>
      <c r="C651" t="s">
        <v>14</v>
      </c>
      <c r="D651" s="5">
        <v>28887</v>
      </c>
      <c r="E651">
        <v>69.099999999999994</v>
      </c>
      <c r="F651">
        <v>9.9</v>
      </c>
    </row>
    <row r="652" spans="1:6" hidden="1">
      <c r="A652" t="s">
        <v>12</v>
      </c>
      <c r="B652">
        <v>1979</v>
      </c>
      <c r="C652" t="s">
        <v>15</v>
      </c>
      <c r="D652" s="5">
        <v>28915</v>
      </c>
      <c r="E652">
        <v>69.8</v>
      </c>
      <c r="F652">
        <v>10.1</v>
      </c>
    </row>
    <row r="653" spans="1:6" hidden="1">
      <c r="A653" t="s">
        <v>12</v>
      </c>
      <c r="B653">
        <v>1979</v>
      </c>
      <c r="C653" t="s">
        <v>16</v>
      </c>
      <c r="D653" s="5">
        <v>28946</v>
      </c>
      <c r="E653">
        <v>70.599999999999994</v>
      </c>
      <c r="F653">
        <v>10.5</v>
      </c>
    </row>
    <row r="654" spans="1:6" hidden="1">
      <c r="A654" t="s">
        <v>12</v>
      </c>
      <c r="B654">
        <v>1979</v>
      </c>
      <c r="C654" t="s">
        <v>17</v>
      </c>
      <c r="D654" s="5">
        <v>28976</v>
      </c>
      <c r="E654">
        <v>71.5</v>
      </c>
      <c r="F654">
        <v>10.9</v>
      </c>
    </row>
    <row r="655" spans="1:6" hidden="1">
      <c r="A655" t="s">
        <v>12</v>
      </c>
      <c r="B655">
        <v>1979</v>
      </c>
      <c r="C655" t="s">
        <v>18</v>
      </c>
      <c r="D655" s="5">
        <v>29007</v>
      </c>
      <c r="E655">
        <v>72.3</v>
      </c>
      <c r="F655">
        <v>10.9</v>
      </c>
    </row>
    <row r="656" spans="1:6" hidden="1">
      <c r="A656" t="s">
        <v>12</v>
      </c>
      <c r="B656">
        <v>1979</v>
      </c>
      <c r="C656" t="s">
        <v>19</v>
      </c>
      <c r="D656" s="5">
        <v>29037</v>
      </c>
      <c r="E656">
        <v>73.099999999999994</v>
      </c>
      <c r="F656">
        <v>11.3</v>
      </c>
    </row>
    <row r="657" spans="1:6" hidden="1">
      <c r="A657" t="s">
        <v>12</v>
      </c>
      <c r="B657">
        <v>1979</v>
      </c>
      <c r="C657" t="s">
        <v>20</v>
      </c>
      <c r="D657" s="5">
        <v>29068</v>
      </c>
      <c r="E657">
        <v>73.8</v>
      </c>
      <c r="F657">
        <v>11.8</v>
      </c>
    </row>
    <row r="658" spans="1:6" hidden="1">
      <c r="A658" t="s">
        <v>12</v>
      </c>
      <c r="B658">
        <v>1979</v>
      </c>
      <c r="C658" t="s">
        <v>21</v>
      </c>
      <c r="D658" s="5">
        <v>29099</v>
      </c>
      <c r="E658">
        <v>74.599999999999994</v>
      </c>
      <c r="F658">
        <v>12.2</v>
      </c>
    </row>
    <row r="659" spans="1:6" hidden="1">
      <c r="A659" t="s">
        <v>12</v>
      </c>
      <c r="B659">
        <v>1979</v>
      </c>
      <c r="C659" t="s">
        <v>22</v>
      </c>
      <c r="D659" s="5">
        <v>29129</v>
      </c>
      <c r="E659">
        <v>75.2</v>
      </c>
      <c r="F659">
        <v>12.1</v>
      </c>
    </row>
    <row r="660" spans="1:6" hidden="1">
      <c r="A660" t="s">
        <v>12</v>
      </c>
      <c r="B660">
        <v>1979</v>
      </c>
      <c r="C660" t="s">
        <v>23</v>
      </c>
      <c r="D660" s="5">
        <v>29160</v>
      </c>
      <c r="E660">
        <v>75.900000000000006</v>
      </c>
      <c r="F660">
        <v>12.6</v>
      </c>
    </row>
    <row r="661" spans="1:6" hidden="1">
      <c r="A661" t="s">
        <v>12</v>
      </c>
      <c r="B661">
        <v>1979</v>
      </c>
      <c r="C661" t="s">
        <v>24</v>
      </c>
      <c r="D661" s="5">
        <v>29190</v>
      </c>
      <c r="E661">
        <v>76.7</v>
      </c>
      <c r="F661">
        <v>13.3</v>
      </c>
    </row>
    <row r="662" spans="1:6">
      <c r="A662" t="s">
        <v>12</v>
      </c>
      <c r="B662">
        <v>1980</v>
      </c>
      <c r="C662" t="s">
        <v>13</v>
      </c>
      <c r="D662" s="5">
        <v>29221</v>
      </c>
      <c r="E662">
        <v>77.8</v>
      </c>
      <c r="F662">
        <v>13.9</v>
      </c>
    </row>
    <row r="663" spans="1:6" hidden="1">
      <c r="A663" t="s">
        <v>12</v>
      </c>
      <c r="B663">
        <v>1980</v>
      </c>
      <c r="C663" t="s">
        <v>14</v>
      </c>
      <c r="D663" s="5">
        <v>29252</v>
      </c>
      <c r="E663">
        <v>78.900000000000006</v>
      </c>
      <c r="F663">
        <v>14.2</v>
      </c>
    </row>
    <row r="664" spans="1:6" hidden="1">
      <c r="A664" t="s">
        <v>12</v>
      </c>
      <c r="B664">
        <v>1980</v>
      </c>
      <c r="C664" t="s">
        <v>15</v>
      </c>
      <c r="D664" s="5">
        <v>29281</v>
      </c>
      <c r="E664">
        <v>80.099999999999994</v>
      </c>
      <c r="F664">
        <v>14.8</v>
      </c>
    </row>
    <row r="665" spans="1:6" hidden="1">
      <c r="A665" t="s">
        <v>12</v>
      </c>
      <c r="B665">
        <v>1980</v>
      </c>
      <c r="C665" t="s">
        <v>16</v>
      </c>
      <c r="D665" s="5">
        <v>29312</v>
      </c>
      <c r="E665">
        <v>81</v>
      </c>
      <c r="F665">
        <v>14.7</v>
      </c>
    </row>
    <row r="666" spans="1:6" hidden="1">
      <c r="A666" t="s">
        <v>12</v>
      </c>
      <c r="B666">
        <v>1980</v>
      </c>
      <c r="C666" t="s">
        <v>17</v>
      </c>
      <c r="D666" s="5">
        <v>29342</v>
      </c>
      <c r="E666">
        <v>81.8</v>
      </c>
      <c r="F666">
        <v>14.4</v>
      </c>
    </row>
    <row r="667" spans="1:6" hidden="1">
      <c r="A667" t="s">
        <v>12</v>
      </c>
      <c r="B667">
        <v>1980</v>
      </c>
      <c r="C667" t="s">
        <v>18</v>
      </c>
      <c r="D667" s="5">
        <v>29373</v>
      </c>
      <c r="E667">
        <v>82.7</v>
      </c>
      <c r="F667">
        <v>14.4</v>
      </c>
    </row>
    <row r="668" spans="1:6" hidden="1">
      <c r="A668" t="s">
        <v>12</v>
      </c>
      <c r="B668">
        <v>1980</v>
      </c>
      <c r="C668" t="s">
        <v>19</v>
      </c>
      <c r="D668" s="5">
        <v>29403</v>
      </c>
      <c r="E668">
        <v>82.7</v>
      </c>
      <c r="F668">
        <v>13.1</v>
      </c>
    </row>
    <row r="669" spans="1:6" hidden="1">
      <c r="A669" t="s">
        <v>12</v>
      </c>
      <c r="B669">
        <v>1980</v>
      </c>
      <c r="C669" t="s">
        <v>20</v>
      </c>
      <c r="D669" s="5">
        <v>29434</v>
      </c>
      <c r="E669">
        <v>83.3</v>
      </c>
      <c r="F669">
        <v>12.9</v>
      </c>
    </row>
    <row r="670" spans="1:6" hidden="1">
      <c r="A670" t="s">
        <v>12</v>
      </c>
      <c r="B670">
        <v>1980</v>
      </c>
      <c r="C670" t="s">
        <v>21</v>
      </c>
      <c r="D670" s="5">
        <v>29465</v>
      </c>
      <c r="E670">
        <v>84</v>
      </c>
      <c r="F670">
        <v>12.6</v>
      </c>
    </row>
    <row r="671" spans="1:6" hidden="1">
      <c r="A671" t="s">
        <v>12</v>
      </c>
      <c r="B671">
        <v>1980</v>
      </c>
      <c r="C671" t="s">
        <v>22</v>
      </c>
      <c r="D671" s="5">
        <v>29495</v>
      </c>
      <c r="E671">
        <v>84.8</v>
      </c>
      <c r="F671">
        <v>12.8</v>
      </c>
    </row>
    <row r="672" spans="1:6" hidden="1">
      <c r="A672" t="s">
        <v>12</v>
      </c>
      <c r="B672">
        <v>1980</v>
      </c>
      <c r="C672" t="s">
        <v>23</v>
      </c>
      <c r="D672" s="5">
        <v>29526</v>
      </c>
      <c r="E672">
        <v>85.5</v>
      </c>
      <c r="F672">
        <v>12.6</v>
      </c>
    </row>
    <row r="673" spans="1:6" hidden="1">
      <c r="A673" t="s">
        <v>12</v>
      </c>
      <c r="B673">
        <v>1980</v>
      </c>
      <c r="C673" t="s">
        <v>24</v>
      </c>
      <c r="D673" s="5">
        <v>29556</v>
      </c>
      <c r="E673">
        <v>86.3</v>
      </c>
      <c r="F673">
        <v>12.5</v>
      </c>
    </row>
    <row r="674" spans="1:6">
      <c r="A674" t="s">
        <v>12</v>
      </c>
      <c r="B674">
        <v>1981</v>
      </c>
      <c r="C674" t="s">
        <v>13</v>
      </c>
      <c r="D674" s="5">
        <v>29587</v>
      </c>
      <c r="E674">
        <v>87</v>
      </c>
      <c r="F674">
        <v>11.8</v>
      </c>
    </row>
    <row r="675" spans="1:6" hidden="1">
      <c r="A675" t="s">
        <v>12</v>
      </c>
      <c r="B675">
        <v>1981</v>
      </c>
      <c r="C675" t="s">
        <v>14</v>
      </c>
      <c r="D675" s="5">
        <v>29618</v>
      </c>
      <c r="E675">
        <v>87.9</v>
      </c>
      <c r="F675">
        <v>11.4</v>
      </c>
    </row>
    <row r="676" spans="1:6" hidden="1">
      <c r="A676" t="s">
        <v>12</v>
      </c>
      <c r="B676">
        <v>1981</v>
      </c>
      <c r="C676" t="s">
        <v>15</v>
      </c>
      <c r="D676" s="5">
        <v>29646</v>
      </c>
      <c r="E676">
        <v>88.5</v>
      </c>
      <c r="F676">
        <v>10.5</v>
      </c>
    </row>
    <row r="677" spans="1:6" hidden="1">
      <c r="A677" t="s">
        <v>12</v>
      </c>
      <c r="B677">
        <v>1981</v>
      </c>
      <c r="C677" t="s">
        <v>16</v>
      </c>
      <c r="D677" s="5">
        <v>29677</v>
      </c>
      <c r="E677">
        <v>89.1</v>
      </c>
      <c r="F677">
        <v>10</v>
      </c>
    </row>
    <row r="678" spans="1:6" hidden="1">
      <c r="A678" t="s">
        <v>12</v>
      </c>
      <c r="B678">
        <v>1981</v>
      </c>
      <c r="C678" t="s">
        <v>17</v>
      </c>
      <c r="D678" s="5">
        <v>29707</v>
      </c>
      <c r="E678">
        <v>89.8</v>
      </c>
      <c r="F678">
        <v>9.8000000000000007</v>
      </c>
    </row>
    <row r="679" spans="1:6" hidden="1">
      <c r="A679" t="s">
        <v>12</v>
      </c>
      <c r="B679">
        <v>1981</v>
      </c>
      <c r="C679" t="s">
        <v>18</v>
      </c>
      <c r="D679" s="5">
        <v>29738</v>
      </c>
      <c r="E679">
        <v>90.6</v>
      </c>
      <c r="F679">
        <v>9.6</v>
      </c>
    </row>
    <row r="680" spans="1:6" hidden="1">
      <c r="A680" t="s">
        <v>12</v>
      </c>
      <c r="B680">
        <v>1981</v>
      </c>
      <c r="C680" t="s">
        <v>19</v>
      </c>
      <c r="D680" s="5">
        <v>29768</v>
      </c>
      <c r="E680">
        <v>91.6</v>
      </c>
      <c r="F680">
        <v>10.8</v>
      </c>
    </row>
    <row r="681" spans="1:6" hidden="1">
      <c r="A681" t="s">
        <v>12</v>
      </c>
      <c r="B681">
        <v>1981</v>
      </c>
      <c r="C681" t="s">
        <v>20</v>
      </c>
      <c r="D681" s="5">
        <v>29799</v>
      </c>
      <c r="E681">
        <v>92.3</v>
      </c>
      <c r="F681">
        <v>10.8</v>
      </c>
    </row>
    <row r="682" spans="1:6" hidden="1">
      <c r="A682" t="s">
        <v>12</v>
      </c>
      <c r="B682">
        <v>1981</v>
      </c>
      <c r="C682" t="s">
        <v>21</v>
      </c>
      <c r="D682" s="5">
        <v>29830</v>
      </c>
      <c r="E682">
        <v>93.2</v>
      </c>
      <c r="F682">
        <v>11</v>
      </c>
    </row>
    <row r="683" spans="1:6" hidden="1">
      <c r="A683" t="s">
        <v>12</v>
      </c>
      <c r="B683">
        <v>1981</v>
      </c>
      <c r="C683" t="s">
        <v>22</v>
      </c>
      <c r="D683" s="5">
        <v>29860</v>
      </c>
      <c r="E683">
        <v>93.4</v>
      </c>
      <c r="F683">
        <v>10.1</v>
      </c>
    </row>
    <row r="684" spans="1:6" hidden="1">
      <c r="A684" t="s">
        <v>12</v>
      </c>
      <c r="B684">
        <v>1981</v>
      </c>
      <c r="C684" t="s">
        <v>23</v>
      </c>
      <c r="D684" s="5">
        <v>29891</v>
      </c>
      <c r="E684">
        <v>93.7</v>
      </c>
      <c r="F684">
        <v>9.6</v>
      </c>
    </row>
    <row r="685" spans="1:6" hidden="1">
      <c r="A685" t="s">
        <v>12</v>
      </c>
      <c r="B685">
        <v>1981</v>
      </c>
      <c r="C685" t="s">
        <v>24</v>
      </c>
      <c r="D685" s="5">
        <v>29921</v>
      </c>
      <c r="E685">
        <v>94</v>
      </c>
      <c r="F685">
        <v>8.9</v>
      </c>
    </row>
    <row r="686" spans="1:6">
      <c r="A686" t="s">
        <v>12</v>
      </c>
      <c r="B686">
        <v>1982</v>
      </c>
      <c r="C686" t="s">
        <v>13</v>
      </c>
      <c r="D686" s="5">
        <v>29952</v>
      </c>
      <c r="E686">
        <v>94.3</v>
      </c>
      <c r="F686">
        <v>8.4</v>
      </c>
    </row>
    <row r="687" spans="1:6" hidden="1">
      <c r="A687" t="s">
        <v>12</v>
      </c>
      <c r="B687">
        <v>1982</v>
      </c>
      <c r="C687" t="s">
        <v>14</v>
      </c>
      <c r="D687" s="5">
        <v>29983</v>
      </c>
      <c r="E687">
        <v>94.6</v>
      </c>
      <c r="F687">
        <v>7.6</v>
      </c>
    </row>
    <row r="688" spans="1:6" hidden="1">
      <c r="A688" t="s">
        <v>12</v>
      </c>
      <c r="B688">
        <v>1982</v>
      </c>
      <c r="C688" t="s">
        <v>15</v>
      </c>
      <c r="D688" s="5">
        <v>30011</v>
      </c>
      <c r="E688">
        <v>94.5</v>
      </c>
      <c r="F688">
        <v>6.8</v>
      </c>
    </row>
    <row r="689" spans="1:6" hidden="1">
      <c r="A689" t="s">
        <v>12</v>
      </c>
      <c r="B689">
        <v>1982</v>
      </c>
      <c r="C689" t="s">
        <v>16</v>
      </c>
      <c r="D689" s="5">
        <v>30042</v>
      </c>
      <c r="E689">
        <v>94.9</v>
      </c>
      <c r="F689">
        <v>6.5</v>
      </c>
    </row>
    <row r="690" spans="1:6" hidden="1">
      <c r="A690" t="s">
        <v>12</v>
      </c>
      <c r="B690">
        <v>1982</v>
      </c>
      <c r="C690" t="s">
        <v>17</v>
      </c>
      <c r="D690" s="5">
        <v>30072</v>
      </c>
      <c r="E690">
        <v>95.8</v>
      </c>
      <c r="F690">
        <v>6.7</v>
      </c>
    </row>
    <row r="691" spans="1:6" hidden="1">
      <c r="A691" t="s">
        <v>12</v>
      </c>
      <c r="B691">
        <v>1982</v>
      </c>
      <c r="C691" t="s">
        <v>18</v>
      </c>
      <c r="D691" s="5">
        <v>30103</v>
      </c>
      <c r="E691">
        <v>97</v>
      </c>
      <c r="F691">
        <v>7.1</v>
      </c>
    </row>
    <row r="692" spans="1:6" hidden="1">
      <c r="A692" t="s">
        <v>12</v>
      </c>
      <c r="B692">
        <v>1982</v>
      </c>
      <c r="C692" t="s">
        <v>19</v>
      </c>
      <c r="D692" s="5">
        <v>30133</v>
      </c>
      <c r="E692">
        <v>97.5</v>
      </c>
      <c r="F692">
        <v>6.4</v>
      </c>
    </row>
    <row r="693" spans="1:6" hidden="1">
      <c r="A693" t="s">
        <v>12</v>
      </c>
      <c r="B693">
        <v>1982</v>
      </c>
      <c r="C693" t="s">
        <v>20</v>
      </c>
      <c r="D693" s="5">
        <v>30164</v>
      </c>
      <c r="E693">
        <v>97.7</v>
      </c>
      <c r="F693">
        <v>5.9</v>
      </c>
    </row>
    <row r="694" spans="1:6" hidden="1">
      <c r="A694" t="s">
        <v>12</v>
      </c>
      <c r="B694">
        <v>1982</v>
      </c>
      <c r="C694" t="s">
        <v>21</v>
      </c>
      <c r="D694" s="5">
        <v>30195</v>
      </c>
      <c r="E694">
        <v>97.9</v>
      </c>
      <c r="F694">
        <v>5</v>
      </c>
    </row>
    <row r="695" spans="1:6" hidden="1">
      <c r="A695" t="s">
        <v>12</v>
      </c>
      <c r="B695">
        <v>1982</v>
      </c>
      <c r="C695" t="s">
        <v>22</v>
      </c>
      <c r="D695" s="5">
        <v>30225</v>
      </c>
      <c r="E695">
        <v>98.2</v>
      </c>
      <c r="F695">
        <v>5.0999999999999996</v>
      </c>
    </row>
    <row r="696" spans="1:6" hidden="1">
      <c r="A696" t="s">
        <v>12</v>
      </c>
      <c r="B696">
        <v>1982</v>
      </c>
      <c r="C696" t="s">
        <v>23</v>
      </c>
      <c r="D696" s="5">
        <v>30256</v>
      </c>
      <c r="E696">
        <v>98</v>
      </c>
      <c r="F696">
        <v>4.5999999999999996</v>
      </c>
    </row>
    <row r="697" spans="1:6" hidden="1">
      <c r="A697" t="s">
        <v>12</v>
      </c>
      <c r="B697">
        <v>1982</v>
      </c>
      <c r="C697" t="s">
        <v>24</v>
      </c>
      <c r="D697" s="5">
        <v>30286</v>
      </c>
      <c r="E697">
        <v>97.6</v>
      </c>
      <c r="F697">
        <v>3.8</v>
      </c>
    </row>
    <row r="698" spans="1:6">
      <c r="A698" t="s">
        <v>12</v>
      </c>
      <c r="B698">
        <v>1983</v>
      </c>
      <c r="C698" t="s">
        <v>13</v>
      </c>
      <c r="D698" s="5">
        <v>30317</v>
      </c>
      <c r="E698">
        <v>97.8</v>
      </c>
      <c r="F698">
        <v>3.7</v>
      </c>
    </row>
    <row r="699" spans="1:6" hidden="1">
      <c r="A699" t="s">
        <v>12</v>
      </c>
      <c r="B699">
        <v>1983</v>
      </c>
      <c r="C699" t="s">
        <v>14</v>
      </c>
      <c r="D699" s="5">
        <v>30348</v>
      </c>
      <c r="E699">
        <v>97.9</v>
      </c>
      <c r="F699">
        <v>3.5</v>
      </c>
    </row>
    <row r="700" spans="1:6" hidden="1">
      <c r="A700" t="s">
        <v>12</v>
      </c>
      <c r="B700">
        <v>1983</v>
      </c>
      <c r="C700" t="s">
        <v>15</v>
      </c>
      <c r="D700" s="5">
        <v>30376</v>
      </c>
      <c r="E700">
        <v>97.9</v>
      </c>
      <c r="F700">
        <v>3.6</v>
      </c>
    </row>
    <row r="701" spans="1:6" hidden="1">
      <c r="A701" t="s">
        <v>12</v>
      </c>
      <c r="B701">
        <v>1983</v>
      </c>
      <c r="C701" t="s">
        <v>16</v>
      </c>
      <c r="D701" s="5">
        <v>30407</v>
      </c>
      <c r="E701">
        <v>98.6</v>
      </c>
      <c r="F701">
        <v>3.9</v>
      </c>
    </row>
    <row r="702" spans="1:6" hidden="1">
      <c r="A702" t="s">
        <v>12</v>
      </c>
      <c r="B702">
        <v>1983</v>
      </c>
      <c r="C702" t="s">
        <v>17</v>
      </c>
      <c r="D702" s="5">
        <v>30437</v>
      </c>
      <c r="E702">
        <v>99.2</v>
      </c>
      <c r="F702">
        <v>3.5</v>
      </c>
    </row>
    <row r="703" spans="1:6" hidden="1">
      <c r="A703" t="s">
        <v>12</v>
      </c>
      <c r="B703">
        <v>1983</v>
      </c>
      <c r="C703" t="s">
        <v>18</v>
      </c>
      <c r="D703" s="5">
        <v>30468</v>
      </c>
      <c r="E703">
        <v>99.5</v>
      </c>
      <c r="F703">
        <v>2.6</v>
      </c>
    </row>
    <row r="704" spans="1:6" hidden="1">
      <c r="A704" t="s">
        <v>12</v>
      </c>
      <c r="B704">
        <v>1983</v>
      </c>
      <c r="C704" t="s">
        <v>19</v>
      </c>
      <c r="D704" s="5">
        <v>30498</v>
      </c>
      <c r="E704">
        <v>99.9</v>
      </c>
      <c r="F704">
        <v>2.5</v>
      </c>
    </row>
    <row r="705" spans="1:6" hidden="1">
      <c r="A705" t="s">
        <v>12</v>
      </c>
      <c r="B705">
        <v>1983</v>
      </c>
      <c r="C705" t="s">
        <v>20</v>
      </c>
      <c r="D705" s="5">
        <v>30529</v>
      </c>
      <c r="E705">
        <v>100.2</v>
      </c>
      <c r="F705">
        <v>2.6</v>
      </c>
    </row>
    <row r="706" spans="1:6" hidden="1">
      <c r="A706" t="s">
        <v>12</v>
      </c>
      <c r="B706">
        <v>1983</v>
      </c>
      <c r="C706" t="s">
        <v>21</v>
      </c>
      <c r="D706" s="5">
        <v>30560</v>
      </c>
      <c r="E706">
        <v>100.7</v>
      </c>
      <c r="F706">
        <v>2.9</v>
      </c>
    </row>
    <row r="707" spans="1:6" hidden="1">
      <c r="A707" t="s">
        <v>12</v>
      </c>
      <c r="B707">
        <v>1983</v>
      </c>
      <c r="C707" t="s">
        <v>22</v>
      </c>
      <c r="D707" s="5">
        <v>30590</v>
      </c>
      <c r="E707">
        <v>101</v>
      </c>
      <c r="F707">
        <v>2.9</v>
      </c>
    </row>
    <row r="708" spans="1:6" hidden="1">
      <c r="A708" t="s">
        <v>12</v>
      </c>
      <c r="B708">
        <v>1983</v>
      </c>
      <c r="C708" t="s">
        <v>23</v>
      </c>
      <c r="D708" s="5">
        <v>30621</v>
      </c>
      <c r="E708">
        <v>101.2</v>
      </c>
      <c r="F708">
        <v>3.3</v>
      </c>
    </row>
    <row r="709" spans="1:6" hidden="1">
      <c r="A709" t="s">
        <v>12</v>
      </c>
      <c r="B709">
        <v>1983</v>
      </c>
      <c r="C709" t="s">
        <v>24</v>
      </c>
      <c r="D709" s="5">
        <v>30651</v>
      </c>
      <c r="E709">
        <v>101.3</v>
      </c>
      <c r="F709">
        <v>3.8</v>
      </c>
    </row>
    <row r="710" spans="1:6">
      <c r="A710" t="s">
        <v>12</v>
      </c>
      <c r="B710">
        <v>1984</v>
      </c>
      <c r="C710" t="s">
        <v>13</v>
      </c>
      <c r="D710" s="5">
        <v>30682</v>
      </c>
      <c r="E710">
        <v>101.9</v>
      </c>
      <c r="F710">
        <v>4.2</v>
      </c>
    </row>
    <row r="711" spans="1:6" hidden="1">
      <c r="A711" t="s">
        <v>12</v>
      </c>
      <c r="B711">
        <v>1984</v>
      </c>
      <c r="C711" t="s">
        <v>14</v>
      </c>
      <c r="D711" s="5">
        <v>30713</v>
      </c>
      <c r="E711">
        <v>102.4</v>
      </c>
      <c r="F711">
        <v>4.5999999999999996</v>
      </c>
    </row>
    <row r="712" spans="1:6" hidden="1">
      <c r="A712" t="s">
        <v>12</v>
      </c>
      <c r="B712">
        <v>1984</v>
      </c>
      <c r="C712" t="s">
        <v>15</v>
      </c>
      <c r="D712" s="5">
        <v>30742</v>
      </c>
      <c r="E712">
        <v>102.6</v>
      </c>
      <c r="F712">
        <v>4.8</v>
      </c>
    </row>
    <row r="713" spans="1:6" hidden="1">
      <c r="A713" t="s">
        <v>12</v>
      </c>
      <c r="B713">
        <v>1984</v>
      </c>
      <c r="C713" t="s">
        <v>16</v>
      </c>
      <c r="D713" s="5">
        <v>30773</v>
      </c>
      <c r="E713">
        <v>103.1</v>
      </c>
      <c r="F713">
        <v>4.5999999999999996</v>
      </c>
    </row>
    <row r="714" spans="1:6" hidden="1">
      <c r="A714" t="s">
        <v>12</v>
      </c>
      <c r="B714">
        <v>1984</v>
      </c>
      <c r="C714" t="s">
        <v>17</v>
      </c>
      <c r="D714" s="5">
        <v>30803</v>
      </c>
      <c r="E714">
        <v>103.4</v>
      </c>
      <c r="F714">
        <v>4.2</v>
      </c>
    </row>
    <row r="715" spans="1:6" hidden="1">
      <c r="A715" t="s">
        <v>12</v>
      </c>
      <c r="B715">
        <v>1984</v>
      </c>
      <c r="C715" t="s">
        <v>18</v>
      </c>
      <c r="D715" s="5">
        <v>30834</v>
      </c>
      <c r="E715">
        <v>103.7</v>
      </c>
      <c r="F715">
        <v>4.2</v>
      </c>
    </row>
    <row r="716" spans="1:6" hidden="1">
      <c r="A716" t="s">
        <v>12</v>
      </c>
      <c r="B716">
        <v>1984</v>
      </c>
      <c r="C716" t="s">
        <v>19</v>
      </c>
      <c r="D716" s="5">
        <v>30864</v>
      </c>
      <c r="E716">
        <v>104.1</v>
      </c>
      <c r="F716">
        <v>4.2</v>
      </c>
    </row>
    <row r="717" spans="1:6" hidden="1">
      <c r="A717" t="s">
        <v>12</v>
      </c>
      <c r="B717">
        <v>1984</v>
      </c>
      <c r="C717" t="s">
        <v>20</v>
      </c>
      <c r="D717" s="5">
        <v>30895</v>
      </c>
      <c r="E717">
        <v>104.5</v>
      </c>
      <c r="F717">
        <v>4.3</v>
      </c>
    </row>
    <row r="718" spans="1:6" hidden="1">
      <c r="A718" t="s">
        <v>12</v>
      </c>
      <c r="B718">
        <v>1984</v>
      </c>
      <c r="C718" t="s">
        <v>21</v>
      </c>
      <c r="D718" s="5">
        <v>30926</v>
      </c>
      <c r="E718">
        <v>105</v>
      </c>
      <c r="F718">
        <v>4.3</v>
      </c>
    </row>
    <row r="719" spans="1:6" hidden="1">
      <c r="A719" t="s">
        <v>12</v>
      </c>
      <c r="B719">
        <v>1984</v>
      </c>
      <c r="C719" t="s">
        <v>22</v>
      </c>
      <c r="D719" s="5">
        <v>30956</v>
      </c>
      <c r="E719">
        <v>105.3</v>
      </c>
      <c r="F719">
        <v>4.3</v>
      </c>
    </row>
    <row r="720" spans="1:6" hidden="1">
      <c r="A720" t="s">
        <v>12</v>
      </c>
      <c r="B720">
        <v>1984</v>
      </c>
      <c r="C720" t="s">
        <v>23</v>
      </c>
      <c r="D720" s="5">
        <v>30987</v>
      </c>
      <c r="E720">
        <v>105.3</v>
      </c>
      <c r="F720">
        <v>4.0999999999999996</v>
      </c>
    </row>
    <row r="721" spans="1:6" hidden="1">
      <c r="A721" t="s">
        <v>12</v>
      </c>
      <c r="B721">
        <v>1984</v>
      </c>
      <c r="C721" t="s">
        <v>24</v>
      </c>
      <c r="D721" s="5">
        <v>31017</v>
      </c>
      <c r="E721">
        <v>105.3</v>
      </c>
      <c r="F721">
        <v>3.9</v>
      </c>
    </row>
    <row r="722" spans="1:6">
      <c r="A722" t="s">
        <v>12</v>
      </c>
      <c r="B722">
        <v>1985</v>
      </c>
      <c r="C722" t="s">
        <v>13</v>
      </c>
      <c r="D722" s="5">
        <v>31048</v>
      </c>
      <c r="E722">
        <v>105.5</v>
      </c>
      <c r="F722">
        <v>3.5</v>
      </c>
    </row>
    <row r="723" spans="1:6" hidden="1">
      <c r="A723" t="s">
        <v>12</v>
      </c>
      <c r="B723">
        <v>1985</v>
      </c>
      <c r="C723" t="s">
        <v>14</v>
      </c>
      <c r="D723" s="5">
        <v>31079</v>
      </c>
      <c r="E723">
        <v>106</v>
      </c>
      <c r="F723">
        <v>3.5</v>
      </c>
    </row>
    <row r="724" spans="1:6" hidden="1">
      <c r="A724" t="s">
        <v>12</v>
      </c>
      <c r="B724">
        <v>1985</v>
      </c>
      <c r="C724" t="s">
        <v>15</v>
      </c>
      <c r="D724" s="5">
        <v>31107</v>
      </c>
      <c r="E724">
        <v>106.4</v>
      </c>
      <c r="F724">
        <v>3.7</v>
      </c>
    </row>
    <row r="725" spans="1:6" hidden="1">
      <c r="A725" t="s">
        <v>12</v>
      </c>
      <c r="B725">
        <v>1985</v>
      </c>
      <c r="C725" t="s">
        <v>16</v>
      </c>
      <c r="D725" s="5">
        <v>31138</v>
      </c>
      <c r="E725">
        <v>106.9</v>
      </c>
      <c r="F725">
        <v>3.7</v>
      </c>
    </row>
    <row r="726" spans="1:6" hidden="1">
      <c r="A726" t="s">
        <v>12</v>
      </c>
      <c r="B726">
        <v>1985</v>
      </c>
      <c r="C726" t="s">
        <v>17</v>
      </c>
      <c r="D726" s="5">
        <v>31168</v>
      </c>
      <c r="E726">
        <v>107.3</v>
      </c>
      <c r="F726">
        <v>3.8</v>
      </c>
    </row>
    <row r="727" spans="1:6" hidden="1">
      <c r="A727" t="s">
        <v>12</v>
      </c>
      <c r="B727">
        <v>1985</v>
      </c>
      <c r="C727" t="s">
        <v>18</v>
      </c>
      <c r="D727" s="5">
        <v>31199</v>
      </c>
      <c r="E727">
        <v>107.6</v>
      </c>
      <c r="F727">
        <v>3.8</v>
      </c>
    </row>
    <row r="728" spans="1:6" hidden="1">
      <c r="A728" t="s">
        <v>12</v>
      </c>
      <c r="B728">
        <v>1985</v>
      </c>
      <c r="C728" t="s">
        <v>19</v>
      </c>
      <c r="D728" s="5">
        <v>31229</v>
      </c>
      <c r="E728">
        <v>107.8</v>
      </c>
      <c r="F728">
        <v>3.6</v>
      </c>
    </row>
    <row r="729" spans="1:6" hidden="1">
      <c r="A729" t="s">
        <v>12</v>
      </c>
      <c r="B729">
        <v>1985</v>
      </c>
      <c r="C729" t="s">
        <v>20</v>
      </c>
      <c r="D729" s="5">
        <v>31260</v>
      </c>
      <c r="E729">
        <v>108</v>
      </c>
      <c r="F729">
        <v>3.3</v>
      </c>
    </row>
    <row r="730" spans="1:6" hidden="1">
      <c r="A730" t="s">
        <v>12</v>
      </c>
      <c r="B730">
        <v>1985</v>
      </c>
      <c r="C730" t="s">
        <v>21</v>
      </c>
      <c r="D730" s="5">
        <v>31291</v>
      </c>
      <c r="E730">
        <v>108.3</v>
      </c>
      <c r="F730">
        <v>3.1</v>
      </c>
    </row>
    <row r="731" spans="1:6" hidden="1">
      <c r="A731" t="s">
        <v>12</v>
      </c>
      <c r="B731">
        <v>1985</v>
      </c>
      <c r="C731" t="s">
        <v>22</v>
      </c>
      <c r="D731" s="5">
        <v>31321</v>
      </c>
      <c r="E731">
        <v>108.7</v>
      </c>
      <c r="F731">
        <v>3.2</v>
      </c>
    </row>
    <row r="732" spans="1:6" hidden="1">
      <c r="A732" t="s">
        <v>12</v>
      </c>
      <c r="B732">
        <v>1985</v>
      </c>
      <c r="C732" t="s">
        <v>23</v>
      </c>
      <c r="D732" s="5">
        <v>31352</v>
      </c>
      <c r="E732">
        <v>109</v>
      </c>
      <c r="F732">
        <v>3.5</v>
      </c>
    </row>
    <row r="733" spans="1:6" hidden="1">
      <c r="A733" t="s">
        <v>12</v>
      </c>
      <c r="B733">
        <v>1985</v>
      </c>
      <c r="C733" t="s">
        <v>24</v>
      </c>
      <c r="D733" s="5">
        <v>31382</v>
      </c>
      <c r="E733">
        <v>109.3</v>
      </c>
      <c r="F733">
        <v>3.8</v>
      </c>
    </row>
    <row r="734" spans="1:6">
      <c r="A734" t="s">
        <v>12</v>
      </c>
      <c r="B734">
        <v>1986</v>
      </c>
      <c r="C734" t="s">
        <v>13</v>
      </c>
      <c r="D734" s="5">
        <v>31413</v>
      </c>
      <c r="E734">
        <v>109.6</v>
      </c>
      <c r="F734">
        <v>3.9</v>
      </c>
    </row>
    <row r="735" spans="1:6" hidden="1">
      <c r="A735" t="s">
        <v>12</v>
      </c>
      <c r="B735">
        <v>1986</v>
      </c>
      <c r="C735" t="s">
        <v>14</v>
      </c>
      <c r="D735" s="5">
        <v>31444</v>
      </c>
      <c r="E735">
        <v>109.3</v>
      </c>
      <c r="F735">
        <v>3.1</v>
      </c>
    </row>
    <row r="736" spans="1:6" hidden="1">
      <c r="A736" t="s">
        <v>12</v>
      </c>
      <c r="B736">
        <v>1986</v>
      </c>
      <c r="C736" t="s">
        <v>15</v>
      </c>
      <c r="D736" s="5">
        <v>31472</v>
      </c>
      <c r="E736">
        <v>108.8</v>
      </c>
      <c r="F736">
        <v>2.2999999999999998</v>
      </c>
    </row>
    <row r="737" spans="1:6" hidden="1">
      <c r="A737" t="s">
        <v>12</v>
      </c>
      <c r="B737">
        <v>1986</v>
      </c>
      <c r="C737" t="s">
        <v>16</v>
      </c>
      <c r="D737" s="5">
        <v>31503</v>
      </c>
      <c r="E737">
        <v>108.6</v>
      </c>
      <c r="F737">
        <v>1.6</v>
      </c>
    </row>
    <row r="738" spans="1:6" hidden="1">
      <c r="A738" t="s">
        <v>12</v>
      </c>
      <c r="B738">
        <v>1986</v>
      </c>
      <c r="C738" t="s">
        <v>17</v>
      </c>
      <c r="D738" s="5">
        <v>31533</v>
      </c>
      <c r="E738">
        <v>108.9</v>
      </c>
      <c r="F738">
        <v>1.5</v>
      </c>
    </row>
    <row r="739" spans="1:6" hidden="1">
      <c r="A739" t="s">
        <v>12</v>
      </c>
      <c r="B739">
        <v>1986</v>
      </c>
      <c r="C739" t="s">
        <v>18</v>
      </c>
      <c r="D739" s="5">
        <v>31564</v>
      </c>
      <c r="E739">
        <v>109.5</v>
      </c>
      <c r="F739">
        <v>1.8</v>
      </c>
    </row>
    <row r="740" spans="1:6" hidden="1">
      <c r="A740" t="s">
        <v>12</v>
      </c>
      <c r="B740">
        <v>1986</v>
      </c>
      <c r="C740" t="s">
        <v>19</v>
      </c>
      <c r="D740" s="5">
        <v>31594</v>
      </c>
      <c r="E740">
        <v>109.5</v>
      </c>
      <c r="F740">
        <v>1.6</v>
      </c>
    </row>
    <row r="741" spans="1:6" hidden="1">
      <c r="A741" t="s">
        <v>12</v>
      </c>
      <c r="B741">
        <v>1986</v>
      </c>
      <c r="C741" t="s">
        <v>20</v>
      </c>
      <c r="D741" s="5">
        <v>31625</v>
      </c>
      <c r="E741">
        <v>109.7</v>
      </c>
      <c r="F741">
        <v>1.6</v>
      </c>
    </row>
    <row r="742" spans="1:6" hidden="1">
      <c r="A742" t="s">
        <v>12</v>
      </c>
      <c r="B742">
        <v>1986</v>
      </c>
      <c r="C742" t="s">
        <v>21</v>
      </c>
      <c r="D742" s="5">
        <v>31656</v>
      </c>
      <c r="E742">
        <v>110.2</v>
      </c>
      <c r="F742">
        <v>1.8</v>
      </c>
    </row>
    <row r="743" spans="1:6" hidden="1">
      <c r="A743" t="s">
        <v>12</v>
      </c>
      <c r="B743">
        <v>1986</v>
      </c>
      <c r="C743" t="s">
        <v>22</v>
      </c>
      <c r="D743" s="5">
        <v>31686</v>
      </c>
      <c r="E743">
        <v>110.3</v>
      </c>
      <c r="F743">
        <v>1.5</v>
      </c>
    </row>
    <row r="744" spans="1:6" hidden="1">
      <c r="A744" t="s">
        <v>12</v>
      </c>
      <c r="B744">
        <v>1986</v>
      </c>
      <c r="C744" t="s">
        <v>23</v>
      </c>
      <c r="D744" s="5">
        <v>31717</v>
      </c>
      <c r="E744">
        <v>110.4</v>
      </c>
      <c r="F744">
        <v>1.3</v>
      </c>
    </row>
    <row r="745" spans="1:6" hidden="1">
      <c r="A745" t="s">
        <v>12</v>
      </c>
      <c r="B745">
        <v>1986</v>
      </c>
      <c r="C745" t="s">
        <v>24</v>
      </c>
      <c r="D745" s="5">
        <v>31747</v>
      </c>
      <c r="E745">
        <v>110.5</v>
      </c>
      <c r="F745">
        <v>1.1000000000000001</v>
      </c>
    </row>
    <row r="746" spans="1:6">
      <c r="A746" t="s">
        <v>12</v>
      </c>
      <c r="B746">
        <v>1987</v>
      </c>
      <c r="C746" t="s">
        <v>13</v>
      </c>
      <c r="D746" s="5">
        <v>31778</v>
      </c>
      <c r="E746">
        <v>111.2</v>
      </c>
      <c r="F746">
        <v>1.5</v>
      </c>
    </row>
    <row r="747" spans="1:6" hidden="1">
      <c r="A747" t="s">
        <v>12</v>
      </c>
      <c r="B747">
        <v>1987</v>
      </c>
      <c r="C747" t="s">
        <v>14</v>
      </c>
      <c r="D747" s="5">
        <v>31809</v>
      </c>
      <c r="E747">
        <v>111.6</v>
      </c>
      <c r="F747">
        <v>2.1</v>
      </c>
    </row>
    <row r="748" spans="1:6" hidden="1">
      <c r="A748" t="s">
        <v>12</v>
      </c>
      <c r="B748">
        <v>1987</v>
      </c>
      <c r="C748" t="s">
        <v>15</v>
      </c>
      <c r="D748" s="5">
        <v>31837</v>
      </c>
      <c r="E748">
        <v>112.1</v>
      </c>
      <c r="F748">
        <v>3</v>
      </c>
    </row>
    <row r="749" spans="1:6" hidden="1">
      <c r="A749" t="s">
        <v>12</v>
      </c>
      <c r="B749">
        <v>1987</v>
      </c>
      <c r="C749" t="s">
        <v>16</v>
      </c>
      <c r="D749" s="5">
        <v>31868</v>
      </c>
      <c r="E749">
        <v>112.7</v>
      </c>
      <c r="F749">
        <v>3.8</v>
      </c>
    </row>
    <row r="750" spans="1:6" hidden="1">
      <c r="A750" t="s">
        <v>12</v>
      </c>
      <c r="B750">
        <v>1987</v>
      </c>
      <c r="C750" t="s">
        <v>17</v>
      </c>
      <c r="D750" s="5">
        <v>31898</v>
      </c>
      <c r="E750">
        <v>113.1</v>
      </c>
      <c r="F750">
        <v>3.9</v>
      </c>
    </row>
    <row r="751" spans="1:6" hidden="1">
      <c r="A751" t="s">
        <v>12</v>
      </c>
      <c r="B751">
        <v>1987</v>
      </c>
      <c r="C751" t="s">
        <v>18</v>
      </c>
      <c r="D751" s="5">
        <v>31929</v>
      </c>
      <c r="E751">
        <v>113.5</v>
      </c>
      <c r="F751">
        <v>3.7</v>
      </c>
    </row>
    <row r="752" spans="1:6" hidden="1">
      <c r="A752" t="s">
        <v>12</v>
      </c>
      <c r="B752">
        <v>1987</v>
      </c>
      <c r="C752" t="s">
        <v>19</v>
      </c>
      <c r="D752" s="5">
        <v>31959</v>
      </c>
      <c r="E752">
        <v>113.8</v>
      </c>
      <c r="F752">
        <v>3.9</v>
      </c>
    </row>
    <row r="753" spans="1:6" hidden="1">
      <c r="A753" t="s">
        <v>12</v>
      </c>
      <c r="B753">
        <v>1987</v>
      </c>
      <c r="C753" t="s">
        <v>20</v>
      </c>
      <c r="D753" s="5">
        <v>31990</v>
      </c>
      <c r="E753">
        <v>114.4</v>
      </c>
      <c r="F753">
        <v>4.3</v>
      </c>
    </row>
    <row r="754" spans="1:6" hidden="1">
      <c r="A754" t="s">
        <v>12</v>
      </c>
      <c r="B754">
        <v>1987</v>
      </c>
      <c r="C754" t="s">
        <v>21</v>
      </c>
      <c r="D754" s="5">
        <v>32021</v>
      </c>
      <c r="E754">
        <v>115</v>
      </c>
      <c r="F754">
        <v>4.4000000000000004</v>
      </c>
    </row>
    <row r="755" spans="1:6" hidden="1">
      <c r="A755" t="s">
        <v>12</v>
      </c>
      <c r="B755">
        <v>1987</v>
      </c>
      <c r="C755" t="s">
        <v>22</v>
      </c>
      <c r="D755" s="5">
        <v>32051</v>
      </c>
      <c r="E755">
        <v>115.3</v>
      </c>
      <c r="F755">
        <v>4.5</v>
      </c>
    </row>
    <row r="756" spans="1:6" hidden="1">
      <c r="A756" t="s">
        <v>12</v>
      </c>
      <c r="B756">
        <v>1987</v>
      </c>
      <c r="C756" t="s">
        <v>23</v>
      </c>
      <c r="D756" s="5">
        <v>32082</v>
      </c>
      <c r="E756">
        <v>115.4</v>
      </c>
      <c r="F756">
        <v>4.5</v>
      </c>
    </row>
    <row r="757" spans="1:6" hidden="1">
      <c r="A757" t="s">
        <v>12</v>
      </c>
      <c r="B757">
        <v>1987</v>
      </c>
      <c r="C757" t="s">
        <v>24</v>
      </c>
      <c r="D757" s="5">
        <v>32112</v>
      </c>
      <c r="E757">
        <v>115.4</v>
      </c>
      <c r="F757">
        <v>4.4000000000000004</v>
      </c>
    </row>
    <row r="758" spans="1:6">
      <c r="A758" t="s">
        <v>12</v>
      </c>
      <c r="B758">
        <v>1988</v>
      </c>
      <c r="C758" t="s">
        <v>13</v>
      </c>
      <c r="D758" s="5">
        <v>32143</v>
      </c>
      <c r="E758">
        <v>115.7</v>
      </c>
      <c r="F758">
        <v>4</v>
      </c>
    </row>
    <row r="759" spans="1:6" hidden="1">
      <c r="A759" t="s">
        <v>12</v>
      </c>
      <c r="B759">
        <v>1988</v>
      </c>
      <c r="C759" t="s">
        <v>14</v>
      </c>
      <c r="D759" s="5">
        <v>32174</v>
      </c>
      <c r="E759">
        <v>116</v>
      </c>
      <c r="F759">
        <v>3.9</v>
      </c>
    </row>
    <row r="760" spans="1:6" hidden="1">
      <c r="A760" t="s">
        <v>12</v>
      </c>
      <c r="B760">
        <v>1988</v>
      </c>
      <c r="C760" t="s">
        <v>15</v>
      </c>
      <c r="D760" s="5">
        <v>32203</v>
      </c>
      <c r="E760">
        <v>116.5</v>
      </c>
      <c r="F760">
        <v>3.9</v>
      </c>
    </row>
    <row r="761" spans="1:6" hidden="1">
      <c r="A761" t="s">
        <v>12</v>
      </c>
      <c r="B761">
        <v>1988</v>
      </c>
      <c r="C761" t="s">
        <v>16</v>
      </c>
      <c r="D761" s="5">
        <v>32234</v>
      </c>
      <c r="E761">
        <v>117.1</v>
      </c>
      <c r="F761">
        <v>3.9</v>
      </c>
    </row>
    <row r="762" spans="1:6" hidden="1">
      <c r="A762" t="s">
        <v>12</v>
      </c>
      <c r="B762">
        <v>1988</v>
      </c>
      <c r="C762" t="s">
        <v>17</v>
      </c>
      <c r="D762" s="5">
        <v>32264</v>
      </c>
      <c r="E762">
        <v>117.5</v>
      </c>
      <c r="F762">
        <v>3.9</v>
      </c>
    </row>
    <row r="763" spans="1:6" hidden="1">
      <c r="A763" t="s">
        <v>12</v>
      </c>
      <c r="B763">
        <v>1988</v>
      </c>
      <c r="C763" t="s">
        <v>18</v>
      </c>
      <c r="D763" s="5">
        <v>32295</v>
      </c>
      <c r="E763">
        <v>118</v>
      </c>
      <c r="F763">
        <v>4</v>
      </c>
    </row>
    <row r="764" spans="1:6" hidden="1">
      <c r="A764" t="s">
        <v>12</v>
      </c>
      <c r="B764">
        <v>1988</v>
      </c>
      <c r="C764" t="s">
        <v>19</v>
      </c>
      <c r="D764" s="5">
        <v>32325</v>
      </c>
      <c r="E764">
        <v>118.5</v>
      </c>
      <c r="F764">
        <v>4.0999999999999996</v>
      </c>
    </row>
    <row r="765" spans="1:6" hidden="1">
      <c r="A765" t="s">
        <v>12</v>
      </c>
      <c r="B765">
        <v>1988</v>
      </c>
      <c r="C765" t="s">
        <v>20</v>
      </c>
      <c r="D765" s="5">
        <v>32356</v>
      </c>
      <c r="E765">
        <v>119</v>
      </c>
      <c r="F765">
        <v>4</v>
      </c>
    </row>
    <row r="766" spans="1:6" hidden="1">
      <c r="A766" t="s">
        <v>12</v>
      </c>
      <c r="B766">
        <v>1988</v>
      </c>
      <c r="C766" t="s">
        <v>21</v>
      </c>
      <c r="D766" s="5">
        <v>32387</v>
      </c>
      <c r="E766">
        <v>119.8</v>
      </c>
      <c r="F766">
        <v>4.2</v>
      </c>
    </row>
    <row r="767" spans="1:6" hidden="1">
      <c r="A767" t="s">
        <v>12</v>
      </c>
      <c r="B767">
        <v>1988</v>
      </c>
      <c r="C767" t="s">
        <v>22</v>
      </c>
      <c r="D767" s="5">
        <v>32417</v>
      </c>
      <c r="E767">
        <v>120.2</v>
      </c>
      <c r="F767">
        <v>4.2</v>
      </c>
    </row>
    <row r="768" spans="1:6" hidden="1">
      <c r="A768" t="s">
        <v>12</v>
      </c>
      <c r="B768">
        <v>1988</v>
      </c>
      <c r="C768" t="s">
        <v>23</v>
      </c>
      <c r="D768" s="5">
        <v>32448</v>
      </c>
      <c r="E768">
        <v>120.3</v>
      </c>
      <c r="F768">
        <v>4.2</v>
      </c>
    </row>
    <row r="769" spans="1:6" hidden="1">
      <c r="A769" t="s">
        <v>12</v>
      </c>
      <c r="B769">
        <v>1988</v>
      </c>
      <c r="C769" t="s">
        <v>24</v>
      </c>
      <c r="D769" s="5">
        <v>32478</v>
      </c>
      <c r="E769">
        <v>120.5</v>
      </c>
      <c r="F769">
        <v>4.4000000000000004</v>
      </c>
    </row>
    <row r="770" spans="1:6">
      <c r="A770" t="s">
        <v>12</v>
      </c>
      <c r="B770">
        <v>1989</v>
      </c>
      <c r="C770" t="s">
        <v>13</v>
      </c>
      <c r="D770" s="5">
        <v>32509</v>
      </c>
      <c r="E770">
        <v>121.1</v>
      </c>
      <c r="F770">
        <v>4.7</v>
      </c>
    </row>
    <row r="771" spans="1:6" hidden="1">
      <c r="A771" t="s">
        <v>12</v>
      </c>
      <c r="B771">
        <v>1989</v>
      </c>
      <c r="C771" t="s">
        <v>14</v>
      </c>
      <c r="D771" s="5">
        <v>32540</v>
      </c>
      <c r="E771">
        <v>121.6</v>
      </c>
      <c r="F771">
        <v>4.8</v>
      </c>
    </row>
    <row r="772" spans="1:6" hidden="1">
      <c r="A772" t="s">
        <v>12</v>
      </c>
      <c r="B772">
        <v>1989</v>
      </c>
      <c r="C772" t="s">
        <v>15</v>
      </c>
      <c r="D772" s="5">
        <v>32568</v>
      </c>
      <c r="E772">
        <v>122.3</v>
      </c>
      <c r="F772">
        <v>5</v>
      </c>
    </row>
    <row r="773" spans="1:6" hidden="1">
      <c r="A773" t="s">
        <v>12</v>
      </c>
      <c r="B773">
        <v>1989</v>
      </c>
      <c r="C773" t="s">
        <v>16</v>
      </c>
      <c r="D773" s="5">
        <v>32599</v>
      </c>
      <c r="E773">
        <v>123.1</v>
      </c>
      <c r="F773">
        <v>5.0999999999999996</v>
      </c>
    </row>
    <row r="774" spans="1:6" hidden="1">
      <c r="A774" t="s">
        <v>12</v>
      </c>
      <c r="B774">
        <v>1989</v>
      </c>
      <c r="C774" t="s">
        <v>17</v>
      </c>
      <c r="D774" s="5">
        <v>32629</v>
      </c>
      <c r="E774">
        <v>123.8</v>
      </c>
      <c r="F774">
        <v>5.4</v>
      </c>
    </row>
    <row r="775" spans="1:6" hidden="1">
      <c r="A775" t="s">
        <v>12</v>
      </c>
      <c r="B775">
        <v>1989</v>
      </c>
      <c r="C775" t="s">
        <v>18</v>
      </c>
      <c r="D775" s="5">
        <v>32660</v>
      </c>
      <c r="E775">
        <v>124.1</v>
      </c>
      <c r="F775">
        <v>5.2</v>
      </c>
    </row>
    <row r="776" spans="1:6" hidden="1">
      <c r="A776" t="s">
        <v>12</v>
      </c>
      <c r="B776">
        <v>1989</v>
      </c>
      <c r="C776" t="s">
        <v>19</v>
      </c>
      <c r="D776" s="5">
        <v>32690</v>
      </c>
      <c r="E776">
        <v>124.4</v>
      </c>
      <c r="F776">
        <v>5</v>
      </c>
    </row>
    <row r="777" spans="1:6" hidden="1">
      <c r="A777" t="s">
        <v>12</v>
      </c>
      <c r="B777">
        <v>1989</v>
      </c>
      <c r="C777" t="s">
        <v>20</v>
      </c>
      <c r="D777" s="5">
        <v>32721</v>
      </c>
      <c r="E777">
        <v>124.6</v>
      </c>
      <c r="F777">
        <v>4.7</v>
      </c>
    </row>
    <row r="778" spans="1:6" hidden="1">
      <c r="A778" t="s">
        <v>12</v>
      </c>
      <c r="B778">
        <v>1989</v>
      </c>
      <c r="C778" t="s">
        <v>21</v>
      </c>
      <c r="D778" s="5">
        <v>32752</v>
      </c>
      <c r="E778">
        <v>125</v>
      </c>
      <c r="F778">
        <v>4.3</v>
      </c>
    </row>
    <row r="779" spans="1:6" hidden="1">
      <c r="A779" t="s">
        <v>12</v>
      </c>
      <c r="B779">
        <v>1989</v>
      </c>
      <c r="C779" t="s">
        <v>22</v>
      </c>
      <c r="D779" s="5">
        <v>32782</v>
      </c>
      <c r="E779">
        <v>125.6</v>
      </c>
      <c r="F779">
        <v>4.5</v>
      </c>
    </row>
    <row r="780" spans="1:6" hidden="1">
      <c r="A780" t="s">
        <v>12</v>
      </c>
      <c r="B780">
        <v>1989</v>
      </c>
      <c r="C780" t="s">
        <v>23</v>
      </c>
      <c r="D780" s="5">
        <v>32813</v>
      </c>
      <c r="E780">
        <v>125.9</v>
      </c>
      <c r="F780">
        <v>4.7</v>
      </c>
    </row>
    <row r="781" spans="1:6" hidden="1">
      <c r="A781" t="s">
        <v>12</v>
      </c>
      <c r="B781">
        <v>1989</v>
      </c>
      <c r="C781" t="s">
        <v>24</v>
      </c>
      <c r="D781" s="5">
        <v>32843</v>
      </c>
      <c r="E781">
        <v>126.1</v>
      </c>
      <c r="F781">
        <v>4.5999999999999996</v>
      </c>
    </row>
    <row r="782" spans="1:6">
      <c r="A782" t="s">
        <v>12</v>
      </c>
      <c r="B782">
        <v>1990</v>
      </c>
      <c r="C782" t="s">
        <v>13</v>
      </c>
      <c r="D782" s="5">
        <v>32874</v>
      </c>
      <c r="E782">
        <v>127.4</v>
      </c>
      <c r="F782">
        <v>5.2</v>
      </c>
    </row>
    <row r="783" spans="1:6" hidden="1">
      <c r="A783" t="s">
        <v>12</v>
      </c>
      <c r="B783">
        <v>1990</v>
      </c>
      <c r="C783" t="s">
        <v>14</v>
      </c>
      <c r="D783" s="5">
        <v>32905</v>
      </c>
      <c r="E783">
        <v>128</v>
      </c>
      <c r="F783">
        <v>5.3</v>
      </c>
    </row>
    <row r="784" spans="1:6" hidden="1">
      <c r="A784" t="s">
        <v>12</v>
      </c>
      <c r="B784">
        <v>1990</v>
      </c>
      <c r="C784" t="s">
        <v>15</v>
      </c>
      <c r="D784" s="5">
        <v>32933</v>
      </c>
      <c r="E784">
        <v>128.69999999999999</v>
      </c>
      <c r="F784">
        <v>5.2</v>
      </c>
    </row>
    <row r="785" spans="1:6" hidden="1">
      <c r="A785" t="s">
        <v>12</v>
      </c>
      <c r="B785">
        <v>1990</v>
      </c>
      <c r="C785" t="s">
        <v>16</v>
      </c>
      <c r="D785" s="5">
        <v>32964</v>
      </c>
      <c r="E785">
        <v>128.9</v>
      </c>
      <c r="F785">
        <v>4.7</v>
      </c>
    </row>
    <row r="786" spans="1:6" hidden="1">
      <c r="A786" t="s">
        <v>12</v>
      </c>
      <c r="B786">
        <v>1990</v>
      </c>
      <c r="C786" t="s">
        <v>17</v>
      </c>
      <c r="D786" s="5">
        <v>32994</v>
      </c>
      <c r="E786">
        <v>129.19999999999999</v>
      </c>
      <c r="F786">
        <v>4.4000000000000004</v>
      </c>
    </row>
    <row r="787" spans="1:6" hidden="1">
      <c r="A787" t="s">
        <v>12</v>
      </c>
      <c r="B787">
        <v>1990</v>
      </c>
      <c r="C787" t="s">
        <v>18</v>
      </c>
      <c r="D787" s="5">
        <v>33025</v>
      </c>
      <c r="E787">
        <v>129.9</v>
      </c>
      <c r="F787">
        <v>4.7</v>
      </c>
    </row>
    <row r="788" spans="1:6" hidden="1">
      <c r="A788" t="s">
        <v>12</v>
      </c>
      <c r="B788">
        <v>1990</v>
      </c>
      <c r="C788" t="s">
        <v>19</v>
      </c>
      <c r="D788" s="5">
        <v>33055</v>
      </c>
      <c r="E788">
        <v>130.4</v>
      </c>
      <c r="F788">
        <v>4.8</v>
      </c>
    </row>
    <row r="789" spans="1:6" hidden="1">
      <c r="A789" t="s">
        <v>12</v>
      </c>
      <c r="B789">
        <v>1990</v>
      </c>
      <c r="C789" t="s">
        <v>20</v>
      </c>
      <c r="D789" s="5">
        <v>33086</v>
      </c>
      <c r="E789">
        <v>131.6</v>
      </c>
      <c r="F789">
        <v>5.6</v>
      </c>
    </row>
    <row r="790" spans="1:6" hidden="1">
      <c r="A790" t="s">
        <v>12</v>
      </c>
      <c r="B790">
        <v>1990</v>
      </c>
      <c r="C790" t="s">
        <v>21</v>
      </c>
      <c r="D790" s="5">
        <v>33117</v>
      </c>
      <c r="E790">
        <v>132.69999999999999</v>
      </c>
      <c r="F790">
        <v>6.2</v>
      </c>
    </row>
    <row r="791" spans="1:6" hidden="1">
      <c r="A791" t="s">
        <v>12</v>
      </c>
      <c r="B791">
        <v>1990</v>
      </c>
      <c r="C791" t="s">
        <v>22</v>
      </c>
      <c r="D791" s="5">
        <v>33147</v>
      </c>
      <c r="E791">
        <v>133.5</v>
      </c>
      <c r="F791">
        <v>6.3</v>
      </c>
    </row>
    <row r="792" spans="1:6" hidden="1">
      <c r="A792" t="s">
        <v>12</v>
      </c>
      <c r="B792">
        <v>1990</v>
      </c>
      <c r="C792" t="s">
        <v>23</v>
      </c>
      <c r="D792" s="5">
        <v>33178</v>
      </c>
      <c r="E792">
        <v>133.80000000000001</v>
      </c>
      <c r="F792">
        <v>6.3</v>
      </c>
    </row>
    <row r="793" spans="1:6" hidden="1">
      <c r="A793" t="s">
        <v>12</v>
      </c>
      <c r="B793">
        <v>1990</v>
      </c>
      <c r="C793" t="s">
        <v>24</v>
      </c>
      <c r="D793" s="5">
        <v>33208</v>
      </c>
      <c r="E793">
        <v>133.80000000000001</v>
      </c>
      <c r="F793">
        <v>6.1</v>
      </c>
    </row>
    <row r="794" spans="1:6">
      <c r="A794" t="s">
        <v>12</v>
      </c>
      <c r="B794">
        <v>1991</v>
      </c>
      <c r="C794" t="s">
        <v>13</v>
      </c>
      <c r="D794" s="5">
        <v>33239</v>
      </c>
      <c r="E794">
        <v>134.6</v>
      </c>
      <c r="F794">
        <v>5.7</v>
      </c>
    </row>
    <row r="795" spans="1:6" hidden="1">
      <c r="A795" t="s">
        <v>12</v>
      </c>
      <c r="B795">
        <v>1991</v>
      </c>
      <c r="C795" t="s">
        <v>14</v>
      </c>
      <c r="D795" s="5">
        <v>33270</v>
      </c>
      <c r="E795">
        <v>134.80000000000001</v>
      </c>
      <c r="F795">
        <v>5.3</v>
      </c>
    </row>
    <row r="796" spans="1:6" hidden="1">
      <c r="A796" t="s">
        <v>12</v>
      </c>
      <c r="B796">
        <v>1991</v>
      </c>
      <c r="C796" t="s">
        <v>15</v>
      </c>
      <c r="D796" s="5">
        <v>33298</v>
      </c>
      <c r="E796">
        <v>135</v>
      </c>
      <c r="F796">
        <v>4.9000000000000004</v>
      </c>
    </row>
    <row r="797" spans="1:6" hidden="1">
      <c r="A797" t="s">
        <v>12</v>
      </c>
      <c r="B797">
        <v>1991</v>
      </c>
      <c r="C797" t="s">
        <v>16</v>
      </c>
      <c r="D797" s="5">
        <v>33329</v>
      </c>
      <c r="E797">
        <v>135.19999999999999</v>
      </c>
      <c r="F797">
        <v>4.9000000000000004</v>
      </c>
    </row>
    <row r="798" spans="1:6" hidden="1">
      <c r="A798" t="s">
        <v>12</v>
      </c>
      <c r="B798">
        <v>1991</v>
      </c>
      <c r="C798" t="s">
        <v>17</v>
      </c>
      <c r="D798" s="5">
        <v>33359</v>
      </c>
      <c r="E798">
        <v>135.6</v>
      </c>
      <c r="F798">
        <v>5</v>
      </c>
    </row>
    <row r="799" spans="1:6" hidden="1">
      <c r="A799" t="s">
        <v>12</v>
      </c>
      <c r="B799">
        <v>1991</v>
      </c>
      <c r="C799" t="s">
        <v>18</v>
      </c>
      <c r="D799" s="5">
        <v>33390</v>
      </c>
      <c r="E799">
        <v>136</v>
      </c>
      <c r="F799">
        <v>4.7</v>
      </c>
    </row>
    <row r="800" spans="1:6" hidden="1">
      <c r="A800" t="s">
        <v>12</v>
      </c>
      <c r="B800">
        <v>1991</v>
      </c>
      <c r="C800" t="s">
        <v>19</v>
      </c>
      <c r="D800" s="5">
        <v>33420</v>
      </c>
      <c r="E800">
        <v>136.19999999999999</v>
      </c>
      <c r="F800">
        <v>4.4000000000000004</v>
      </c>
    </row>
    <row r="801" spans="1:6" hidden="1">
      <c r="A801" t="s">
        <v>12</v>
      </c>
      <c r="B801">
        <v>1991</v>
      </c>
      <c r="C801" t="s">
        <v>20</v>
      </c>
      <c r="D801" s="5">
        <v>33451</v>
      </c>
      <c r="E801">
        <v>136.6</v>
      </c>
      <c r="F801">
        <v>3.8</v>
      </c>
    </row>
    <row r="802" spans="1:6" hidden="1">
      <c r="A802" t="s">
        <v>12</v>
      </c>
      <c r="B802">
        <v>1991</v>
      </c>
      <c r="C802" t="s">
        <v>21</v>
      </c>
      <c r="D802" s="5">
        <v>33482</v>
      </c>
      <c r="E802">
        <v>137.19999999999999</v>
      </c>
      <c r="F802">
        <v>3.4</v>
      </c>
    </row>
    <row r="803" spans="1:6" hidden="1">
      <c r="A803" t="s">
        <v>12</v>
      </c>
      <c r="B803">
        <v>1991</v>
      </c>
      <c r="C803" t="s">
        <v>22</v>
      </c>
      <c r="D803" s="5">
        <v>33512</v>
      </c>
      <c r="E803">
        <v>137.4</v>
      </c>
      <c r="F803">
        <v>2.9</v>
      </c>
    </row>
    <row r="804" spans="1:6" hidden="1">
      <c r="A804" t="s">
        <v>12</v>
      </c>
      <c r="B804">
        <v>1991</v>
      </c>
      <c r="C804" t="s">
        <v>23</v>
      </c>
      <c r="D804" s="5">
        <v>33543</v>
      </c>
      <c r="E804">
        <v>137.80000000000001</v>
      </c>
      <c r="F804">
        <v>3</v>
      </c>
    </row>
    <row r="805" spans="1:6" hidden="1">
      <c r="A805" t="s">
        <v>12</v>
      </c>
      <c r="B805">
        <v>1991</v>
      </c>
      <c r="C805" t="s">
        <v>24</v>
      </c>
      <c r="D805" s="5">
        <v>33573</v>
      </c>
      <c r="E805">
        <v>137.9</v>
      </c>
      <c r="F805">
        <v>3.1</v>
      </c>
    </row>
    <row r="806" spans="1:6">
      <c r="A806" t="s">
        <v>12</v>
      </c>
      <c r="B806">
        <v>1992</v>
      </c>
      <c r="C806" t="s">
        <v>13</v>
      </c>
      <c r="D806" s="5">
        <v>33604</v>
      </c>
      <c r="E806">
        <v>138.1</v>
      </c>
      <c r="F806">
        <v>2.6</v>
      </c>
    </row>
    <row r="807" spans="1:6" hidden="1">
      <c r="A807" t="s">
        <v>12</v>
      </c>
      <c r="B807">
        <v>1992</v>
      </c>
      <c r="C807" t="s">
        <v>14</v>
      </c>
      <c r="D807" s="5">
        <v>33635</v>
      </c>
      <c r="E807">
        <v>138.6</v>
      </c>
      <c r="F807">
        <v>2.8</v>
      </c>
    </row>
    <row r="808" spans="1:6" hidden="1">
      <c r="A808" t="s">
        <v>12</v>
      </c>
      <c r="B808">
        <v>1992</v>
      </c>
      <c r="C808" t="s">
        <v>15</v>
      </c>
      <c r="D808" s="5">
        <v>33664</v>
      </c>
      <c r="E808">
        <v>139.30000000000001</v>
      </c>
      <c r="F808">
        <v>3.2</v>
      </c>
    </row>
    <row r="809" spans="1:6" hidden="1">
      <c r="A809" t="s">
        <v>12</v>
      </c>
      <c r="B809">
        <v>1992</v>
      </c>
      <c r="C809" t="s">
        <v>16</v>
      </c>
      <c r="D809" s="5">
        <v>33695</v>
      </c>
      <c r="E809">
        <v>139.5</v>
      </c>
      <c r="F809">
        <v>3.2</v>
      </c>
    </row>
    <row r="810" spans="1:6" hidden="1">
      <c r="A810" t="s">
        <v>12</v>
      </c>
      <c r="B810">
        <v>1992</v>
      </c>
      <c r="C810" t="s">
        <v>17</v>
      </c>
      <c r="D810" s="5">
        <v>33725</v>
      </c>
      <c r="E810">
        <v>139.69999999999999</v>
      </c>
      <c r="F810">
        <v>3</v>
      </c>
    </row>
    <row r="811" spans="1:6" hidden="1">
      <c r="A811" t="s">
        <v>12</v>
      </c>
      <c r="B811">
        <v>1992</v>
      </c>
      <c r="C811" t="s">
        <v>18</v>
      </c>
      <c r="D811" s="5">
        <v>33756</v>
      </c>
      <c r="E811">
        <v>140.19999999999999</v>
      </c>
      <c r="F811">
        <v>3.1</v>
      </c>
    </row>
    <row r="812" spans="1:6" hidden="1">
      <c r="A812" t="s">
        <v>12</v>
      </c>
      <c r="B812">
        <v>1992</v>
      </c>
      <c r="C812" t="s">
        <v>19</v>
      </c>
      <c r="D812" s="5">
        <v>33786</v>
      </c>
      <c r="E812">
        <v>140.5</v>
      </c>
      <c r="F812">
        <v>3.2</v>
      </c>
    </row>
    <row r="813" spans="1:6" hidden="1">
      <c r="A813" t="s">
        <v>12</v>
      </c>
      <c r="B813">
        <v>1992</v>
      </c>
      <c r="C813" t="s">
        <v>20</v>
      </c>
      <c r="D813" s="5">
        <v>33817</v>
      </c>
      <c r="E813">
        <v>140.9</v>
      </c>
      <c r="F813">
        <v>3.1</v>
      </c>
    </row>
    <row r="814" spans="1:6" hidden="1">
      <c r="A814" t="s">
        <v>12</v>
      </c>
      <c r="B814">
        <v>1992</v>
      </c>
      <c r="C814" t="s">
        <v>21</v>
      </c>
      <c r="D814" s="5">
        <v>33848</v>
      </c>
      <c r="E814">
        <v>141.30000000000001</v>
      </c>
      <c r="F814">
        <v>3</v>
      </c>
    </row>
    <row r="815" spans="1:6" hidden="1">
      <c r="A815" t="s">
        <v>12</v>
      </c>
      <c r="B815">
        <v>1992</v>
      </c>
      <c r="C815" t="s">
        <v>22</v>
      </c>
      <c r="D815" s="5">
        <v>33878</v>
      </c>
      <c r="E815">
        <v>141.80000000000001</v>
      </c>
      <c r="F815">
        <v>3.2</v>
      </c>
    </row>
    <row r="816" spans="1:6" hidden="1">
      <c r="A816" t="s">
        <v>12</v>
      </c>
      <c r="B816">
        <v>1992</v>
      </c>
      <c r="C816" t="s">
        <v>23</v>
      </c>
      <c r="D816" s="5">
        <v>33909</v>
      </c>
      <c r="E816">
        <v>142</v>
      </c>
      <c r="F816">
        <v>3</v>
      </c>
    </row>
    <row r="817" spans="1:6" hidden="1">
      <c r="A817" t="s">
        <v>12</v>
      </c>
      <c r="B817">
        <v>1992</v>
      </c>
      <c r="C817" t="s">
        <v>24</v>
      </c>
      <c r="D817" s="5">
        <v>33939</v>
      </c>
      <c r="E817">
        <v>141.9</v>
      </c>
      <c r="F817">
        <v>2.9</v>
      </c>
    </row>
    <row r="818" spans="1:6">
      <c r="A818" t="s">
        <v>12</v>
      </c>
      <c r="B818">
        <v>1993</v>
      </c>
      <c r="C818" t="s">
        <v>13</v>
      </c>
      <c r="D818" s="5">
        <v>33970</v>
      </c>
      <c r="E818">
        <v>142.6</v>
      </c>
      <c r="F818">
        <v>3.3</v>
      </c>
    </row>
    <row r="819" spans="1:6" hidden="1">
      <c r="A819" t="s">
        <v>12</v>
      </c>
      <c r="B819">
        <v>1993</v>
      </c>
      <c r="C819" t="s">
        <v>14</v>
      </c>
      <c r="D819" s="5">
        <v>34001</v>
      </c>
      <c r="E819">
        <v>143.1</v>
      </c>
      <c r="F819">
        <v>3.2</v>
      </c>
    </row>
    <row r="820" spans="1:6" hidden="1">
      <c r="A820" t="s">
        <v>12</v>
      </c>
      <c r="B820">
        <v>1993</v>
      </c>
      <c r="C820" t="s">
        <v>15</v>
      </c>
      <c r="D820" s="5">
        <v>34029</v>
      </c>
      <c r="E820">
        <v>143.6</v>
      </c>
      <c r="F820">
        <v>3.1</v>
      </c>
    </row>
    <row r="821" spans="1:6" hidden="1">
      <c r="A821" t="s">
        <v>12</v>
      </c>
      <c r="B821">
        <v>1993</v>
      </c>
      <c r="C821" t="s">
        <v>16</v>
      </c>
      <c r="D821" s="5">
        <v>34060</v>
      </c>
      <c r="E821">
        <v>144</v>
      </c>
      <c r="F821">
        <v>3.2</v>
      </c>
    </row>
    <row r="822" spans="1:6" hidden="1">
      <c r="A822" t="s">
        <v>12</v>
      </c>
      <c r="B822">
        <v>1993</v>
      </c>
      <c r="C822" t="s">
        <v>17</v>
      </c>
      <c r="D822" s="5">
        <v>34090</v>
      </c>
      <c r="E822">
        <v>144.19999999999999</v>
      </c>
      <c r="F822">
        <v>3.2</v>
      </c>
    </row>
    <row r="823" spans="1:6" hidden="1">
      <c r="A823" t="s">
        <v>12</v>
      </c>
      <c r="B823">
        <v>1993</v>
      </c>
      <c r="C823" t="s">
        <v>18</v>
      </c>
      <c r="D823" s="5">
        <v>34121</v>
      </c>
      <c r="E823">
        <v>144.4</v>
      </c>
      <c r="F823">
        <v>3</v>
      </c>
    </row>
    <row r="824" spans="1:6" hidden="1">
      <c r="A824" t="s">
        <v>12</v>
      </c>
      <c r="B824">
        <v>1993</v>
      </c>
      <c r="C824" t="s">
        <v>19</v>
      </c>
      <c r="D824" s="5">
        <v>34151</v>
      </c>
      <c r="E824">
        <v>144.4</v>
      </c>
      <c r="F824">
        <v>2.8</v>
      </c>
    </row>
    <row r="825" spans="1:6" hidden="1">
      <c r="A825" t="s">
        <v>12</v>
      </c>
      <c r="B825">
        <v>1993</v>
      </c>
      <c r="C825" t="s">
        <v>20</v>
      </c>
      <c r="D825" s="5">
        <v>34182</v>
      </c>
      <c r="E825">
        <v>144.80000000000001</v>
      </c>
      <c r="F825">
        <v>2.8</v>
      </c>
    </row>
    <row r="826" spans="1:6" hidden="1">
      <c r="A826" t="s">
        <v>12</v>
      </c>
      <c r="B826">
        <v>1993</v>
      </c>
      <c r="C826" t="s">
        <v>21</v>
      </c>
      <c r="D826" s="5">
        <v>34213</v>
      </c>
      <c r="E826">
        <v>145.1</v>
      </c>
      <c r="F826">
        <v>2.7</v>
      </c>
    </row>
    <row r="827" spans="1:6" hidden="1">
      <c r="A827" t="s">
        <v>12</v>
      </c>
      <c r="B827">
        <v>1993</v>
      </c>
      <c r="C827" t="s">
        <v>22</v>
      </c>
      <c r="D827" s="5">
        <v>34243</v>
      </c>
      <c r="E827">
        <v>145.69999999999999</v>
      </c>
      <c r="F827">
        <v>2.8</v>
      </c>
    </row>
    <row r="828" spans="1:6" hidden="1">
      <c r="A828" t="s">
        <v>12</v>
      </c>
      <c r="B828">
        <v>1993</v>
      </c>
      <c r="C828" t="s">
        <v>23</v>
      </c>
      <c r="D828" s="5">
        <v>34274</v>
      </c>
      <c r="E828">
        <v>145.80000000000001</v>
      </c>
      <c r="F828">
        <v>2.7</v>
      </c>
    </row>
    <row r="829" spans="1:6" hidden="1">
      <c r="A829" t="s">
        <v>12</v>
      </c>
      <c r="B829">
        <v>1993</v>
      </c>
      <c r="C829" t="s">
        <v>24</v>
      </c>
      <c r="D829" s="5">
        <v>34304</v>
      </c>
      <c r="E829">
        <v>145.80000000000001</v>
      </c>
      <c r="F829">
        <v>2.7</v>
      </c>
    </row>
    <row r="830" spans="1:6">
      <c r="A830" t="s">
        <v>12</v>
      </c>
      <c r="B830">
        <v>1994</v>
      </c>
      <c r="C830" t="s">
        <v>13</v>
      </c>
      <c r="D830" s="5">
        <v>34335</v>
      </c>
      <c r="E830">
        <v>146.19999999999999</v>
      </c>
      <c r="F830">
        <v>2.5</v>
      </c>
    </row>
    <row r="831" spans="1:6" hidden="1">
      <c r="A831" t="s">
        <v>12</v>
      </c>
      <c r="B831">
        <v>1994</v>
      </c>
      <c r="C831" t="s">
        <v>14</v>
      </c>
      <c r="D831" s="5">
        <v>34366</v>
      </c>
      <c r="E831">
        <v>146.69999999999999</v>
      </c>
      <c r="F831">
        <v>2.5</v>
      </c>
    </row>
    <row r="832" spans="1:6" hidden="1">
      <c r="A832" t="s">
        <v>12</v>
      </c>
      <c r="B832">
        <v>1994</v>
      </c>
      <c r="C832" t="s">
        <v>15</v>
      </c>
      <c r="D832" s="5">
        <v>34394</v>
      </c>
      <c r="E832">
        <v>147.19999999999999</v>
      </c>
      <c r="F832">
        <v>2.5</v>
      </c>
    </row>
    <row r="833" spans="1:6" hidden="1">
      <c r="A833" t="s">
        <v>12</v>
      </c>
      <c r="B833">
        <v>1994</v>
      </c>
      <c r="C833" t="s">
        <v>16</v>
      </c>
      <c r="D833" s="5">
        <v>34425</v>
      </c>
      <c r="E833">
        <v>147.4</v>
      </c>
      <c r="F833">
        <v>2.4</v>
      </c>
    </row>
    <row r="834" spans="1:6" hidden="1">
      <c r="A834" t="s">
        <v>12</v>
      </c>
      <c r="B834">
        <v>1994</v>
      </c>
      <c r="C834" t="s">
        <v>17</v>
      </c>
      <c r="D834" s="5">
        <v>34455</v>
      </c>
      <c r="E834">
        <v>147.5</v>
      </c>
      <c r="F834">
        <v>2.2999999999999998</v>
      </c>
    </row>
    <row r="835" spans="1:6" hidden="1">
      <c r="A835" t="s">
        <v>12</v>
      </c>
      <c r="B835">
        <v>1994</v>
      </c>
      <c r="C835" t="s">
        <v>18</v>
      </c>
      <c r="D835" s="5">
        <v>34486</v>
      </c>
      <c r="E835">
        <v>148</v>
      </c>
      <c r="F835">
        <v>2.5</v>
      </c>
    </row>
    <row r="836" spans="1:6" hidden="1">
      <c r="A836" t="s">
        <v>12</v>
      </c>
      <c r="B836">
        <v>1994</v>
      </c>
      <c r="C836" t="s">
        <v>19</v>
      </c>
      <c r="D836" s="5">
        <v>34516</v>
      </c>
      <c r="E836">
        <v>148.4</v>
      </c>
      <c r="F836">
        <v>2.8</v>
      </c>
    </row>
    <row r="837" spans="1:6" hidden="1">
      <c r="A837" t="s">
        <v>12</v>
      </c>
      <c r="B837">
        <v>1994</v>
      </c>
      <c r="C837" t="s">
        <v>20</v>
      </c>
      <c r="D837" s="5">
        <v>34547</v>
      </c>
      <c r="E837">
        <v>149</v>
      </c>
      <c r="F837">
        <v>2.9</v>
      </c>
    </row>
    <row r="838" spans="1:6" hidden="1">
      <c r="A838" t="s">
        <v>12</v>
      </c>
      <c r="B838">
        <v>1994</v>
      </c>
      <c r="C838" t="s">
        <v>21</v>
      </c>
      <c r="D838" s="5">
        <v>34578</v>
      </c>
      <c r="E838">
        <v>149.4</v>
      </c>
      <c r="F838">
        <v>3</v>
      </c>
    </row>
    <row r="839" spans="1:6" hidden="1">
      <c r="A839" t="s">
        <v>12</v>
      </c>
      <c r="B839">
        <v>1994</v>
      </c>
      <c r="C839" t="s">
        <v>22</v>
      </c>
      <c r="D839" s="5">
        <v>34608</v>
      </c>
      <c r="E839">
        <v>149.5</v>
      </c>
      <c r="F839">
        <v>2.6</v>
      </c>
    </row>
    <row r="840" spans="1:6" hidden="1">
      <c r="A840" t="s">
        <v>12</v>
      </c>
      <c r="B840">
        <v>1994</v>
      </c>
      <c r="C840" t="s">
        <v>23</v>
      </c>
      <c r="D840" s="5">
        <v>34639</v>
      </c>
      <c r="E840">
        <v>149.69999999999999</v>
      </c>
      <c r="F840">
        <v>2.7</v>
      </c>
    </row>
    <row r="841" spans="1:6" hidden="1">
      <c r="A841" t="s">
        <v>12</v>
      </c>
      <c r="B841">
        <v>1994</v>
      </c>
      <c r="C841" t="s">
        <v>24</v>
      </c>
      <c r="D841" s="5">
        <v>34669</v>
      </c>
      <c r="E841">
        <v>149.69999999999999</v>
      </c>
      <c r="F841">
        <v>2.7</v>
      </c>
    </row>
    <row r="842" spans="1:6">
      <c r="A842" t="s">
        <v>12</v>
      </c>
      <c r="B842">
        <v>1995</v>
      </c>
      <c r="C842" t="s">
        <v>13</v>
      </c>
      <c r="D842" s="5">
        <v>34700</v>
      </c>
      <c r="E842">
        <v>150.30000000000001</v>
      </c>
      <c r="F842">
        <v>2.8</v>
      </c>
    </row>
    <row r="843" spans="1:6" hidden="1">
      <c r="A843" t="s">
        <v>12</v>
      </c>
      <c r="B843">
        <v>1995</v>
      </c>
      <c r="C843" t="s">
        <v>14</v>
      </c>
      <c r="D843" s="5">
        <v>34731</v>
      </c>
      <c r="E843">
        <v>150.9</v>
      </c>
      <c r="F843">
        <v>2.9</v>
      </c>
    </row>
    <row r="844" spans="1:6" hidden="1">
      <c r="A844" t="s">
        <v>12</v>
      </c>
      <c r="B844">
        <v>1995</v>
      </c>
      <c r="C844" t="s">
        <v>15</v>
      </c>
      <c r="D844" s="5">
        <v>34759</v>
      </c>
      <c r="E844">
        <v>151.4</v>
      </c>
      <c r="F844">
        <v>2.9</v>
      </c>
    </row>
    <row r="845" spans="1:6" hidden="1">
      <c r="A845" t="s">
        <v>12</v>
      </c>
      <c r="B845">
        <v>1995</v>
      </c>
      <c r="C845" t="s">
        <v>16</v>
      </c>
      <c r="D845" s="5">
        <v>34790</v>
      </c>
      <c r="E845">
        <v>151.9</v>
      </c>
      <c r="F845">
        <v>3.1</v>
      </c>
    </row>
    <row r="846" spans="1:6" hidden="1">
      <c r="A846" t="s">
        <v>12</v>
      </c>
      <c r="B846">
        <v>1995</v>
      </c>
      <c r="C846" t="s">
        <v>17</v>
      </c>
      <c r="D846" s="5">
        <v>34820</v>
      </c>
      <c r="E846">
        <v>152.19999999999999</v>
      </c>
      <c r="F846">
        <v>3.2</v>
      </c>
    </row>
    <row r="847" spans="1:6" hidden="1">
      <c r="A847" t="s">
        <v>12</v>
      </c>
      <c r="B847">
        <v>1995</v>
      </c>
      <c r="C847" t="s">
        <v>18</v>
      </c>
      <c r="D847" s="5">
        <v>34851</v>
      </c>
      <c r="E847">
        <v>152.5</v>
      </c>
      <c r="F847">
        <v>3</v>
      </c>
    </row>
    <row r="848" spans="1:6" hidden="1">
      <c r="A848" t="s">
        <v>12</v>
      </c>
      <c r="B848">
        <v>1995</v>
      </c>
      <c r="C848" t="s">
        <v>19</v>
      </c>
      <c r="D848" s="5">
        <v>34881</v>
      </c>
      <c r="E848">
        <v>152.5</v>
      </c>
      <c r="F848">
        <v>2.8</v>
      </c>
    </row>
    <row r="849" spans="1:6" hidden="1">
      <c r="A849" t="s">
        <v>12</v>
      </c>
      <c r="B849">
        <v>1995</v>
      </c>
      <c r="C849" t="s">
        <v>20</v>
      </c>
      <c r="D849" s="5">
        <v>34912</v>
      </c>
      <c r="E849">
        <v>152.9</v>
      </c>
      <c r="F849">
        <v>2.6</v>
      </c>
    </row>
    <row r="850" spans="1:6" hidden="1">
      <c r="A850" t="s">
        <v>12</v>
      </c>
      <c r="B850">
        <v>1995</v>
      </c>
      <c r="C850" t="s">
        <v>21</v>
      </c>
      <c r="D850" s="5">
        <v>34943</v>
      </c>
      <c r="E850">
        <v>153.19999999999999</v>
      </c>
      <c r="F850">
        <v>2.5</v>
      </c>
    </row>
    <row r="851" spans="1:6" hidden="1">
      <c r="A851" t="s">
        <v>12</v>
      </c>
      <c r="B851">
        <v>1995</v>
      </c>
      <c r="C851" t="s">
        <v>22</v>
      </c>
      <c r="D851" s="5">
        <v>34973</v>
      </c>
      <c r="E851">
        <v>153.69999999999999</v>
      </c>
      <c r="F851">
        <v>2.8</v>
      </c>
    </row>
    <row r="852" spans="1:6" hidden="1">
      <c r="A852" t="s">
        <v>12</v>
      </c>
      <c r="B852">
        <v>1995</v>
      </c>
      <c r="C852" t="s">
        <v>23</v>
      </c>
      <c r="D852" s="5">
        <v>35004</v>
      </c>
      <c r="E852">
        <v>153.6</v>
      </c>
      <c r="F852">
        <v>2.6</v>
      </c>
    </row>
    <row r="853" spans="1:6" hidden="1">
      <c r="A853" t="s">
        <v>12</v>
      </c>
      <c r="B853">
        <v>1995</v>
      </c>
      <c r="C853" t="s">
        <v>24</v>
      </c>
      <c r="D853" s="5">
        <v>35034</v>
      </c>
      <c r="E853">
        <v>153.5</v>
      </c>
      <c r="F853">
        <v>2.5</v>
      </c>
    </row>
    <row r="854" spans="1:6">
      <c r="A854" t="s">
        <v>12</v>
      </c>
      <c r="B854">
        <v>1996</v>
      </c>
      <c r="C854" t="s">
        <v>13</v>
      </c>
      <c r="D854" s="5">
        <v>35065</v>
      </c>
      <c r="E854">
        <v>154.4</v>
      </c>
      <c r="F854">
        <v>2.7</v>
      </c>
    </row>
    <row r="855" spans="1:6" hidden="1">
      <c r="A855" t="s">
        <v>12</v>
      </c>
      <c r="B855">
        <v>1996</v>
      </c>
      <c r="C855" t="s">
        <v>14</v>
      </c>
      <c r="D855" s="5">
        <v>35096</v>
      </c>
      <c r="E855">
        <v>154.9</v>
      </c>
      <c r="F855">
        <v>2.7</v>
      </c>
    </row>
    <row r="856" spans="1:6" hidden="1">
      <c r="A856" t="s">
        <v>12</v>
      </c>
      <c r="B856">
        <v>1996</v>
      </c>
      <c r="C856" t="s">
        <v>15</v>
      </c>
      <c r="D856" s="5">
        <v>35125</v>
      </c>
      <c r="E856">
        <v>155.69999999999999</v>
      </c>
      <c r="F856">
        <v>2.8</v>
      </c>
    </row>
    <row r="857" spans="1:6" hidden="1">
      <c r="A857" t="s">
        <v>12</v>
      </c>
      <c r="B857">
        <v>1996</v>
      </c>
      <c r="C857" t="s">
        <v>16</v>
      </c>
      <c r="D857" s="5">
        <v>35156</v>
      </c>
      <c r="E857">
        <v>156.30000000000001</v>
      </c>
      <c r="F857">
        <v>2.9</v>
      </c>
    </row>
    <row r="858" spans="1:6" hidden="1">
      <c r="A858" t="s">
        <v>12</v>
      </c>
      <c r="B858">
        <v>1996</v>
      </c>
      <c r="C858" t="s">
        <v>17</v>
      </c>
      <c r="D858" s="5">
        <v>35186</v>
      </c>
      <c r="E858">
        <v>156.6</v>
      </c>
      <c r="F858">
        <v>2.9</v>
      </c>
    </row>
    <row r="859" spans="1:6" hidden="1">
      <c r="A859" t="s">
        <v>12</v>
      </c>
      <c r="B859">
        <v>1996</v>
      </c>
      <c r="C859" t="s">
        <v>18</v>
      </c>
      <c r="D859" s="5">
        <v>35217</v>
      </c>
      <c r="E859">
        <v>156.69999999999999</v>
      </c>
      <c r="F859">
        <v>2.8</v>
      </c>
    </row>
    <row r="860" spans="1:6" hidden="1">
      <c r="A860" t="s">
        <v>12</v>
      </c>
      <c r="B860">
        <v>1996</v>
      </c>
      <c r="C860" t="s">
        <v>19</v>
      </c>
      <c r="D860" s="5">
        <v>35247</v>
      </c>
      <c r="E860">
        <v>157</v>
      </c>
      <c r="F860">
        <v>3</v>
      </c>
    </row>
    <row r="861" spans="1:6" hidden="1">
      <c r="A861" t="s">
        <v>12</v>
      </c>
      <c r="B861">
        <v>1996</v>
      </c>
      <c r="C861" t="s">
        <v>20</v>
      </c>
      <c r="D861" s="5">
        <v>35278</v>
      </c>
      <c r="E861">
        <v>157.30000000000001</v>
      </c>
      <c r="F861">
        <v>2.9</v>
      </c>
    </row>
    <row r="862" spans="1:6" hidden="1">
      <c r="A862" t="s">
        <v>12</v>
      </c>
      <c r="B862">
        <v>1996</v>
      </c>
      <c r="C862" t="s">
        <v>21</v>
      </c>
      <c r="D862" s="5">
        <v>35309</v>
      </c>
      <c r="E862">
        <v>157.80000000000001</v>
      </c>
      <c r="F862">
        <v>3</v>
      </c>
    </row>
    <row r="863" spans="1:6" hidden="1">
      <c r="A863" t="s">
        <v>12</v>
      </c>
      <c r="B863">
        <v>1996</v>
      </c>
      <c r="C863" t="s">
        <v>22</v>
      </c>
      <c r="D863" s="5">
        <v>35339</v>
      </c>
      <c r="E863">
        <v>158.30000000000001</v>
      </c>
      <c r="F863">
        <v>3</v>
      </c>
    </row>
    <row r="864" spans="1:6" hidden="1">
      <c r="A864" t="s">
        <v>12</v>
      </c>
      <c r="B864">
        <v>1996</v>
      </c>
      <c r="C864" t="s">
        <v>23</v>
      </c>
      <c r="D864" s="5">
        <v>35370</v>
      </c>
      <c r="E864">
        <v>158.6</v>
      </c>
      <c r="F864">
        <v>3.3</v>
      </c>
    </row>
    <row r="865" spans="1:6" hidden="1">
      <c r="A865" t="s">
        <v>12</v>
      </c>
      <c r="B865">
        <v>1996</v>
      </c>
      <c r="C865" t="s">
        <v>24</v>
      </c>
      <c r="D865" s="5">
        <v>35400</v>
      </c>
      <c r="E865">
        <v>158.6</v>
      </c>
      <c r="F865">
        <v>3.3</v>
      </c>
    </row>
    <row r="866" spans="1:6">
      <c r="A866" t="s">
        <v>12</v>
      </c>
      <c r="B866">
        <v>1997</v>
      </c>
      <c r="C866" t="s">
        <v>13</v>
      </c>
      <c r="D866" s="5">
        <v>35431</v>
      </c>
      <c r="E866">
        <v>159.1</v>
      </c>
      <c r="F866">
        <v>3</v>
      </c>
    </row>
    <row r="867" spans="1:6" hidden="1">
      <c r="A867" t="s">
        <v>12</v>
      </c>
      <c r="B867">
        <v>1997</v>
      </c>
      <c r="C867" t="s">
        <v>14</v>
      </c>
      <c r="D867" s="5">
        <v>35462</v>
      </c>
      <c r="E867">
        <v>159.6</v>
      </c>
      <c r="F867">
        <v>3</v>
      </c>
    </row>
    <row r="868" spans="1:6" hidden="1">
      <c r="A868" t="s">
        <v>12</v>
      </c>
      <c r="B868">
        <v>1997</v>
      </c>
      <c r="C868" t="s">
        <v>15</v>
      </c>
      <c r="D868" s="5">
        <v>35490</v>
      </c>
      <c r="E868">
        <v>160</v>
      </c>
      <c r="F868">
        <v>2.8</v>
      </c>
    </row>
    <row r="869" spans="1:6" hidden="1">
      <c r="A869" t="s">
        <v>12</v>
      </c>
      <c r="B869">
        <v>1997</v>
      </c>
      <c r="C869" t="s">
        <v>16</v>
      </c>
      <c r="D869" s="5">
        <v>35521</v>
      </c>
      <c r="E869">
        <v>160.19999999999999</v>
      </c>
      <c r="F869">
        <v>2.5</v>
      </c>
    </row>
    <row r="870" spans="1:6" hidden="1">
      <c r="A870" t="s">
        <v>12</v>
      </c>
      <c r="B870">
        <v>1997</v>
      </c>
      <c r="C870" t="s">
        <v>17</v>
      </c>
      <c r="D870" s="5">
        <v>35551</v>
      </c>
      <c r="E870">
        <v>160.1</v>
      </c>
      <c r="F870">
        <v>2.2000000000000002</v>
      </c>
    </row>
    <row r="871" spans="1:6" hidden="1">
      <c r="A871" t="s">
        <v>12</v>
      </c>
      <c r="B871">
        <v>1997</v>
      </c>
      <c r="C871" t="s">
        <v>18</v>
      </c>
      <c r="D871" s="5">
        <v>35582</v>
      </c>
      <c r="E871">
        <v>160.30000000000001</v>
      </c>
      <c r="F871">
        <v>2.2999999999999998</v>
      </c>
    </row>
    <row r="872" spans="1:6" hidden="1">
      <c r="A872" t="s">
        <v>12</v>
      </c>
      <c r="B872">
        <v>1997</v>
      </c>
      <c r="C872" t="s">
        <v>19</v>
      </c>
      <c r="D872" s="5">
        <v>35612</v>
      </c>
      <c r="E872">
        <v>160.5</v>
      </c>
      <c r="F872">
        <v>2.2000000000000002</v>
      </c>
    </row>
    <row r="873" spans="1:6" hidden="1">
      <c r="A873" t="s">
        <v>12</v>
      </c>
      <c r="B873">
        <v>1997</v>
      </c>
      <c r="C873" t="s">
        <v>20</v>
      </c>
      <c r="D873" s="5">
        <v>35643</v>
      </c>
      <c r="E873">
        <v>160.80000000000001</v>
      </c>
      <c r="F873">
        <v>2.2000000000000002</v>
      </c>
    </row>
    <row r="874" spans="1:6" hidden="1">
      <c r="A874" t="s">
        <v>12</v>
      </c>
      <c r="B874">
        <v>1997</v>
      </c>
      <c r="C874" t="s">
        <v>21</v>
      </c>
      <c r="D874" s="5">
        <v>35674</v>
      </c>
      <c r="E874">
        <v>161.19999999999999</v>
      </c>
      <c r="F874">
        <v>2.2000000000000002</v>
      </c>
    </row>
    <row r="875" spans="1:6" hidden="1">
      <c r="A875" t="s">
        <v>12</v>
      </c>
      <c r="B875">
        <v>1997</v>
      </c>
      <c r="C875" t="s">
        <v>22</v>
      </c>
      <c r="D875" s="5">
        <v>35704</v>
      </c>
      <c r="E875">
        <v>161.6</v>
      </c>
      <c r="F875">
        <v>2.1</v>
      </c>
    </row>
    <row r="876" spans="1:6" hidden="1">
      <c r="A876" t="s">
        <v>12</v>
      </c>
      <c r="B876">
        <v>1997</v>
      </c>
      <c r="C876" t="s">
        <v>23</v>
      </c>
      <c r="D876" s="5">
        <v>35735</v>
      </c>
      <c r="E876">
        <v>161.5</v>
      </c>
      <c r="F876">
        <v>1.8</v>
      </c>
    </row>
    <row r="877" spans="1:6" hidden="1">
      <c r="A877" t="s">
        <v>12</v>
      </c>
      <c r="B877">
        <v>1997</v>
      </c>
      <c r="C877" t="s">
        <v>24</v>
      </c>
      <c r="D877" s="5">
        <v>35765</v>
      </c>
      <c r="E877">
        <v>161.30000000000001</v>
      </c>
      <c r="F877">
        <v>1.7</v>
      </c>
    </row>
    <row r="878" spans="1:6">
      <c r="A878" t="s">
        <v>12</v>
      </c>
      <c r="B878">
        <v>1998</v>
      </c>
      <c r="C878" t="s">
        <v>13</v>
      </c>
      <c r="D878" s="5">
        <v>35796</v>
      </c>
      <c r="E878">
        <v>161.6</v>
      </c>
      <c r="F878">
        <v>1.6</v>
      </c>
    </row>
    <row r="879" spans="1:6" hidden="1">
      <c r="A879" t="s">
        <v>12</v>
      </c>
      <c r="B879">
        <v>1998</v>
      </c>
      <c r="C879" t="s">
        <v>14</v>
      </c>
      <c r="D879" s="5">
        <v>35827</v>
      </c>
      <c r="E879">
        <v>161.9</v>
      </c>
      <c r="F879">
        <v>1.4</v>
      </c>
    </row>
    <row r="880" spans="1:6" hidden="1">
      <c r="A880" t="s">
        <v>12</v>
      </c>
      <c r="B880">
        <v>1998</v>
      </c>
      <c r="C880" t="s">
        <v>15</v>
      </c>
      <c r="D880" s="5">
        <v>35855</v>
      </c>
      <c r="E880">
        <v>162.19999999999999</v>
      </c>
      <c r="F880">
        <v>1.4</v>
      </c>
    </row>
    <row r="881" spans="1:6" hidden="1">
      <c r="A881" t="s">
        <v>12</v>
      </c>
      <c r="B881">
        <v>1998</v>
      </c>
      <c r="C881" t="s">
        <v>16</v>
      </c>
      <c r="D881" s="5">
        <v>35886</v>
      </c>
      <c r="E881">
        <v>162.5</v>
      </c>
      <c r="F881">
        <v>1.4</v>
      </c>
    </row>
    <row r="882" spans="1:6" hidden="1">
      <c r="A882" t="s">
        <v>12</v>
      </c>
      <c r="B882">
        <v>1998</v>
      </c>
      <c r="C882" t="s">
        <v>17</v>
      </c>
      <c r="D882" s="5">
        <v>35916</v>
      </c>
      <c r="E882">
        <v>162.80000000000001</v>
      </c>
      <c r="F882">
        <v>1.7</v>
      </c>
    </row>
    <row r="883" spans="1:6" hidden="1">
      <c r="A883" t="s">
        <v>12</v>
      </c>
      <c r="B883">
        <v>1998</v>
      </c>
      <c r="C883" t="s">
        <v>18</v>
      </c>
      <c r="D883" s="5">
        <v>35947</v>
      </c>
      <c r="E883">
        <v>163</v>
      </c>
      <c r="F883">
        <v>1.7</v>
      </c>
    </row>
    <row r="884" spans="1:6" hidden="1">
      <c r="A884" t="s">
        <v>12</v>
      </c>
      <c r="B884">
        <v>1998</v>
      </c>
      <c r="C884" t="s">
        <v>19</v>
      </c>
      <c r="D884" s="5">
        <v>35977</v>
      </c>
      <c r="E884">
        <v>163.19999999999999</v>
      </c>
      <c r="F884">
        <v>1.7</v>
      </c>
    </row>
    <row r="885" spans="1:6" hidden="1">
      <c r="A885" t="s">
        <v>12</v>
      </c>
      <c r="B885">
        <v>1998</v>
      </c>
      <c r="C885" t="s">
        <v>20</v>
      </c>
      <c r="D885" s="5">
        <v>36008</v>
      </c>
      <c r="E885">
        <v>163.4</v>
      </c>
      <c r="F885">
        <v>1.6</v>
      </c>
    </row>
    <row r="886" spans="1:6" hidden="1">
      <c r="A886" t="s">
        <v>12</v>
      </c>
      <c r="B886">
        <v>1998</v>
      </c>
      <c r="C886" t="s">
        <v>21</v>
      </c>
      <c r="D886" s="5">
        <v>36039</v>
      </c>
      <c r="E886">
        <v>163.6</v>
      </c>
      <c r="F886">
        <v>1.5</v>
      </c>
    </row>
    <row r="887" spans="1:6" hidden="1">
      <c r="A887" t="s">
        <v>12</v>
      </c>
      <c r="B887">
        <v>1998</v>
      </c>
      <c r="C887" t="s">
        <v>22</v>
      </c>
      <c r="D887" s="5">
        <v>36069</v>
      </c>
      <c r="E887">
        <v>164</v>
      </c>
      <c r="F887">
        <v>1.5</v>
      </c>
    </row>
    <row r="888" spans="1:6" hidden="1">
      <c r="A888" t="s">
        <v>12</v>
      </c>
      <c r="B888">
        <v>1998</v>
      </c>
      <c r="C888" t="s">
        <v>23</v>
      </c>
      <c r="D888" s="5">
        <v>36100</v>
      </c>
      <c r="E888">
        <v>164</v>
      </c>
      <c r="F888">
        <v>1.5</v>
      </c>
    </row>
    <row r="889" spans="1:6" hidden="1">
      <c r="A889" t="s">
        <v>12</v>
      </c>
      <c r="B889">
        <v>1998</v>
      </c>
      <c r="C889" t="s">
        <v>24</v>
      </c>
      <c r="D889" s="5">
        <v>36130</v>
      </c>
      <c r="E889">
        <v>163.9</v>
      </c>
      <c r="F889">
        <v>1.6</v>
      </c>
    </row>
    <row r="890" spans="1:6">
      <c r="A890" t="s">
        <v>12</v>
      </c>
      <c r="B890">
        <v>1999</v>
      </c>
      <c r="C890" t="s">
        <v>13</v>
      </c>
      <c r="D890" s="5">
        <v>36161</v>
      </c>
      <c r="E890">
        <v>164.3</v>
      </c>
      <c r="F890">
        <v>1.7</v>
      </c>
    </row>
    <row r="891" spans="1:6" hidden="1">
      <c r="A891" t="s">
        <v>12</v>
      </c>
      <c r="B891">
        <v>1999</v>
      </c>
      <c r="C891" t="s">
        <v>14</v>
      </c>
      <c r="D891" s="5">
        <v>36192</v>
      </c>
      <c r="E891">
        <v>164.5</v>
      </c>
      <c r="F891">
        <v>1.6</v>
      </c>
    </row>
    <row r="892" spans="1:6" hidden="1">
      <c r="A892" t="s">
        <v>12</v>
      </c>
      <c r="B892">
        <v>1999</v>
      </c>
      <c r="C892" t="s">
        <v>15</v>
      </c>
      <c r="D892" s="5">
        <v>36220</v>
      </c>
      <c r="E892">
        <v>165</v>
      </c>
      <c r="F892">
        <v>1.7</v>
      </c>
    </row>
    <row r="893" spans="1:6" hidden="1">
      <c r="A893" t="s">
        <v>12</v>
      </c>
      <c r="B893">
        <v>1999</v>
      </c>
      <c r="C893" t="s">
        <v>16</v>
      </c>
      <c r="D893" s="5">
        <v>36251</v>
      </c>
      <c r="E893">
        <v>166.2</v>
      </c>
      <c r="F893">
        <v>2.2999999999999998</v>
      </c>
    </row>
    <row r="894" spans="1:6" hidden="1">
      <c r="A894" t="s">
        <v>12</v>
      </c>
      <c r="B894">
        <v>1999</v>
      </c>
      <c r="C894" t="s">
        <v>17</v>
      </c>
      <c r="D894" s="5">
        <v>36281</v>
      </c>
      <c r="E894">
        <v>166.2</v>
      </c>
      <c r="F894">
        <v>2.1</v>
      </c>
    </row>
    <row r="895" spans="1:6" hidden="1">
      <c r="A895" t="s">
        <v>12</v>
      </c>
      <c r="B895">
        <v>1999</v>
      </c>
      <c r="C895" t="s">
        <v>18</v>
      </c>
      <c r="D895" s="5">
        <v>36312</v>
      </c>
      <c r="E895">
        <v>166.2</v>
      </c>
      <c r="F895">
        <v>2</v>
      </c>
    </row>
    <row r="896" spans="1:6" hidden="1">
      <c r="A896" t="s">
        <v>12</v>
      </c>
      <c r="B896">
        <v>1999</v>
      </c>
      <c r="C896" t="s">
        <v>19</v>
      </c>
      <c r="D896" s="5">
        <v>36342</v>
      </c>
      <c r="E896">
        <v>166.7</v>
      </c>
      <c r="F896">
        <v>2.1</v>
      </c>
    </row>
    <row r="897" spans="1:6" hidden="1">
      <c r="A897" t="s">
        <v>12</v>
      </c>
      <c r="B897">
        <v>1999</v>
      </c>
      <c r="C897" t="s">
        <v>20</v>
      </c>
      <c r="D897" s="5">
        <v>36373</v>
      </c>
      <c r="E897">
        <v>167.1</v>
      </c>
      <c r="F897">
        <v>2.2999999999999998</v>
      </c>
    </row>
    <row r="898" spans="1:6" hidden="1">
      <c r="A898" t="s">
        <v>12</v>
      </c>
      <c r="B898">
        <v>1999</v>
      </c>
      <c r="C898" t="s">
        <v>21</v>
      </c>
      <c r="D898" s="5">
        <v>36404</v>
      </c>
      <c r="E898">
        <v>167.9</v>
      </c>
      <c r="F898">
        <v>2.6</v>
      </c>
    </row>
    <row r="899" spans="1:6" hidden="1">
      <c r="A899" t="s">
        <v>12</v>
      </c>
      <c r="B899">
        <v>1999</v>
      </c>
      <c r="C899" t="s">
        <v>22</v>
      </c>
      <c r="D899" s="5">
        <v>36434</v>
      </c>
      <c r="E899">
        <v>168.2</v>
      </c>
      <c r="F899">
        <v>2.6</v>
      </c>
    </row>
    <row r="900" spans="1:6" hidden="1">
      <c r="A900" t="s">
        <v>12</v>
      </c>
      <c r="B900">
        <v>1999</v>
      </c>
      <c r="C900" t="s">
        <v>23</v>
      </c>
      <c r="D900" s="5">
        <v>36465</v>
      </c>
      <c r="E900">
        <v>168.3</v>
      </c>
      <c r="F900">
        <v>2.6</v>
      </c>
    </row>
    <row r="901" spans="1:6" hidden="1">
      <c r="A901" t="s">
        <v>12</v>
      </c>
      <c r="B901">
        <v>1999</v>
      </c>
      <c r="C901" t="s">
        <v>24</v>
      </c>
      <c r="D901" s="5">
        <v>36495</v>
      </c>
      <c r="E901">
        <v>168.3</v>
      </c>
      <c r="F901">
        <v>2.7</v>
      </c>
    </row>
    <row r="902" spans="1:6">
      <c r="A902" t="s">
        <v>12</v>
      </c>
      <c r="B902">
        <v>2000</v>
      </c>
      <c r="C902" t="s">
        <v>13</v>
      </c>
      <c r="D902" s="5">
        <v>36526</v>
      </c>
      <c r="E902">
        <v>168.8</v>
      </c>
      <c r="F902">
        <v>2.7</v>
      </c>
    </row>
    <row r="903" spans="1:6" hidden="1">
      <c r="A903" t="s">
        <v>12</v>
      </c>
      <c r="B903">
        <v>2000</v>
      </c>
      <c r="C903" t="s">
        <v>14</v>
      </c>
      <c r="D903" s="5">
        <v>36557</v>
      </c>
      <c r="E903">
        <v>169.8</v>
      </c>
      <c r="F903">
        <v>3.2</v>
      </c>
    </row>
    <row r="904" spans="1:6" hidden="1">
      <c r="A904" t="s">
        <v>12</v>
      </c>
      <c r="B904">
        <v>2000</v>
      </c>
      <c r="C904" t="s">
        <v>15</v>
      </c>
      <c r="D904" s="5">
        <v>36586</v>
      </c>
      <c r="E904">
        <v>171.2</v>
      </c>
      <c r="F904">
        <v>3.8</v>
      </c>
    </row>
    <row r="905" spans="1:6" hidden="1">
      <c r="A905" t="s">
        <v>12</v>
      </c>
      <c r="B905">
        <v>2000</v>
      </c>
      <c r="C905" t="s">
        <v>16</v>
      </c>
      <c r="D905" s="5">
        <v>36617</v>
      </c>
      <c r="E905">
        <v>171.3</v>
      </c>
      <c r="F905">
        <v>3.1</v>
      </c>
    </row>
    <row r="906" spans="1:6" hidden="1">
      <c r="A906" t="s">
        <v>12</v>
      </c>
      <c r="B906">
        <v>2000</v>
      </c>
      <c r="C906" t="s">
        <v>17</v>
      </c>
      <c r="D906" s="5">
        <v>36647</v>
      </c>
      <c r="E906">
        <v>171.5</v>
      </c>
      <c r="F906">
        <v>3.2</v>
      </c>
    </row>
    <row r="907" spans="1:6" hidden="1">
      <c r="A907" t="s">
        <v>12</v>
      </c>
      <c r="B907">
        <v>2000</v>
      </c>
      <c r="C907" t="s">
        <v>18</v>
      </c>
      <c r="D907" s="5">
        <v>36678</v>
      </c>
      <c r="E907">
        <v>172.4</v>
      </c>
      <c r="F907">
        <v>3.7</v>
      </c>
    </row>
    <row r="908" spans="1:6" hidden="1">
      <c r="A908" t="s">
        <v>12</v>
      </c>
      <c r="B908">
        <v>2000</v>
      </c>
      <c r="C908" t="s">
        <v>19</v>
      </c>
      <c r="D908" s="5">
        <v>36708</v>
      </c>
      <c r="E908">
        <v>172.8</v>
      </c>
      <c r="F908">
        <v>3.7</v>
      </c>
    </row>
    <row r="909" spans="1:6" hidden="1">
      <c r="A909" t="s">
        <v>12</v>
      </c>
      <c r="B909">
        <v>2000</v>
      </c>
      <c r="C909" t="s">
        <v>20</v>
      </c>
      <c r="D909" s="5">
        <v>36739</v>
      </c>
      <c r="E909">
        <v>172.8</v>
      </c>
      <c r="F909">
        <v>3.4</v>
      </c>
    </row>
    <row r="910" spans="1:6" hidden="1">
      <c r="A910" t="s">
        <v>12</v>
      </c>
      <c r="B910">
        <v>2000</v>
      </c>
      <c r="C910" t="s">
        <v>21</v>
      </c>
      <c r="D910" s="5">
        <v>36770</v>
      </c>
      <c r="E910">
        <v>173.7</v>
      </c>
      <c r="F910">
        <v>3.5</v>
      </c>
    </row>
    <row r="911" spans="1:6" hidden="1">
      <c r="A911" t="s">
        <v>12</v>
      </c>
      <c r="B911">
        <v>2000</v>
      </c>
      <c r="C911" t="s">
        <v>22</v>
      </c>
      <c r="D911" s="5">
        <v>36800</v>
      </c>
      <c r="E911">
        <v>174</v>
      </c>
      <c r="F911">
        <v>3.4</v>
      </c>
    </row>
    <row r="912" spans="1:6" hidden="1">
      <c r="A912" t="s">
        <v>12</v>
      </c>
      <c r="B912">
        <v>2000</v>
      </c>
      <c r="C912" t="s">
        <v>23</v>
      </c>
      <c r="D912" s="5">
        <v>36831</v>
      </c>
      <c r="E912">
        <v>174.1</v>
      </c>
      <c r="F912">
        <v>3.4</v>
      </c>
    </row>
    <row r="913" spans="1:6" hidden="1">
      <c r="A913" t="s">
        <v>12</v>
      </c>
      <c r="B913">
        <v>2000</v>
      </c>
      <c r="C913" t="s">
        <v>24</v>
      </c>
      <c r="D913" s="5">
        <v>36861</v>
      </c>
      <c r="E913">
        <v>174</v>
      </c>
      <c r="F913">
        <v>3.4</v>
      </c>
    </row>
    <row r="914" spans="1:6">
      <c r="A914" t="s">
        <v>12</v>
      </c>
      <c r="B914">
        <v>2001</v>
      </c>
      <c r="C914" t="s">
        <v>13</v>
      </c>
      <c r="D914" s="5">
        <v>36892</v>
      </c>
      <c r="E914">
        <v>175.1</v>
      </c>
      <c r="F914">
        <v>3.7</v>
      </c>
    </row>
    <row r="915" spans="1:6" hidden="1">
      <c r="A915" t="s">
        <v>12</v>
      </c>
      <c r="B915">
        <v>2001</v>
      </c>
      <c r="C915" t="s">
        <v>14</v>
      </c>
      <c r="D915" s="5">
        <v>36923</v>
      </c>
      <c r="E915">
        <v>175.8</v>
      </c>
      <c r="F915">
        <v>3.5</v>
      </c>
    </row>
    <row r="916" spans="1:6" hidden="1">
      <c r="A916" t="s">
        <v>12</v>
      </c>
      <c r="B916">
        <v>2001</v>
      </c>
      <c r="C916" t="s">
        <v>15</v>
      </c>
      <c r="D916" s="5">
        <v>36951</v>
      </c>
      <c r="E916">
        <v>176.2</v>
      </c>
      <c r="F916">
        <v>2.9</v>
      </c>
    </row>
    <row r="917" spans="1:6" hidden="1">
      <c r="A917" t="s">
        <v>12</v>
      </c>
      <c r="B917">
        <v>2001</v>
      </c>
      <c r="C917" t="s">
        <v>16</v>
      </c>
      <c r="D917" s="5">
        <v>36982</v>
      </c>
      <c r="E917">
        <v>176.9</v>
      </c>
      <c r="F917">
        <v>3.3</v>
      </c>
    </row>
    <row r="918" spans="1:6" hidden="1">
      <c r="A918" t="s">
        <v>12</v>
      </c>
      <c r="B918">
        <v>2001</v>
      </c>
      <c r="C918" t="s">
        <v>17</v>
      </c>
      <c r="D918" s="5">
        <v>37012</v>
      </c>
      <c r="E918">
        <v>177.7</v>
      </c>
      <c r="F918">
        <v>3.6</v>
      </c>
    </row>
    <row r="919" spans="1:6" hidden="1">
      <c r="A919" t="s">
        <v>12</v>
      </c>
      <c r="B919">
        <v>2001</v>
      </c>
      <c r="C919" t="s">
        <v>18</v>
      </c>
      <c r="D919" s="5">
        <v>37043</v>
      </c>
      <c r="E919">
        <v>178</v>
      </c>
      <c r="F919">
        <v>3.2</v>
      </c>
    </row>
    <row r="920" spans="1:6" hidden="1">
      <c r="A920" t="s">
        <v>12</v>
      </c>
      <c r="B920">
        <v>2001</v>
      </c>
      <c r="C920" t="s">
        <v>19</v>
      </c>
      <c r="D920" s="5">
        <v>37073</v>
      </c>
      <c r="E920">
        <v>177.5</v>
      </c>
      <c r="F920">
        <v>2.7</v>
      </c>
    </row>
    <row r="921" spans="1:6" hidden="1">
      <c r="A921" t="s">
        <v>12</v>
      </c>
      <c r="B921">
        <v>2001</v>
      </c>
      <c r="C921" t="s">
        <v>20</v>
      </c>
      <c r="D921" s="5">
        <v>37104</v>
      </c>
      <c r="E921">
        <v>177.5</v>
      </c>
      <c r="F921">
        <v>2.7</v>
      </c>
    </row>
    <row r="922" spans="1:6" hidden="1">
      <c r="A922" t="s">
        <v>12</v>
      </c>
      <c r="B922">
        <v>2001</v>
      </c>
      <c r="C922" t="s">
        <v>21</v>
      </c>
      <c r="D922" s="5">
        <v>37135</v>
      </c>
      <c r="E922">
        <v>178.3</v>
      </c>
      <c r="F922">
        <v>2.6</v>
      </c>
    </row>
    <row r="923" spans="1:6" hidden="1">
      <c r="A923" t="s">
        <v>12</v>
      </c>
      <c r="B923">
        <v>2001</v>
      </c>
      <c r="C923" t="s">
        <v>22</v>
      </c>
      <c r="D923" s="5">
        <v>37165</v>
      </c>
      <c r="E923">
        <v>177.7</v>
      </c>
      <c r="F923">
        <v>2.1</v>
      </c>
    </row>
    <row r="924" spans="1:6" hidden="1">
      <c r="A924" t="s">
        <v>12</v>
      </c>
      <c r="B924">
        <v>2001</v>
      </c>
      <c r="C924" t="s">
        <v>23</v>
      </c>
      <c r="D924" s="5">
        <v>37196</v>
      </c>
      <c r="E924">
        <v>177.4</v>
      </c>
      <c r="F924">
        <v>1.9</v>
      </c>
    </row>
    <row r="925" spans="1:6" hidden="1">
      <c r="A925" t="s">
        <v>12</v>
      </c>
      <c r="B925">
        <v>2001</v>
      </c>
      <c r="C925" t="s">
        <v>24</v>
      </c>
      <c r="D925" s="5">
        <v>37226</v>
      </c>
      <c r="E925">
        <v>176.7</v>
      </c>
      <c r="F925">
        <v>1.6</v>
      </c>
    </row>
    <row r="926" spans="1:6">
      <c r="A926" t="s">
        <v>12</v>
      </c>
      <c r="B926">
        <v>2002</v>
      </c>
      <c r="C926" t="s">
        <v>13</v>
      </c>
      <c r="D926" s="5">
        <v>37257</v>
      </c>
      <c r="E926">
        <v>177.1</v>
      </c>
      <c r="F926">
        <v>1.1000000000000001</v>
      </c>
    </row>
    <row r="927" spans="1:6" hidden="1">
      <c r="A927" t="s">
        <v>12</v>
      </c>
      <c r="B927">
        <v>2002</v>
      </c>
      <c r="C927" t="s">
        <v>14</v>
      </c>
      <c r="D927" s="5">
        <v>37288</v>
      </c>
      <c r="E927">
        <v>177.8</v>
      </c>
      <c r="F927">
        <v>1.1000000000000001</v>
      </c>
    </row>
    <row r="928" spans="1:6" hidden="1">
      <c r="A928" t="s">
        <v>12</v>
      </c>
      <c r="B928">
        <v>2002</v>
      </c>
      <c r="C928" t="s">
        <v>15</v>
      </c>
      <c r="D928" s="5">
        <v>37316</v>
      </c>
      <c r="E928">
        <v>178.8</v>
      </c>
      <c r="F928">
        <v>1.5</v>
      </c>
    </row>
    <row r="929" spans="1:6" hidden="1">
      <c r="A929" t="s">
        <v>12</v>
      </c>
      <c r="B929">
        <v>2002</v>
      </c>
      <c r="C929" t="s">
        <v>16</v>
      </c>
      <c r="D929" s="5">
        <v>37347</v>
      </c>
      <c r="E929">
        <v>179.8</v>
      </c>
      <c r="F929">
        <v>1.6</v>
      </c>
    </row>
    <row r="930" spans="1:6" hidden="1">
      <c r="A930" t="s">
        <v>12</v>
      </c>
      <c r="B930">
        <v>2002</v>
      </c>
      <c r="C930" t="s">
        <v>17</v>
      </c>
      <c r="D930" s="5">
        <v>37377</v>
      </c>
      <c r="E930">
        <v>179.8</v>
      </c>
      <c r="F930">
        <v>1.2</v>
      </c>
    </row>
    <row r="931" spans="1:6" hidden="1">
      <c r="A931" t="s">
        <v>12</v>
      </c>
      <c r="B931">
        <v>2002</v>
      </c>
      <c r="C931" t="s">
        <v>18</v>
      </c>
      <c r="D931" s="5">
        <v>37408</v>
      </c>
      <c r="E931">
        <v>179.9</v>
      </c>
      <c r="F931">
        <v>1.1000000000000001</v>
      </c>
    </row>
    <row r="932" spans="1:6" hidden="1">
      <c r="A932" t="s">
        <v>12</v>
      </c>
      <c r="B932">
        <v>2002</v>
      </c>
      <c r="C932" t="s">
        <v>19</v>
      </c>
      <c r="D932" s="5">
        <v>37438</v>
      </c>
      <c r="E932">
        <v>180.1</v>
      </c>
      <c r="F932">
        <v>1.5</v>
      </c>
    </row>
    <row r="933" spans="1:6" hidden="1">
      <c r="A933" t="s">
        <v>12</v>
      </c>
      <c r="B933">
        <v>2002</v>
      </c>
      <c r="C933" t="s">
        <v>20</v>
      </c>
      <c r="D933" s="5">
        <v>37469</v>
      </c>
      <c r="E933">
        <v>180.7</v>
      </c>
      <c r="F933">
        <v>1.8</v>
      </c>
    </row>
    <row r="934" spans="1:6" hidden="1">
      <c r="A934" t="s">
        <v>12</v>
      </c>
      <c r="B934">
        <v>2002</v>
      </c>
      <c r="C934" t="s">
        <v>21</v>
      </c>
      <c r="D934" s="5">
        <v>37500</v>
      </c>
      <c r="E934">
        <v>181</v>
      </c>
      <c r="F934">
        <v>1.5</v>
      </c>
    </row>
    <row r="935" spans="1:6" hidden="1">
      <c r="A935" t="s">
        <v>12</v>
      </c>
      <c r="B935">
        <v>2002</v>
      </c>
      <c r="C935" t="s">
        <v>22</v>
      </c>
      <c r="D935" s="5">
        <v>37530</v>
      </c>
      <c r="E935">
        <v>181.3</v>
      </c>
      <c r="F935">
        <v>2</v>
      </c>
    </row>
    <row r="936" spans="1:6" hidden="1">
      <c r="A936" t="s">
        <v>12</v>
      </c>
      <c r="B936">
        <v>2002</v>
      </c>
      <c r="C936" t="s">
        <v>23</v>
      </c>
      <c r="D936" s="5">
        <v>37561</v>
      </c>
      <c r="E936">
        <v>181.3</v>
      </c>
      <c r="F936">
        <v>2.2000000000000002</v>
      </c>
    </row>
    <row r="937" spans="1:6" hidden="1">
      <c r="A937" t="s">
        <v>12</v>
      </c>
      <c r="B937">
        <v>2002</v>
      </c>
      <c r="C937" t="s">
        <v>24</v>
      </c>
      <c r="D937" s="5">
        <v>37591</v>
      </c>
      <c r="E937">
        <v>180.9</v>
      </c>
      <c r="F937">
        <v>2.4</v>
      </c>
    </row>
    <row r="938" spans="1:6">
      <c r="A938" t="s">
        <v>12</v>
      </c>
      <c r="B938">
        <v>2003</v>
      </c>
      <c r="C938" t="s">
        <v>13</v>
      </c>
      <c r="D938" s="5">
        <v>37622</v>
      </c>
      <c r="E938">
        <v>181.7</v>
      </c>
      <c r="F938">
        <v>2.6</v>
      </c>
    </row>
    <row r="939" spans="1:6" hidden="1">
      <c r="A939" t="s">
        <v>12</v>
      </c>
      <c r="B939">
        <v>2003</v>
      </c>
      <c r="C939" t="s">
        <v>14</v>
      </c>
      <c r="D939" s="5">
        <v>37653</v>
      </c>
      <c r="E939">
        <v>183.1</v>
      </c>
      <c r="F939">
        <v>3</v>
      </c>
    </row>
    <row r="940" spans="1:6" hidden="1">
      <c r="A940" t="s">
        <v>12</v>
      </c>
      <c r="B940">
        <v>2003</v>
      </c>
      <c r="C940" t="s">
        <v>15</v>
      </c>
      <c r="D940" s="5">
        <v>37681</v>
      </c>
      <c r="E940">
        <v>184.2</v>
      </c>
      <c r="F940">
        <v>3</v>
      </c>
    </row>
    <row r="941" spans="1:6" hidden="1">
      <c r="A941" t="s">
        <v>12</v>
      </c>
      <c r="B941">
        <v>2003</v>
      </c>
      <c r="C941" t="s">
        <v>16</v>
      </c>
      <c r="D941" s="5">
        <v>37712</v>
      </c>
      <c r="E941">
        <v>183.8</v>
      </c>
      <c r="F941">
        <v>2.2000000000000002</v>
      </c>
    </row>
    <row r="942" spans="1:6" hidden="1">
      <c r="A942" t="s">
        <v>12</v>
      </c>
      <c r="B942">
        <v>2003</v>
      </c>
      <c r="C942" t="s">
        <v>17</v>
      </c>
      <c r="D942" s="5">
        <v>37742</v>
      </c>
      <c r="E942">
        <v>183.5</v>
      </c>
      <c r="F942">
        <v>2.1</v>
      </c>
    </row>
    <row r="943" spans="1:6" hidden="1">
      <c r="A943" t="s">
        <v>12</v>
      </c>
      <c r="B943">
        <v>2003</v>
      </c>
      <c r="C943" t="s">
        <v>18</v>
      </c>
      <c r="D943" s="5">
        <v>37773</v>
      </c>
      <c r="E943">
        <v>183.7</v>
      </c>
      <c r="F943">
        <v>2.1</v>
      </c>
    </row>
    <row r="944" spans="1:6" hidden="1">
      <c r="A944" t="s">
        <v>12</v>
      </c>
      <c r="B944">
        <v>2003</v>
      </c>
      <c r="C944" t="s">
        <v>19</v>
      </c>
      <c r="D944" s="5">
        <v>37803</v>
      </c>
      <c r="E944">
        <v>183.9</v>
      </c>
      <c r="F944">
        <v>2.1</v>
      </c>
    </row>
    <row r="945" spans="1:6" hidden="1">
      <c r="A945" t="s">
        <v>12</v>
      </c>
      <c r="B945">
        <v>2003</v>
      </c>
      <c r="C945" t="s">
        <v>20</v>
      </c>
      <c r="D945" s="5">
        <v>37834</v>
      </c>
      <c r="E945">
        <v>184.6</v>
      </c>
      <c r="F945">
        <v>2.2000000000000002</v>
      </c>
    </row>
    <row r="946" spans="1:6" hidden="1">
      <c r="A946" t="s">
        <v>12</v>
      </c>
      <c r="B946">
        <v>2003</v>
      </c>
      <c r="C946" t="s">
        <v>21</v>
      </c>
      <c r="D946" s="5">
        <v>37865</v>
      </c>
      <c r="E946">
        <v>185.2</v>
      </c>
      <c r="F946">
        <v>2.2999999999999998</v>
      </c>
    </row>
    <row r="947" spans="1:6" hidden="1">
      <c r="A947" t="s">
        <v>12</v>
      </c>
      <c r="B947">
        <v>2003</v>
      </c>
      <c r="C947" t="s">
        <v>22</v>
      </c>
      <c r="D947" s="5">
        <v>37895</v>
      </c>
      <c r="E947">
        <v>185</v>
      </c>
      <c r="F947">
        <v>2</v>
      </c>
    </row>
    <row r="948" spans="1:6" hidden="1">
      <c r="A948" t="s">
        <v>12</v>
      </c>
      <c r="B948">
        <v>2003</v>
      </c>
      <c r="C948" t="s">
        <v>23</v>
      </c>
      <c r="D948" s="5">
        <v>37926</v>
      </c>
      <c r="E948">
        <v>184.5</v>
      </c>
      <c r="F948">
        <v>1.8</v>
      </c>
    </row>
    <row r="949" spans="1:6" hidden="1">
      <c r="A949" t="s">
        <v>12</v>
      </c>
      <c r="B949">
        <v>2003</v>
      </c>
      <c r="C949" t="s">
        <v>24</v>
      </c>
      <c r="D949" s="5">
        <v>37956</v>
      </c>
      <c r="E949">
        <v>184.3</v>
      </c>
      <c r="F949">
        <v>1.9</v>
      </c>
    </row>
    <row r="950" spans="1:6">
      <c r="A950" t="s">
        <v>12</v>
      </c>
      <c r="B950">
        <v>2004</v>
      </c>
      <c r="C950" t="s">
        <v>13</v>
      </c>
      <c r="D950" s="5">
        <v>37987</v>
      </c>
      <c r="E950">
        <v>185.2</v>
      </c>
      <c r="F950">
        <v>1.9</v>
      </c>
    </row>
    <row r="951" spans="1:6" hidden="1">
      <c r="A951" t="s">
        <v>12</v>
      </c>
      <c r="B951">
        <v>2004</v>
      </c>
      <c r="C951" t="s">
        <v>14</v>
      </c>
      <c r="D951" s="5">
        <v>38018</v>
      </c>
      <c r="E951">
        <v>186.2</v>
      </c>
      <c r="F951">
        <v>1.7</v>
      </c>
    </row>
    <row r="952" spans="1:6" hidden="1">
      <c r="A952" t="s">
        <v>12</v>
      </c>
      <c r="B952">
        <v>2004</v>
      </c>
      <c r="C952" t="s">
        <v>15</v>
      </c>
      <c r="D952" s="5">
        <v>38047</v>
      </c>
      <c r="E952">
        <v>187.4</v>
      </c>
      <c r="F952">
        <v>1.7</v>
      </c>
    </row>
    <row r="953" spans="1:6" hidden="1">
      <c r="A953" t="s">
        <v>12</v>
      </c>
      <c r="B953">
        <v>2004</v>
      </c>
      <c r="C953" t="s">
        <v>16</v>
      </c>
      <c r="D953" s="5">
        <v>38078</v>
      </c>
      <c r="E953">
        <v>188</v>
      </c>
      <c r="F953">
        <v>2.2999999999999998</v>
      </c>
    </row>
    <row r="954" spans="1:6" hidden="1">
      <c r="A954" t="s">
        <v>12</v>
      </c>
      <c r="B954">
        <v>2004</v>
      </c>
      <c r="C954" t="s">
        <v>17</v>
      </c>
      <c r="D954" s="5">
        <v>38108</v>
      </c>
      <c r="E954">
        <v>189.1</v>
      </c>
      <c r="F954">
        <v>3.1</v>
      </c>
    </row>
    <row r="955" spans="1:6" hidden="1">
      <c r="A955" t="s">
        <v>12</v>
      </c>
      <c r="B955">
        <v>2004</v>
      </c>
      <c r="C955" t="s">
        <v>18</v>
      </c>
      <c r="D955" s="5">
        <v>38139</v>
      </c>
      <c r="E955">
        <v>189.7</v>
      </c>
      <c r="F955">
        <v>3.3</v>
      </c>
    </row>
    <row r="956" spans="1:6" hidden="1">
      <c r="A956" t="s">
        <v>12</v>
      </c>
      <c r="B956">
        <v>2004</v>
      </c>
      <c r="C956" t="s">
        <v>19</v>
      </c>
      <c r="D956" s="5">
        <v>38169</v>
      </c>
      <c r="E956">
        <v>189.4</v>
      </c>
      <c r="F956">
        <v>3</v>
      </c>
    </row>
    <row r="957" spans="1:6" hidden="1">
      <c r="A957" t="s">
        <v>12</v>
      </c>
      <c r="B957">
        <v>2004</v>
      </c>
      <c r="C957" t="s">
        <v>20</v>
      </c>
      <c r="D957" s="5">
        <v>38200</v>
      </c>
      <c r="E957">
        <v>189.5</v>
      </c>
      <c r="F957">
        <v>2.7</v>
      </c>
    </row>
    <row r="958" spans="1:6" hidden="1">
      <c r="A958" t="s">
        <v>12</v>
      </c>
      <c r="B958">
        <v>2004</v>
      </c>
      <c r="C958" t="s">
        <v>21</v>
      </c>
      <c r="D958" s="5">
        <v>38231</v>
      </c>
      <c r="E958">
        <v>189.9</v>
      </c>
      <c r="F958">
        <v>2.5</v>
      </c>
    </row>
    <row r="959" spans="1:6" hidden="1">
      <c r="A959" t="s">
        <v>12</v>
      </c>
      <c r="B959">
        <v>2004</v>
      </c>
      <c r="C959" t="s">
        <v>22</v>
      </c>
      <c r="D959" s="5">
        <v>38261</v>
      </c>
      <c r="E959">
        <v>190.9</v>
      </c>
      <c r="F959">
        <v>3.2</v>
      </c>
    </row>
    <row r="960" spans="1:6" hidden="1">
      <c r="A960" t="s">
        <v>12</v>
      </c>
      <c r="B960">
        <v>2004</v>
      </c>
      <c r="C960" t="s">
        <v>23</v>
      </c>
      <c r="D960" s="5">
        <v>38292</v>
      </c>
      <c r="E960">
        <v>191</v>
      </c>
      <c r="F960">
        <v>3.5</v>
      </c>
    </row>
    <row r="961" spans="1:6" hidden="1">
      <c r="A961" t="s">
        <v>12</v>
      </c>
      <c r="B961">
        <v>2004</v>
      </c>
      <c r="C961" t="s">
        <v>24</v>
      </c>
      <c r="D961" s="5">
        <v>38322</v>
      </c>
      <c r="E961">
        <v>190.3</v>
      </c>
      <c r="F961">
        <v>3.3</v>
      </c>
    </row>
    <row r="962" spans="1:6">
      <c r="A962" t="s">
        <v>12</v>
      </c>
      <c r="B962">
        <v>2005</v>
      </c>
      <c r="C962" t="s">
        <v>13</v>
      </c>
      <c r="D962" s="5">
        <v>38353</v>
      </c>
      <c r="E962">
        <v>190.7</v>
      </c>
      <c r="F962">
        <v>3</v>
      </c>
    </row>
    <row r="963" spans="1:6" hidden="1">
      <c r="A963" t="s">
        <v>12</v>
      </c>
      <c r="B963">
        <v>2005</v>
      </c>
      <c r="C963" t="s">
        <v>14</v>
      </c>
      <c r="D963" s="5">
        <v>38384</v>
      </c>
      <c r="E963">
        <v>191.8</v>
      </c>
      <c r="F963">
        <v>3</v>
      </c>
    </row>
    <row r="964" spans="1:6" hidden="1">
      <c r="A964" t="s">
        <v>12</v>
      </c>
      <c r="B964">
        <v>2005</v>
      </c>
      <c r="C964" t="s">
        <v>15</v>
      </c>
      <c r="D964" s="5">
        <v>38412</v>
      </c>
      <c r="E964">
        <v>193.3</v>
      </c>
      <c r="F964">
        <v>3.1</v>
      </c>
    </row>
    <row r="965" spans="1:6" hidden="1">
      <c r="A965" t="s">
        <v>12</v>
      </c>
      <c r="B965">
        <v>2005</v>
      </c>
      <c r="C965" t="s">
        <v>16</v>
      </c>
      <c r="D965" s="5">
        <v>38443</v>
      </c>
      <c r="E965">
        <v>194.6</v>
      </c>
      <c r="F965">
        <v>3.5</v>
      </c>
    </row>
    <row r="966" spans="1:6" hidden="1">
      <c r="A966" t="s">
        <v>12</v>
      </c>
      <c r="B966">
        <v>2005</v>
      </c>
      <c r="C966" t="s">
        <v>17</v>
      </c>
      <c r="D966" s="5">
        <v>38473</v>
      </c>
      <c r="E966">
        <v>194.4</v>
      </c>
      <c r="F966">
        <v>2.8</v>
      </c>
    </row>
    <row r="967" spans="1:6" hidden="1">
      <c r="A967" t="s">
        <v>12</v>
      </c>
      <c r="B967">
        <v>2005</v>
      </c>
      <c r="C967" t="s">
        <v>18</v>
      </c>
      <c r="D967" s="5">
        <v>38504</v>
      </c>
      <c r="E967">
        <v>194.5</v>
      </c>
      <c r="F967">
        <v>2.5</v>
      </c>
    </row>
    <row r="968" spans="1:6" hidden="1">
      <c r="A968" t="s">
        <v>12</v>
      </c>
      <c r="B968">
        <v>2005</v>
      </c>
      <c r="C968" t="s">
        <v>19</v>
      </c>
      <c r="D968" s="5">
        <v>38534</v>
      </c>
      <c r="E968">
        <v>195.4</v>
      </c>
      <c r="F968">
        <v>3.2</v>
      </c>
    </row>
    <row r="969" spans="1:6" hidden="1">
      <c r="A969" t="s">
        <v>12</v>
      </c>
      <c r="B969">
        <v>2005</v>
      </c>
      <c r="C969" t="s">
        <v>20</v>
      </c>
      <c r="D969" s="5">
        <v>38565</v>
      </c>
      <c r="E969">
        <v>196.4</v>
      </c>
      <c r="F969">
        <v>3.6</v>
      </c>
    </row>
    <row r="970" spans="1:6" hidden="1">
      <c r="A970" t="s">
        <v>12</v>
      </c>
      <c r="B970">
        <v>2005</v>
      </c>
      <c r="C970" t="s">
        <v>21</v>
      </c>
      <c r="D970" s="5">
        <v>38596</v>
      </c>
      <c r="E970">
        <v>198.8</v>
      </c>
      <c r="F970">
        <v>4.7</v>
      </c>
    </row>
    <row r="971" spans="1:6" hidden="1">
      <c r="A971" t="s">
        <v>12</v>
      </c>
      <c r="B971">
        <v>2005</v>
      </c>
      <c r="C971" t="s">
        <v>22</v>
      </c>
      <c r="D971" s="5">
        <v>38626</v>
      </c>
      <c r="E971">
        <v>199.2</v>
      </c>
      <c r="F971">
        <v>4.3</v>
      </c>
    </row>
    <row r="972" spans="1:6" hidden="1">
      <c r="A972" t="s">
        <v>12</v>
      </c>
      <c r="B972">
        <v>2005</v>
      </c>
      <c r="C972" t="s">
        <v>23</v>
      </c>
      <c r="D972" s="5">
        <v>38657</v>
      </c>
      <c r="E972">
        <v>197.6</v>
      </c>
      <c r="F972">
        <v>3.5</v>
      </c>
    </row>
    <row r="973" spans="1:6" hidden="1">
      <c r="A973" t="s">
        <v>12</v>
      </c>
      <c r="B973">
        <v>2005</v>
      </c>
      <c r="C973" t="s">
        <v>24</v>
      </c>
      <c r="D973" s="5">
        <v>38687</v>
      </c>
      <c r="E973">
        <v>196.8</v>
      </c>
      <c r="F973">
        <v>3.4</v>
      </c>
    </row>
    <row r="974" spans="1:6">
      <c r="A974" t="s">
        <v>12</v>
      </c>
      <c r="B974">
        <v>2006</v>
      </c>
      <c r="C974" t="s">
        <v>13</v>
      </c>
      <c r="D974" s="5">
        <v>38718</v>
      </c>
      <c r="E974">
        <v>198.3</v>
      </c>
      <c r="F974">
        <v>4</v>
      </c>
    </row>
    <row r="975" spans="1:6" hidden="1">
      <c r="A975" t="s">
        <v>12</v>
      </c>
      <c r="B975">
        <v>2006</v>
      </c>
      <c r="C975" t="s">
        <v>14</v>
      </c>
      <c r="D975" s="5">
        <v>38749</v>
      </c>
      <c r="E975">
        <v>198.7</v>
      </c>
      <c r="F975">
        <v>3.6</v>
      </c>
    </row>
    <row r="976" spans="1:6" hidden="1">
      <c r="A976" t="s">
        <v>12</v>
      </c>
      <c r="B976">
        <v>2006</v>
      </c>
      <c r="C976" t="s">
        <v>15</v>
      </c>
      <c r="D976" s="5">
        <v>38777</v>
      </c>
      <c r="E976">
        <v>199.8</v>
      </c>
      <c r="F976">
        <v>3.4</v>
      </c>
    </row>
    <row r="977" spans="1:6" hidden="1">
      <c r="A977" t="s">
        <v>12</v>
      </c>
      <c r="B977">
        <v>2006</v>
      </c>
      <c r="C977" t="s">
        <v>16</v>
      </c>
      <c r="D977" s="5">
        <v>38808</v>
      </c>
      <c r="E977">
        <v>201.5</v>
      </c>
      <c r="F977">
        <v>3.5</v>
      </c>
    </row>
    <row r="978" spans="1:6" hidden="1">
      <c r="A978" t="s">
        <v>12</v>
      </c>
      <c r="B978">
        <v>2006</v>
      </c>
      <c r="C978" t="s">
        <v>17</v>
      </c>
      <c r="D978" s="5">
        <v>38838</v>
      </c>
      <c r="E978">
        <v>202.5</v>
      </c>
      <c r="F978">
        <v>4.2</v>
      </c>
    </row>
    <row r="979" spans="1:6" hidden="1">
      <c r="A979" t="s">
        <v>12</v>
      </c>
      <c r="B979">
        <v>2006</v>
      </c>
      <c r="C979" t="s">
        <v>18</v>
      </c>
      <c r="D979" s="5">
        <v>38869</v>
      </c>
      <c r="E979">
        <v>202.9</v>
      </c>
      <c r="F979">
        <v>4.3</v>
      </c>
    </row>
    <row r="980" spans="1:6" hidden="1">
      <c r="A980" t="s">
        <v>12</v>
      </c>
      <c r="B980">
        <v>2006</v>
      </c>
      <c r="C980" t="s">
        <v>19</v>
      </c>
      <c r="D980" s="5">
        <v>38899</v>
      </c>
      <c r="E980">
        <v>203.5</v>
      </c>
      <c r="F980">
        <v>4.0999999999999996</v>
      </c>
    </row>
    <row r="981" spans="1:6" hidden="1">
      <c r="A981" t="s">
        <v>12</v>
      </c>
      <c r="B981">
        <v>2006</v>
      </c>
      <c r="C981" t="s">
        <v>20</v>
      </c>
      <c r="D981" s="5">
        <v>38930</v>
      </c>
      <c r="E981">
        <v>203.9</v>
      </c>
      <c r="F981">
        <v>3.8</v>
      </c>
    </row>
    <row r="982" spans="1:6" hidden="1">
      <c r="A982" t="s">
        <v>12</v>
      </c>
      <c r="B982">
        <v>2006</v>
      </c>
      <c r="C982" t="s">
        <v>21</v>
      </c>
      <c r="D982" s="5">
        <v>38961</v>
      </c>
      <c r="E982">
        <v>202.9</v>
      </c>
      <c r="F982">
        <v>2.1</v>
      </c>
    </row>
    <row r="983" spans="1:6" hidden="1">
      <c r="A983" t="s">
        <v>12</v>
      </c>
      <c r="B983">
        <v>2006</v>
      </c>
      <c r="C983" t="s">
        <v>22</v>
      </c>
      <c r="D983" s="5">
        <v>38991</v>
      </c>
      <c r="E983">
        <v>201.8</v>
      </c>
      <c r="F983">
        <v>1.3</v>
      </c>
    </row>
    <row r="984" spans="1:6" hidden="1">
      <c r="A984" t="s">
        <v>12</v>
      </c>
      <c r="B984">
        <v>2006</v>
      </c>
      <c r="C984" t="s">
        <v>23</v>
      </c>
      <c r="D984" s="5">
        <v>39022</v>
      </c>
      <c r="E984">
        <v>201.5</v>
      </c>
      <c r="F984">
        <v>2</v>
      </c>
    </row>
    <row r="985" spans="1:6" hidden="1">
      <c r="A985" t="s">
        <v>12</v>
      </c>
      <c r="B985">
        <v>2006</v>
      </c>
      <c r="C985" t="s">
        <v>24</v>
      </c>
      <c r="D985" s="5">
        <v>39052</v>
      </c>
      <c r="E985">
        <v>201.8</v>
      </c>
      <c r="F985">
        <v>2.5</v>
      </c>
    </row>
    <row r="986" spans="1:6">
      <c r="A986" t="s">
        <v>12</v>
      </c>
      <c r="B986">
        <v>2007</v>
      </c>
      <c r="C986" t="s">
        <v>13</v>
      </c>
      <c r="D986" s="5">
        <v>39083</v>
      </c>
      <c r="E986">
        <v>202.416</v>
      </c>
      <c r="F986">
        <v>2.1</v>
      </c>
    </row>
    <row r="987" spans="1:6" hidden="1">
      <c r="A987" t="s">
        <v>12</v>
      </c>
      <c r="B987">
        <v>2007</v>
      </c>
      <c r="C987" t="s">
        <v>14</v>
      </c>
      <c r="D987" s="5">
        <v>39114</v>
      </c>
      <c r="E987">
        <v>203.499</v>
      </c>
      <c r="F987">
        <v>2.4</v>
      </c>
    </row>
    <row r="988" spans="1:6" hidden="1">
      <c r="A988" t="s">
        <v>12</v>
      </c>
      <c r="B988">
        <v>2007</v>
      </c>
      <c r="C988" t="s">
        <v>15</v>
      </c>
      <c r="D988" s="5">
        <v>39142</v>
      </c>
      <c r="E988">
        <v>205.352</v>
      </c>
      <c r="F988">
        <v>2.8</v>
      </c>
    </row>
    <row r="989" spans="1:6" hidden="1">
      <c r="A989" t="s">
        <v>12</v>
      </c>
      <c r="B989">
        <v>2007</v>
      </c>
      <c r="C989" t="s">
        <v>16</v>
      </c>
      <c r="D989" s="5">
        <v>39173</v>
      </c>
      <c r="E989">
        <v>206.68600000000001</v>
      </c>
      <c r="F989">
        <v>2.6</v>
      </c>
    </row>
    <row r="990" spans="1:6" hidden="1">
      <c r="A990" t="s">
        <v>12</v>
      </c>
      <c r="B990">
        <v>2007</v>
      </c>
      <c r="C990" t="s">
        <v>17</v>
      </c>
      <c r="D990" s="5">
        <v>39203</v>
      </c>
      <c r="E990">
        <v>207.94900000000001</v>
      </c>
      <c r="F990">
        <v>2.7</v>
      </c>
    </row>
    <row r="991" spans="1:6" hidden="1">
      <c r="A991" t="s">
        <v>12</v>
      </c>
      <c r="B991">
        <v>2007</v>
      </c>
      <c r="C991" t="s">
        <v>18</v>
      </c>
      <c r="D991" s="5">
        <v>39234</v>
      </c>
      <c r="E991">
        <v>208.352</v>
      </c>
      <c r="F991">
        <v>2.7</v>
      </c>
    </row>
    <row r="992" spans="1:6" hidden="1">
      <c r="A992" t="s">
        <v>12</v>
      </c>
      <c r="B992">
        <v>2007</v>
      </c>
      <c r="C992" t="s">
        <v>19</v>
      </c>
      <c r="D992" s="5">
        <v>39264</v>
      </c>
      <c r="E992">
        <v>208.29900000000001</v>
      </c>
      <c r="F992">
        <v>2.4</v>
      </c>
    </row>
    <row r="993" spans="1:6" hidden="1">
      <c r="A993" t="s">
        <v>12</v>
      </c>
      <c r="B993">
        <v>2007</v>
      </c>
      <c r="C993" t="s">
        <v>20</v>
      </c>
      <c r="D993" s="5">
        <v>39295</v>
      </c>
      <c r="E993">
        <v>207.917</v>
      </c>
      <c r="F993">
        <v>2</v>
      </c>
    </row>
    <row r="994" spans="1:6" hidden="1">
      <c r="A994" t="s">
        <v>12</v>
      </c>
      <c r="B994">
        <v>2007</v>
      </c>
      <c r="C994" t="s">
        <v>21</v>
      </c>
      <c r="D994" s="5">
        <v>39326</v>
      </c>
      <c r="E994">
        <v>208.49</v>
      </c>
      <c r="F994">
        <v>2.8</v>
      </c>
    </row>
    <row r="995" spans="1:6" hidden="1">
      <c r="A995" t="s">
        <v>12</v>
      </c>
      <c r="B995">
        <v>2007</v>
      </c>
      <c r="C995" t="s">
        <v>22</v>
      </c>
      <c r="D995" s="5">
        <v>39356</v>
      </c>
      <c r="E995">
        <v>208.93600000000001</v>
      </c>
      <c r="F995">
        <v>3.5</v>
      </c>
    </row>
    <row r="996" spans="1:6" hidden="1">
      <c r="A996" t="s">
        <v>12</v>
      </c>
      <c r="B996">
        <v>2007</v>
      </c>
      <c r="C996" t="s">
        <v>23</v>
      </c>
      <c r="D996" s="5">
        <v>39387</v>
      </c>
      <c r="E996">
        <v>210.17699999999999</v>
      </c>
      <c r="F996">
        <v>4.3</v>
      </c>
    </row>
    <row r="997" spans="1:6" hidden="1">
      <c r="A997" t="s">
        <v>12</v>
      </c>
      <c r="B997">
        <v>2007</v>
      </c>
      <c r="C997" t="s">
        <v>24</v>
      </c>
      <c r="D997" s="5">
        <v>39417</v>
      </c>
      <c r="E997">
        <v>210.036</v>
      </c>
      <c r="F997">
        <v>4.0999999999999996</v>
      </c>
    </row>
    <row r="998" spans="1:6">
      <c r="A998" t="s">
        <v>12</v>
      </c>
      <c r="B998">
        <v>2008</v>
      </c>
      <c r="C998" t="s">
        <v>13</v>
      </c>
      <c r="D998" s="5">
        <v>39448</v>
      </c>
      <c r="E998">
        <v>211.08</v>
      </c>
      <c r="F998">
        <v>4.3</v>
      </c>
    </row>
    <row r="999" spans="1:6" hidden="1">
      <c r="A999" t="s">
        <v>12</v>
      </c>
      <c r="B999">
        <v>2008</v>
      </c>
      <c r="C999" t="s">
        <v>14</v>
      </c>
      <c r="D999" s="5">
        <v>39479</v>
      </c>
      <c r="E999">
        <v>211.69300000000001</v>
      </c>
      <c r="F999">
        <v>4</v>
      </c>
    </row>
    <row r="1000" spans="1:6" hidden="1">
      <c r="A1000" t="s">
        <v>12</v>
      </c>
      <c r="B1000">
        <v>2008</v>
      </c>
      <c r="C1000" t="s">
        <v>15</v>
      </c>
      <c r="D1000" s="5">
        <v>39508</v>
      </c>
      <c r="E1000">
        <v>213.52799999999999</v>
      </c>
      <c r="F1000">
        <v>4</v>
      </c>
    </row>
    <row r="1001" spans="1:6" hidden="1">
      <c r="A1001" t="s">
        <v>12</v>
      </c>
      <c r="B1001">
        <v>2008</v>
      </c>
      <c r="C1001" t="s">
        <v>16</v>
      </c>
      <c r="D1001" s="5">
        <v>39539</v>
      </c>
      <c r="E1001">
        <v>214.82300000000001</v>
      </c>
      <c r="F1001">
        <v>3.9</v>
      </c>
    </row>
    <row r="1002" spans="1:6" hidden="1">
      <c r="A1002" t="s">
        <v>12</v>
      </c>
      <c r="B1002">
        <v>2008</v>
      </c>
      <c r="C1002" t="s">
        <v>17</v>
      </c>
      <c r="D1002" s="5">
        <v>39569</v>
      </c>
      <c r="E1002">
        <v>216.63200000000001</v>
      </c>
      <c r="F1002">
        <v>4.2</v>
      </c>
    </row>
    <row r="1003" spans="1:6" hidden="1">
      <c r="A1003" t="s">
        <v>12</v>
      </c>
      <c r="B1003">
        <v>2008</v>
      </c>
      <c r="C1003" t="s">
        <v>18</v>
      </c>
      <c r="D1003" s="5">
        <v>39600</v>
      </c>
      <c r="E1003">
        <v>218.815</v>
      </c>
      <c r="F1003">
        <v>5</v>
      </c>
    </row>
    <row r="1004" spans="1:6" hidden="1">
      <c r="A1004" t="s">
        <v>12</v>
      </c>
      <c r="B1004">
        <v>2008</v>
      </c>
      <c r="C1004" t="s">
        <v>19</v>
      </c>
      <c r="D1004" s="5">
        <v>39630</v>
      </c>
      <c r="E1004">
        <v>219.964</v>
      </c>
      <c r="F1004">
        <v>5.6</v>
      </c>
    </row>
    <row r="1005" spans="1:6" hidden="1">
      <c r="A1005" t="s">
        <v>12</v>
      </c>
      <c r="B1005">
        <v>2008</v>
      </c>
      <c r="C1005" t="s">
        <v>20</v>
      </c>
      <c r="D1005" s="5">
        <v>39661</v>
      </c>
      <c r="E1005">
        <v>219.08600000000001</v>
      </c>
      <c r="F1005">
        <v>5.4</v>
      </c>
    </row>
    <row r="1006" spans="1:6" hidden="1">
      <c r="A1006" t="s">
        <v>12</v>
      </c>
      <c r="B1006">
        <v>2008</v>
      </c>
      <c r="C1006" t="s">
        <v>21</v>
      </c>
      <c r="D1006" s="5">
        <v>39692</v>
      </c>
      <c r="E1006">
        <v>218.78299999999999</v>
      </c>
      <c r="F1006">
        <v>4.9000000000000004</v>
      </c>
    </row>
    <row r="1007" spans="1:6" hidden="1">
      <c r="A1007" t="s">
        <v>12</v>
      </c>
      <c r="B1007">
        <v>2008</v>
      </c>
      <c r="C1007" t="s">
        <v>22</v>
      </c>
      <c r="D1007" s="5">
        <v>39722</v>
      </c>
      <c r="E1007">
        <v>216.57300000000001</v>
      </c>
      <c r="F1007">
        <v>3.7</v>
      </c>
    </row>
    <row r="1008" spans="1:6" hidden="1">
      <c r="A1008" t="s">
        <v>12</v>
      </c>
      <c r="B1008">
        <v>2008</v>
      </c>
      <c r="C1008" t="s">
        <v>23</v>
      </c>
      <c r="D1008" s="5">
        <v>39753</v>
      </c>
      <c r="E1008">
        <v>212.42500000000001</v>
      </c>
      <c r="F1008">
        <v>1.1000000000000001</v>
      </c>
    </row>
    <row r="1009" spans="1:6" hidden="1">
      <c r="A1009" t="s">
        <v>12</v>
      </c>
      <c r="B1009">
        <v>2008</v>
      </c>
      <c r="C1009" t="s">
        <v>24</v>
      </c>
      <c r="D1009" s="5">
        <v>39783</v>
      </c>
      <c r="E1009">
        <v>210.22800000000001</v>
      </c>
      <c r="F1009">
        <v>0.1</v>
      </c>
    </row>
    <row r="1010" spans="1:6">
      <c r="A1010" t="s">
        <v>12</v>
      </c>
      <c r="B1010">
        <v>2009</v>
      </c>
      <c r="C1010" t="s">
        <v>13</v>
      </c>
      <c r="D1010" s="5">
        <v>39814</v>
      </c>
      <c r="E1010">
        <v>211.143</v>
      </c>
    </row>
    <row r="1011" spans="1:6" hidden="1">
      <c r="A1011" t="s">
        <v>12</v>
      </c>
      <c r="B1011">
        <v>2009</v>
      </c>
      <c r="C1011" t="s">
        <v>14</v>
      </c>
      <c r="D1011" s="5">
        <v>39845</v>
      </c>
      <c r="E1011">
        <v>212.19300000000001</v>
      </c>
    </row>
    <row r="1012" spans="1:6" hidden="1">
      <c r="A1012" t="s">
        <v>12</v>
      </c>
      <c r="B1012">
        <v>2009</v>
      </c>
      <c r="C1012" t="s">
        <v>15</v>
      </c>
      <c r="D1012" s="5">
        <v>39873</v>
      </c>
      <c r="E1012">
        <v>212.709</v>
      </c>
    </row>
    <row r="1013" spans="1:6" hidden="1">
      <c r="A1013" t="s">
        <v>12</v>
      </c>
      <c r="B1013">
        <v>2009</v>
      </c>
      <c r="C1013" t="s">
        <v>16</v>
      </c>
      <c r="D1013" s="5">
        <v>39904</v>
      </c>
      <c r="E1013">
        <v>213.24</v>
      </c>
    </row>
    <row r="1014" spans="1:6" hidden="1">
      <c r="A1014" t="s">
        <v>12</v>
      </c>
      <c r="B1014">
        <v>2009</v>
      </c>
      <c r="C1014" t="s">
        <v>17</v>
      </c>
      <c r="D1014" s="5">
        <v>39934</v>
      </c>
      <c r="E1014">
        <v>213.85599999999999</v>
      </c>
    </row>
    <row r="1015" spans="1:6" hidden="1">
      <c r="A1015" t="s">
        <v>12</v>
      </c>
      <c r="B1015">
        <v>2009</v>
      </c>
      <c r="C1015" t="s">
        <v>18</v>
      </c>
      <c r="D1015" s="5">
        <v>39965</v>
      </c>
      <c r="E1015">
        <v>215.69300000000001</v>
      </c>
    </row>
    <row r="1016" spans="1:6" hidden="1">
      <c r="A1016" t="s">
        <v>12</v>
      </c>
      <c r="B1016">
        <v>2009</v>
      </c>
      <c r="C1016" t="s">
        <v>19</v>
      </c>
      <c r="D1016" s="5">
        <v>39995</v>
      </c>
      <c r="E1016">
        <v>215.351</v>
      </c>
    </row>
    <row r="1017" spans="1:6" hidden="1">
      <c r="A1017" t="s">
        <v>12</v>
      </c>
      <c r="B1017">
        <v>2009</v>
      </c>
      <c r="C1017" t="s">
        <v>20</v>
      </c>
      <c r="D1017" s="5">
        <v>40026</v>
      </c>
      <c r="E1017">
        <v>215.834</v>
      </c>
    </row>
    <row r="1018" spans="1:6" hidden="1">
      <c r="A1018" t="s">
        <v>12</v>
      </c>
      <c r="B1018">
        <v>2009</v>
      </c>
      <c r="C1018" t="s">
        <v>21</v>
      </c>
      <c r="D1018" s="5">
        <v>40057</v>
      </c>
      <c r="E1018">
        <v>215.96899999999999</v>
      </c>
    </row>
    <row r="1019" spans="1:6" hidden="1">
      <c r="A1019" t="s">
        <v>12</v>
      </c>
      <c r="B1019">
        <v>2009</v>
      </c>
      <c r="C1019" t="s">
        <v>22</v>
      </c>
      <c r="D1019" s="5">
        <v>40087</v>
      </c>
      <c r="E1019">
        <v>216.17699999999999</v>
      </c>
    </row>
    <row r="1020" spans="1:6" hidden="1">
      <c r="A1020" t="s">
        <v>12</v>
      </c>
      <c r="B1020">
        <v>2009</v>
      </c>
      <c r="C1020" t="s">
        <v>23</v>
      </c>
      <c r="D1020" s="5">
        <v>40118</v>
      </c>
      <c r="E1020">
        <v>216.33</v>
      </c>
    </row>
    <row r="1021" spans="1:6" hidden="1">
      <c r="A1021" t="s">
        <v>12</v>
      </c>
      <c r="B1021">
        <v>2009</v>
      </c>
      <c r="C1021" t="s">
        <v>24</v>
      </c>
      <c r="D1021" s="5">
        <v>40148</v>
      </c>
      <c r="E1021">
        <v>215.94900000000001</v>
      </c>
    </row>
    <row r="1022" spans="1:6">
      <c r="A1022" t="s">
        <v>12</v>
      </c>
      <c r="B1022">
        <v>2010</v>
      </c>
      <c r="C1022" t="s">
        <v>13</v>
      </c>
      <c r="D1022" s="5">
        <v>40179</v>
      </c>
      <c r="E1022">
        <v>216.68700000000001</v>
      </c>
      <c r="F1022">
        <v>2.6</v>
      </c>
    </row>
    <row r="1023" spans="1:6" hidden="1">
      <c r="A1023" t="s">
        <v>12</v>
      </c>
      <c r="B1023">
        <v>2010</v>
      </c>
      <c r="C1023" t="s">
        <v>14</v>
      </c>
      <c r="D1023" s="5">
        <v>40210</v>
      </c>
      <c r="E1023">
        <v>216.74100000000001</v>
      </c>
      <c r="F1023">
        <v>2.1</v>
      </c>
    </row>
    <row r="1024" spans="1:6" hidden="1">
      <c r="A1024" t="s">
        <v>12</v>
      </c>
      <c r="B1024">
        <v>2010</v>
      </c>
      <c r="C1024" t="s">
        <v>15</v>
      </c>
      <c r="D1024" s="5">
        <v>40238</v>
      </c>
      <c r="E1024">
        <v>217.631</v>
      </c>
      <c r="F1024">
        <v>2.2999999999999998</v>
      </c>
    </row>
    <row r="1025" spans="1:6" hidden="1">
      <c r="A1025" t="s">
        <v>12</v>
      </c>
      <c r="B1025">
        <v>2010</v>
      </c>
      <c r="C1025" t="s">
        <v>16</v>
      </c>
      <c r="D1025" s="5">
        <v>40269</v>
      </c>
      <c r="E1025">
        <v>218.00899999999999</v>
      </c>
      <c r="F1025">
        <v>2.2000000000000002</v>
      </c>
    </row>
    <row r="1026" spans="1:6" hidden="1">
      <c r="A1026" t="s">
        <v>12</v>
      </c>
      <c r="B1026">
        <v>2010</v>
      </c>
      <c r="C1026" t="s">
        <v>17</v>
      </c>
      <c r="D1026" s="5">
        <v>40299</v>
      </c>
      <c r="E1026">
        <v>218.178</v>
      </c>
      <c r="F1026">
        <v>2</v>
      </c>
    </row>
    <row r="1027" spans="1:6" hidden="1">
      <c r="A1027" t="s">
        <v>12</v>
      </c>
      <c r="B1027">
        <v>2010</v>
      </c>
      <c r="C1027" t="s">
        <v>18</v>
      </c>
      <c r="D1027" s="5">
        <v>40330</v>
      </c>
      <c r="E1027">
        <v>217.965</v>
      </c>
      <c r="F1027">
        <v>1.1000000000000001</v>
      </c>
    </row>
    <row r="1028" spans="1:6" hidden="1">
      <c r="A1028" t="s">
        <v>12</v>
      </c>
      <c r="B1028">
        <v>2010</v>
      </c>
      <c r="C1028" t="s">
        <v>19</v>
      </c>
      <c r="D1028" s="5">
        <v>40360</v>
      </c>
      <c r="E1028">
        <v>218.011</v>
      </c>
      <c r="F1028">
        <v>1.2</v>
      </c>
    </row>
    <row r="1029" spans="1:6" hidden="1">
      <c r="A1029" t="s">
        <v>12</v>
      </c>
      <c r="B1029">
        <v>2010</v>
      </c>
      <c r="C1029" t="s">
        <v>20</v>
      </c>
      <c r="D1029" s="5">
        <v>40391</v>
      </c>
      <c r="E1029">
        <v>218.31200000000001</v>
      </c>
      <c r="F1029">
        <v>1.1000000000000001</v>
      </c>
    </row>
    <row r="1030" spans="1:6" hidden="1">
      <c r="A1030" t="s">
        <v>12</v>
      </c>
      <c r="B1030">
        <v>2010</v>
      </c>
      <c r="C1030" t="s">
        <v>21</v>
      </c>
      <c r="D1030" s="5">
        <v>40422</v>
      </c>
      <c r="E1030">
        <v>218.43899999999999</v>
      </c>
      <c r="F1030">
        <v>1.1000000000000001</v>
      </c>
    </row>
    <row r="1031" spans="1:6" hidden="1">
      <c r="A1031" t="s">
        <v>12</v>
      </c>
      <c r="B1031">
        <v>2010</v>
      </c>
      <c r="C1031" t="s">
        <v>22</v>
      </c>
      <c r="D1031" s="5">
        <v>40452</v>
      </c>
      <c r="E1031">
        <v>218.71100000000001</v>
      </c>
      <c r="F1031">
        <v>1.2</v>
      </c>
    </row>
    <row r="1032" spans="1:6" hidden="1">
      <c r="A1032" t="s">
        <v>12</v>
      </c>
      <c r="B1032">
        <v>2010</v>
      </c>
      <c r="C1032" t="s">
        <v>23</v>
      </c>
      <c r="D1032" s="5">
        <v>40483</v>
      </c>
      <c r="E1032">
        <v>218.803</v>
      </c>
      <c r="F1032">
        <v>1.1000000000000001</v>
      </c>
    </row>
    <row r="1033" spans="1:6" hidden="1">
      <c r="A1033" t="s">
        <v>12</v>
      </c>
      <c r="B1033">
        <v>2010</v>
      </c>
      <c r="C1033" t="s">
        <v>24</v>
      </c>
      <c r="D1033" s="5">
        <v>40513</v>
      </c>
      <c r="E1033">
        <v>219.179</v>
      </c>
      <c r="F1033">
        <v>1.5</v>
      </c>
    </row>
    <row r="1034" spans="1:6">
      <c r="A1034" t="s">
        <v>12</v>
      </c>
      <c r="B1034">
        <v>2011</v>
      </c>
      <c r="C1034" t="s">
        <v>13</v>
      </c>
      <c r="D1034" s="5">
        <v>40544</v>
      </c>
      <c r="E1034">
        <v>220.22300000000001</v>
      </c>
    </row>
    <row r="1035" spans="1:6" hidden="1">
      <c r="A1035" t="s">
        <v>12</v>
      </c>
      <c r="B1035">
        <v>2011</v>
      </c>
      <c r="C1035" t="s">
        <v>14</v>
      </c>
      <c r="D1035" s="5">
        <v>40575</v>
      </c>
      <c r="E1035">
        <v>221.309</v>
      </c>
    </row>
    <row r="1036" spans="1:6" hidden="1">
      <c r="A1036" t="s">
        <v>12</v>
      </c>
      <c r="B1036">
        <v>2011</v>
      </c>
      <c r="C1036" t="s">
        <v>15</v>
      </c>
      <c r="D1036" s="5">
        <v>40603</v>
      </c>
      <c r="E1036">
        <v>223.46700000000001</v>
      </c>
    </row>
    <row r="1037" spans="1:6" hidden="1">
      <c r="A1037" t="s">
        <v>12</v>
      </c>
      <c r="B1037">
        <v>2011</v>
      </c>
      <c r="C1037" t="s">
        <v>16</v>
      </c>
      <c r="D1037" s="5">
        <v>40634</v>
      </c>
      <c r="E1037">
        <v>224.90600000000001</v>
      </c>
    </row>
    <row r="1038" spans="1:6" hidden="1">
      <c r="A1038" t="s">
        <v>12</v>
      </c>
      <c r="B1038">
        <v>2011</v>
      </c>
      <c r="C1038" t="s">
        <v>17</v>
      </c>
      <c r="D1038" s="5">
        <v>40664</v>
      </c>
      <c r="E1038">
        <v>225.964</v>
      </c>
    </row>
    <row r="1039" spans="1:6" hidden="1">
      <c r="A1039" t="s">
        <v>12</v>
      </c>
      <c r="B1039">
        <v>2011</v>
      </c>
      <c r="C1039" t="s">
        <v>18</v>
      </c>
      <c r="D1039" s="5">
        <v>40695</v>
      </c>
      <c r="E1039">
        <v>225.72200000000001</v>
      </c>
    </row>
    <row r="1040" spans="1:6" hidden="1">
      <c r="A1040" t="s">
        <v>12</v>
      </c>
      <c r="B1040">
        <v>2011</v>
      </c>
      <c r="C1040" t="s">
        <v>19</v>
      </c>
      <c r="D1040" s="5">
        <v>40725</v>
      </c>
      <c r="E1040">
        <v>225.922</v>
      </c>
    </row>
    <row r="1041" spans="1:6" hidden="1">
      <c r="A1041" t="s">
        <v>12</v>
      </c>
      <c r="B1041">
        <v>2011</v>
      </c>
      <c r="C1041" t="s">
        <v>20</v>
      </c>
      <c r="D1041" s="5">
        <v>40756</v>
      </c>
      <c r="E1041">
        <v>226.54499999999999</v>
      </c>
    </row>
    <row r="1042" spans="1:6" hidden="1">
      <c r="A1042" t="s">
        <v>12</v>
      </c>
      <c r="B1042">
        <v>2011</v>
      </c>
      <c r="C1042" t="s">
        <v>21</v>
      </c>
      <c r="D1042" s="5">
        <v>40787</v>
      </c>
      <c r="E1042">
        <v>226.88900000000001</v>
      </c>
    </row>
    <row r="1043" spans="1:6" hidden="1">
      <c r="A1043" t="s">
        <v>12</v>
      </c>
      <c r="B1043">
        <v>2011</v>
      </c>
      <c r="C1043" t="s">
        <v>22</v>
      </c>
      <c r="D1043" s="5">
        <v>40817</v>
      </c>
      <c r="E1043">
        <v>226.42099999999999</v>
      </c>
    </row>
    <row r="1044" spans="1:6" hidden="1">
      <c r="A1044" t="s">
        <v>12</v>
      </c>
      <c r="B1044">
        <v>2011</v>
      </c>
      <c r="C1044" t="s">
        <v>23</v>
      </c>
      <c r="D1044" s="5">
        <v>40848</v>
      </c>
      <c r="E1044">
        <v>226.23</v>
      </c>
    </row>
    <row r="1045" spans="1:6" hidden="1">
      <c r="A1045" t="s">
        <v>12</v>
      </c>
      <c r="B1045">
        <v>2011</v>
      </c>
      <c r="C1045" t="s">
        <v>24</v>
      </c>
      <c r="D1045" s="5">
        <v>40878</v>
      </c>
      <c r="E1045">
        <v>225.672</v>
      </c>
    </row>
    <row r="1046" spans="1:6">
      <c r="A1046" t="s">
        <v>12</v>
      </c>
      <c r="B1046">
        <v>2012</v>
      </c>
      <c r="C1046" t="s">
        <v>13</v>
      </c>
      <c r="D1046" s="5">
        <v>40909</v>
      </c>
      <c r="E1046">
        <v>226.66499999999999</v>
      </c>
      <c r="F1046">
        <v>2.9</v>
      </c>
    </row>
    <row r="1047" spans="1:6" hidden="1">
      <c r="A1047" t="s">
        <v>12</v>
      </c>
      <c r="B1047">
        <v>2012</v>
      </c>
      <c r="C1047" t="s">
        <v>14</v>
      </c>
      <c r="D1047" s="5">
        <v>40940</v>
      </c>
      <c r="E1047">
        <v>227.66300000000001</v>
      </c>
      <c r="F1047">
        <v>2.9</v>
      </c>
    </row>
    <row r="1048" spans="1:6" hidden="1">
      <c r="A1048" t="s">
        <v>12</v>
      </c>
      <c r="B1048">
        <v>2012</v>
      </c>
      <c r="C1048" t="s">
        <v>15</v>
      </c>
      <c r="D1048" s="5">
        <v>40969</v>
      </c>
      <c r="E1048">
        <v>229.392</v>
      </c>
      <c r="F1048">
        <v>2.7</v>
      </c>
    </row>
    <row r="1049" spans="1:6" hidden="1">
      <c r="A1049" t="s">
        <v>12</v>
      </c>
      <c r="B1049">
        <v>2012</v>
      </c>
      <c r="C1049" t="s">
        <v>16</v>
      </c>
      <c r="D1049" s="5">
        <v>41000</v>
      </c>
      <c r="E1049">
        <v>230.08500000000001</v>
      </c>
      <c r="F1049">
        <v>2.2999999999999998</v>
      </c>
    </row>
    <row r="1050" spans="1:6" hidden="1">
      <c r="A1050" t="s">
        <v>12</v>
      </c>
      <c r="B1050">
        <v>2012</v>
      </c>
      <c r="C1050" t="s">
        <v>17</v>
      </c>
      <c r="D1050" s="5">
        <v>41030</v>
      </c>
      <c r="E1050">
        <v>229.815</v>
      </c>
      <c r="F1050">
        <v>1.7</v>
      </c>
    </row>
    <row r="1051" spans="1:6" hidden="1">
      <c r="A1051" t="s">
        <v>12</v>
      </c>
      <c r="B1051">
        <v>2012</v>
      </c>
      <c r="C1051" t="s">
        <v>18</v>
      </c>
      <c r="D1051" s="5">
        <v>41061</v>
      </c>
      <c r="E1051">
        <v>229.47800000000001</v>
      </c>
      <c r="F1051">
        <v>1.7</v>
      </c>
    </row>
    <row r="1052" spans="1:6" hidden="1">
      <c r="A1052" t="s">
        <v>12</v>
      </c>
      <c r="B1052">
        <v>2012</v>
      </c>
      <c r="C1052" t="s">
        <v>19</v>
      </c>
      <c r="D1052" s="5">
        <v>41091</v>
      </c>
      <c r="E1052">
        <v>229.10400000000001</v>
      </c>
      <c r="F1052">
        <v>1.4</v>
      </c>
    </row>
    <row r="1053" spans="1:6" hidden="1">
      <c r="A1053" t="s">
        <v>12</v>
      </c>
      <c r="B1053">
        <v>2012</v>
      </c>
      <c r="C1053" t="s">
        <v>20</v>
      </c>
      <c r="D1053" s="5">
        <v>41122</v>
      </c>
      <c r="E1053">
        <v>230.37899999999999</v>
      </c>
      <c r="F1053">
        <v>1.7</v>
      </c>
    </row>
    <row r="1054" spans="1:6" hidden="1">
      <c r="A1054" t="s">
        <v>12</v>
      </c>
      <c r="B1054">
        <v>2012</v>
      </c>
      <c r="C1054" t="s">
        <v>21</v>
      </c>
      <c r="D1054" s="5">
        <v>41153</v>
      </c>
      <c r="E1054">
        <v>231.40700000000001</v>
      </c>
      <c r="F1054">
        <v>2</v>
      </c>
    </row>
    <row r="1055" spans="1:6" hidden="1">
      <c r="A1055" t="s">
        <v>12</v>
      </c>
      <c r="B1055">
        <v>2012</v>
      </c>
      <c r="C1055" t="s">
        <v>22</v>
      </c>
      <c r="D1055" s="5">
        <v>41183</v>
      </c>
      <c r="E1055">
        <v>231.31700000000001</v>
      </c>
      <c r="F1055">
        <v>2.2000000000000002</v>
      </c>
    </row>
    <row r="1056" spans="1:6" hidden="1">
      <c r="A1056" t="s">
        <v>12</v>
      </c>
      <c r="B1056">
        <v>2012</v>
      </c>
      <c r="C1056" t="s">
        <v>23</v>
      </c>
      <c r="D1056" s="5">
        <v>41214</v>
      </c>
      <c r="E1056">
        <v>230.221</v>
      </c>
      <c r="F1056">
        <v>1.8</v>
      </c>
    </row>
    <row r="1057" spans="1:6" hidden="1">
      <c r="A1057" t="s">
        <v>12</v>
      </c>
      <c r="B1057">
        <v>2012</v>
      </c>
      <c r="C1057" t="s">
        <v>24</v>
      </c>
      <c r="D1057" s="5">
        <v>41244</v>
      </c>
      <c r="E1057">
        <v>229.601</v>
      </c>
      <c r="F1057">
        <v>1.7</v>
      </c>
    </row>
    <row r="1058" spans="1:6">
      <c r="A1058" t="s">
        <v>12</v>
      </c>
      <c r="B1058">
        <v>2013</v>
      </c>
      <c r="C1058" t="s">
        <v>13</v>
      </c>
      <c r="D1058" s="5">
        <v>41275</v>
      </c>
      <c r="E1058">
        <v>230.28</v>
      </c>
    </row>
    <row r="1059" spans="1:6" hidden="1">
      <c r="A1059" t="s">
        <v>12</v>
      </c>
      <c r="B1059">
        <v>2013</v>
      </c>
      <c r="C1059" t="s">
        <v>14</v>
      </c>
      <c r="D1059" s="5">
        <v>41306</v>
      </c>
      <c r="E1059">
        <v>232.166</v>
      </c>
    </row>
    <row r="1060" spans="1:6" hidden="1">
      <c r="A1060" t="s">
        <v>12</v>
      </c>
      <c r="B1060">
        <v>2013</v>
      </c>
      <c r="C1060" t="s">
        <v>15</v>
      </c>
      <c r="D1060" s="5">
        <v>41334</v>
      </c>
      <c r="E1060">
        <v>232.773</v>
      </c>
    </row>
    <row r="1061" spans="1:6" hidden="1">
      <c r="A1061" t="s">
        <v>12</v>
      </c>
      <c r="B1061">
        <v>2013</v>
      </c>
      <c r="C1061" t="s">
        <v>16</v>
      </c>
      <c r="D1061" s="5">
        <v>41365</v>
      </c>
      <c r="E1061">
        <v>232.53100000000001</v>
      </c>
    </row>
    <row r="1062" spans="1:6" hidden="1">
      <c r="A1062" t="s">
        <v>12</v>
      </c>
      <c r="B1062">
        <v>2013</v>
      </c>
      <c r="C1062" t="s">
        <v>17</v>
      </c>
      <c r="D1062" s="5">
        <v>41395</v>
      </c>
      <c r="E1062">
        <v>232.94499999999999</v>
      </c>
    </row>
    <row r="1063" spans="1:6" hidden="1">
      <c r="A1063" t="s">
        <v>12</v>
      </c>
      <c r="B1063">
        <v>2013</v>
      </c>
      <c r="C1063" t="s">
        <v>18</v>
      </c>
      <c r="D1063" s="5">
        <v>41426</v>
      </c>
      <c r="E1063">
        <v>233.50399999999999</v>
      </c>
    </row>
    <row r="1064" spans="1:6" hidden="1">
      <c r="A1064" t="s">
        <v>12</v>
      </c>
      <c r="B1064">
        <v>2013</v>
      </c>
      <c r="C1064" t="s">
        <v>19</v>
      </c>
      <c r="D1064" s="5">
        <v>41456</v>
      </c>
      <c r="E1064">
        <v>233.596</v>
      </c>
    </row>
    <row r="1065" spans="1:6" hidden="1">
      <c r="A1065" t="s">
        <v>12</v>
      </c>
      <c r="B1065">
        <v>2013</v>
      </c>
      <c r="C1065" t="s">
        <v>20</v>
      </c>
      <c r="D1065" s="5">
        <v>41487</v>
      </c>
      <c r="E1065">
        <v>233.87700000000001</v>
      </c>
    </row>
    <row r="1066" spans="1:6" hidden="1">
      <c r="A1066" t="s">
        <v>12</v>
      </c>
      <c r="B1066">
        <v>2013</v>
      </c>
      <c r="C1066" t="s">
        <v>21</v>
      </c>
      <c r="D1066" s="5">
        <v>41518</v>
      </c>
      <c r="E1066">
        <v>234.149</v>
      </c>
    </row>
    <row r="1067" spans="1:6" hidden="1">
      <c r="A1067" t="s">
        <v>12</v>
      </c>
      <c r="B1067">
        <v>2013</v>
      </c>
      <c r="C1067" t="s">
        <v>22</v>
      </c>
      <c r="D1067" s="5">
        <v>41548</v>
      </c>
      <c r="E1067">
        <v>233.54599999999999</v>
      </c>
    </row>
    <row r="1068" spans="1:6" hidden="1">
      <c r="A1068" t="s">
        <v>12</v>
      </c>
      <c r="B1068">
        <v>2013</v>
      </c>
      <c r="C1068" t="s">
        <v>23</v>
      </c>
      <c r="D1068" s="5">
        <v>41579</v>
      </c>
      <c r="E1068">
        <v>233.06899999999999</v>
      </c>
    </row>
    <row r="1069" spans="1:6" hidden="1">
      <c r="A1069" t="s">
        <v>12</v>
      </c>
      <c r="B1069">
        <v>2013</v>
      </c>
      <c r="C1069" t="s">
        <v>24</v>
      </c>
      <c r="D1069" s="5">
        <v>41609</v>
      </c>
      <c r="E1069">
        <v>233.04900000000001</v>
      </c>
    </row>
    <row r="1070" spans="1:6">
      <c r="A1070" t="s">
        <v>12</v>
      </c>
      <c r="B1070">
        <v>2014</v>
      </c>
      <c r="C1070" t="s">
        <v>13</v>
      </c>
      <c r="D1070" s="5">
        <v>41640</v>
      </c>
      <c r="E1070">
        <v>233.916</v>
      </c>
      <c r="F1070">
        <v>1.6</v>
      </c>
    </row>
    <row r="1071" spans="1:6" hidden="1">
      <c r="A1071" t="s">
        <v>12</v>
      </c>
      <c r="B1071">
        <v>2014</v>
      </c>
      <c r="C1071" t="s">
        <v>14</v>
      </c>
      <c r="D1071" s="5">
        <v>41671</v>
      </c>
      <c r="E1071">
        <v>234.78100000000001</v>
      </c>
      <c r="F1071">
        <v>1.1000000000000001</v>
      </c>
    </row>
    <row r="1072" spans="1:6" hidden="1">
      <c r="A1072" t="s">
        <v>12</v>
      </c>
      <c r="B1072">
        <v>2014</v>
      </c>
      <c r="C1072" t="s">
        <v>15</v>
      </c>
      <c r="D1072" s="5">
        <v>41699</v>
      </c>
      <c r="E1072">
        <v>236.29300000000001</v>
      </c>
      <c r="F1072">
        <v>1.5</v>
      </c>
    </row>
    <row r="1073" spans="1:6" hidden="1">
      <c r="A1073" t="s">
        <v>12</v>
      </c>
      <c r="B1073">
        <v>2014</v>
      </c>
      <c r="C1073" t="s">
        <v>16</v>
      </c>
      <c r="D1073" s="5">
        <v>41730</v>
      </c>
      <c r="E1073">
        <v>237.072</v>
      </c>
      <c r="F1073">
        <v>2</v>
      </c>
    </row>
    <row r="1074" spans="1:6" hidden="1">
      <c r="A1074" t="s">
        <v>12</v>
      </c>
      <c r="B1074">
        <v>2014</v>
      </c>
      <c r="C1074" t="s">
        <v>17</v>
      </c>
      <c r="D1074" s="5">
        <v>41760</v>
      </c>
      <c r="E1074">
        <v>237.9</v>
      </c>
      <c r="F1074">
        <v>2.1</v>
      </c>
    </row>
    <row r="1075" spans="1:6" hidden="1">
      <c r="A1075" t="s">
        <v>12</v>
      </c>
      <c r="B1075">
        <v>2014</v>
      </c>
      <c r="C1075" t="s">
        <v>18</v>
      </c>
      <c r="D1075" s="5">
        <v>41791</v>
      </c>
      <c r="E1075">
        <v>238.34299999999999</v>
      </c>
      <c r="F1075">
        <v>2.1</v>
      </c>
    </row>
    <row r="1076" spans="1:6" hidden="1">
      <c r="A1076" t="s">
        <v>12</v>
      </c>
      <c r="B1076">
        <v>2014</v>
      </c>
      <c r="C1076" t="s">
        <v>19</v>
      </c>
      <c r="D1076" s="5">
        <v>41821</v>
      </c>
      <c r="E1076">
        <v>238.25</v>
      </c>
      <c r="F1076">
        <v>2</v>
      </c>
    </row>
    <row r="1077" spans="1:6" hidden="1">
      <c r="A1077" t="s">
        <v>12</v>
      </c>
      <c r="B1077">
        <v>2014</v>
      </c>
      <c r="C1077" t="s">
        <v>20</v>
      </c>
      <c r="D1077" s="5">
        <v>41852</v>
      </c>
      <c r="E1077">
        <v>237.852</v>
      </c>
      <c r="F1077">
        <v>1.7</v>
      </c>
    </row>
    <row r="1078" spans="1:6" hidden="1">
      <c r="A1078" t="s">
        <v>12</v>
      </c>
      <c r="B1078">
        <v>2014</v>
      </c>
      <c r="C1078" t="s">
        <v>21</v>
      </c>
      <c r="D1078" s="5">
        <v>41883</v>
      </c>
      <c r="E1078">
        <v>238.03100000000001</v>
      </c>
      <c r="F1078">
        <v>1.7</v>
      </c>
    </row>
    <row r="1079" spans="1:6" hidden="1">
      <c r="A1079" t="s">
        <v>12</v>
      </c>
      <c r="B1079">
        <v>2014</v>
      </c>
      <c r="C1079" t="s">
        <v>22</v>
      </c>
      <c r="D1079" s="5">
        <v>41913</v>
      </c>
      <c r="E1079">
        <v>237.43299999999999</v>
      </c>
      <c r="F1079">
        <v>1.7</v>
      </c>
    </row>
    <row r="1080" spans="1:6" hidden="1">
      <c r="A1080" t="s">
        <v>12</v>
      </c>
      <c r="B1080">
        <v>2014</v>
      </c>
      <c r="C1080" t="s">
        <v>23</v>
      </c>
      <c r="D1080" s="5">
        <v>41944</v>
      </c>
      <c r="E1080">
        <v>236.15100000000001</v>
      </c>
      <c r="F1080">
        <v>1.3</v>
      </c>
    </row>
    <row r="1081" spans="1:6" hidden="1">
      <c r="A1081" t="s">
        <v>12</v>
      </c>
      <c r="B1081">
        <v>2014</v>
      </c>
      <c r="C1081" t="s">
        <v>24</v>
      </c>
      <c r="D1081" s="5">
        <v>41974</v>
      </c>
      <c r="E1081">
        <v>234.81200000000001</v>
      </c>
      <c r="F1081">
        <v>0.8</v>
      </c>
    </row>
    <row r="1082" spans="1:6">
      <c r="A1082" t="s">
        <v>12</v>
      </c>
      <c r="B1082">
        <v>2015</v>
      </c>
      <c r="C1082" t="s">
        <v>13</v>
      </c>
      <c r="D1082" s="5">
        <v>42005</v>
      </c>
      <c r="E1082">
        <v>233.70699999999999</v>
      </c>
    </row>
    <row r="1083" spans="1:6" hidden="1">
      <c r="A1083" t="s">
        <v>12</v>
      </c>
      <c r="B1083">
        <v>2015</v>
      </c>
      <c r="C1083" t="s">
        <v>14</v>
      </c>
      <c r="D1083" s="5">
        <v>42036</v>
      </c>
      <c r="E1083">
        <v>234.72200000000001</v>
      </c>
    </row>
    <row r="1084" spans="1:6" hidden="1">
      <c r="A1084" t="s">
        <v>12</v>
      </c>
      <c r="B1084">
        <v>2015</v>
      </c>
      <c r="C1084" t="s">
        <v>15</v>
      </c>
      <c r="D1084" s="5">
        <v>42064</v>
      </c>
      <c r="E1084">
        <v>236.119</v>
      </c>
    </row>
    <row r="1085" spans="1:6" hidden="1">
      <c r="A1085" t="s">
        <v>12</v>
      </c>
      <c r="B1085">
        <v>2015</v>
      </c>
      <c r="C1085" t="s">
        <v>16</v>
      </c>
      <c r="D1085" s="5">
        <v>42095</v>
      </c>
      <c r="E1085">
        <v>236.59899999999999</v>
      </c>
    </row>
    <row r="1086" spans="1:6" hidden="1">
      <c r="A1086" t="s">
        <v>12</v>
      </c>
      <c r="B1086">
        <v>2015</v>
      </c>
      <c r="C1086" t="s">
        <v>17</v>
      </c>
      <c r="D1086" s="5">
        <v>42125</v>
      </c>
      <c r="E1086">
        <v>237.80500000000001</v>
      </c>
    </row>
    <row r="1087" spans="1:6" hidden="1">
      <c r="A1087" t="s">
        <v>12</v>
      </c>
      <c r="B1087">
        <v>2015</v>
      </c>
      <c r="C1087" t="s">
        <v>18</v>
      </c>
      <c r="D1087" s="5">
        <v>42156</v>
      </c>
      <c r="E1087">
        <v>238.63800000000001</v>
      </c>
    </row>
    <row r="1088" spans="1:6" hidden="1">
      <c r="A1088" t="s">
        <v>12</v>
      </c>
      <c r="B1088">
        <v>2015</v>
      </c>
      <c r="C1088" t="s">
        <v>19</v>
      </c>
      <c r="D1088" s="5">
        <v>42186</v>
      </c>
      <c r="E1088">
        <v>238.654</v>
      </c>
    </row>
    <row r="1089" spans="1:6" hidden="1">
      <c r="A1089" t="s">
        <v>12</v>
      </c>
      <c r="B1089">
        <v>2015</v>
      </c>
      <c r="C1089" t="s">
        <v>20</v>
      </c>
      <c r="D1089" s="5">
        <v>42217</v>
      </c>
      <c r="E1089">
        <v>238.316</v>
      </c>
    </row>
    <row r="1090" spans="1:6" hidden="1">
      <c r="A1090" t="s">
        <v>12</v>
      </c>
      <c r="B1090">
        <v>2015</v>
      </c>
      <c r="C1090" t="s">
        <v>21</v>
      </c>
      <c r="D1090" s="5">
        <v>42248</v>
      </c>
      <c r="E1090">
        <v>237.94499999999999</v>
      </c>
    </row>
    <row r="1091" spans="1:6" hidden="1">
      <c r="A1091" t="s">
        <v>12</v>
      </c>
      <c r="B1091">
        <v>2015</v>
      </c>
      <c r="C1091" t="s">
        <v>22</v>
      </c>
      <c r="D1091" s="5">
        <v>42278</v>
      </c>
      <c r="E1091">
        <v>237.83799999999999</v>
      </c>
    </row>
    <row r="1092" spans="1:6" hidden="1">
      <c r="A1092" t="s">
        <v>12</v>
      </c>
      <c r="B1092">
        <v>2015</v>
      </c>
      <c r="C1092" t="s">
        <v>23</v>
      </c>
      <c r="D1092" s="5">
        <v>42309</v>
      </c>
      <c r="E1092">
        <v>237.33600000000001</v>
      </c>
    </row>
    <row r="1093" spans="1:6" hidden="1">
      <c r="A1093" t="s">
        <v>12</v>
      </c>
      <c r="B1093">
        <v>2015</v>
      </c>
      <c r="C1093" t="s">
        <v>24</v>
      </c>
      <c r="D1093" s="5">
        <v>42339</v>
      </c>
      <c r="E1093">
        <v>236.52500000000001</v>
      </c>
    </row>
    <row r="1094" spans="1:6">
      <c r="A1094" t="s">
        <v>12</v>
      </c>
      <c r="B1094">
        <v>2016</v>
      </c>
      <c r="C1094" t="s">
        <v>13</v>
      </c>
      <c r="D1094" s="5">
        <v>42370</v>
      </c>
      <c r="E1094">
        <v>236.916</v>
      </c>
      <c r="F1094">
        <v>1.4</v>
      </c>
    </row>
    <row r="1095" spans="1:6" hidden="1">
      <c r="A1095" t="s">
        <v>12</v>
      </c>
      <c r="B1095">
        <v>2016</v>
      </c>
      <c r="C1095" t="s">
        <v>14</v>
      </c>
      <c r="D1095" s="5">
        <v>42401</v>
      </c>
      <c r="E1095">
        <v>237.11099999999999</v>
      </c>
      <c r="F1095">
        <v>1</v>
      </c>
    </row>
    <row r="1096" spans="1:6" hidden="1">
      <c r="A1096" t="s">
        <v>12</v>
      </c>
      <c r="B1096">
        <v>2016</v>
      </c>
      <c r="C1096" t="s">
        <v>15</v>
      </c>
      <c r="D1096" s="5">
        <v>42430</v>
      </c>
      <c r="E1096">
        <v>238.13200000000001</v>
      </c>
      <c r="F1096">
        <v>0.9</v>
      </c>
    </row>
    <row r="1097" spans="1:6" hidden="1">
      <c r="A1097" t="s">
        <v>12</v>
      </c>
      <c r="B1097">
        <v>2016</v>
      </c>
      <c r="C1097" t="s">
        <v>16</v>
      </c>
      <c r="D1097" s="5">
        <v>42461</v>
      </c>
      <c r="E1097">
        <v>239.261</v>
      </c>
      <c r="F1097">
        <v>1.1000000000000001</v>
      </c>
    </row>
    <row r="1098" spans="1:6" hidden="1">
      <c r="A1098" t="s">
        <v>12</v>
      </c>
      <c r="B1098">
        <v>2016</v>
      </c>
      <c r="C1098" t="s">
        <v>17</v>
      </c>
      <c r="D1098" s="5">
        <v>42491</v>
      </c>
      <c r="E1098">
        <v>240.22900000000001</v>
      </c>
      <c r="F1098">
        <v>1</v>
      </c>
    </row>
    <row r="1099" spans="1:6" hidden="1">
      <c r="A1099" t="s">
        <v>12</v>
      </c>
      <c r="B1099">
        <v>2016</v>
      </c>
      <c r="C1099" t="s">
        <v>18</v>
      </c>
      <c r="D1099" s="5">
        <v>42522</v>
      </c>
      <c r="E1099">
        <v>241.018</v>
      </c>
      <c r="F1099">
        <v>1</v>
      </c>
    </row>
    <row r="1100" spans="1:6" hidden="1">
      <c r="A1100" t="s">
        <v>12</v>
      </c>
      <c r="B1100">
        <v>2016</v>
      </c>
      <c r="C1100" t="s">
        <v>19</v>
      </c>
      <c r="D1100" s="5">
        <v>42552</v>
      </c>
      <c r="E1100">
        <v>240.62799999999999</v>
      </c>
      <c r="F1100">
        <v>0.8</v>
      </c>
    </row>
    <row r="1101" spans="1:6" hidden="1">
      <c r="A1101" t="s">
        <v>12</v>
      </c>
      <c r="B1101">
        <v>2016</v>
      </c>
      <c r="C1101" t="s">
        <v>20</v>
      </c>
      <c r="D1101" s="5">
        <v>42583</v>
      </c>
      <c r="E1101">
        <v>240.84899999999999</v>
      </c>
      <c r="F1101">
        <v>1.1000000000000001</v>
      </c>
    </row>
    <row r="1102" spans="1:6" hidden="1">
      <c r="A1102" t="s">
        <v>12</v>
      </c>
      <c r="B1102">
        <v>2016</v>
      </c>
      <c r="C1102" t="s">
        <v>21</v>
      </c>
      <c r="D1102" s="5">
        <v>42614</v>
      </c>
      <c r="E1102">
        <v>241.428</v>
      </c>
      <c r="F1102">
        <v>1.5</v>
      </c>
    </row>
    <row r="1103" spans="1:6" hidden="1">
      <c r="A1103" t="s">
        <v>12</v>
      </c>
      <c r="B1103">
        <v>2016</v>
      </c>
      <c r="C1103" t="s">
        <v>22</v>
      </c>
      <c r="D1103" s="5">
        <v>42644</v>
      </c>
      <c r="E1103">
        <v>241.72900000000001</v>
      </c>
      <c r="F1103">
        <v>1.6</v>
      </c>
    </row>
    <row r="1104" spans="1:6" hidden="1">
      <c r="A1104" t="s">
        <v>12</v>
      </c>
      <c r="B1104">
        <v>2016</v>
      </c>
      <c r="C1104" t="s">
        <v>23</v>
      </c>
      <c r="D1104" s="5">
        <v>42675</v>
      </c>
      <c r="E1104">
        <v>241.35300000000001</v>
      </c>
      <c r="F1104">
        <v>1.7</v>
      </c>
    </row>
    <row r="1105" spans="1:6" hidden="1">
      <c r="A1105" t="s">
        <v>12</v>
      </c>
      <c r="B1105">
        <v>2016</v>
      </c>
      <c r="C1105" t="s">
        <v>24</v>
      </c>
      <c r="D1105" s="5">
        <v>42705</v>
      </c>
      <c r="E1105">
        <v>241.43199999999999</v>
      </c>
      <c r="F1105">
        <v>2.1</v>
      </c>
    </row>
    <row r="1106" spans="1:6">
      <c r="A1106" t="s">
        <v>12</v>
      </c>
      <c r="B1106">
        <v>2017</v>
      </c>
      <c r="C1106" t="s">
        <v>13</v>
      </c>
      <c r="D1106" s="5">
        <v>42736</v>
      </c>
      <c r="E1106">
        <v>242.839</v>
      </c>
      <c r="F1106">
        <v>2.5</v>
      </c>
    </row>
    <row r="1107" spans="1:6" hidden="1">
      <c r="A1107" t="s">
        <v>12</v>
      </c>
      <c r="B1107">
        <v>2017</v>
      </c>
      <c r="C1107" t="s">
        <v>14</v>
      </c>
      <c r="D1107" s="5">
        <v>42767</v>
      </c>
      <c r="E1107">
        <v>243.60300000000001</v>
      </c>
      <c r="F1107">
        <v>2.7</v>
      </c>
    </row>
    <row r="1108" spans="1:6" hidden="1">
      <c r="A1108" t="s">
        <v>12</v>
      </c>
      <c r="B1108">
        <v>2017</v>
      </c>
      <c r="C1108" t="s">
        <v>15</v>
      </c>
      <c r="D1108" s="5">
        <v>42795</v>
      </c>
      <c r="E1108">
        <v>243.80099999999999</v>
      </c>
      <c r="F1108">
        <v>2.4</v>
      </c>
    </row>
    <row r="1109" spans="1:6" hidden="1">
      <c r="A1109" t="s">
        <v>12</v>
      </c>
      <c r="B1109">
        <v>2017</v>
      </c>
      <c r="C1109" t="s">
        <v>16</v>
      </c>
      <c r="D1109" s="5">
        <v>42826</v>
      </c>
      <c r="E1109">
        <v>244.524</v>
      </c>
      <c r="F1109">
        <v>2.2000000000000002</v>
      </c>
    </row>
    <row r="1110" spans="1:6" hidden="1">
      <c r="A1110" t="s">
        <v>12</v>
      </c>
      <c r="B1110">
        <v>2017</v>
      </c>
      <c r="C1110" t="s">
        <v>17</v>
      </c>
      <c r="D1110" s="5">
        <v>42856</v>
      </c>
      <c r="E1110">
        <v>244.733</v>
      </c>
      <c r="F1110">
        <v>1.9</v>
      </c>
    </row>
    <row r="1111" spans="1:6" hidden="1">
      <c r="A1111" t="s">
        <v>12</v>
      </c>
      <c r="B1111">
        <v>2017</v>
      </c>
      <c r="C1111" t="s">
        <v>18</v>
      </c>
      <c r="D1111" s="5">
        <v>42887</v>
      </c>
      <c r="E1111">
        <v>244.95500000000001</v>
      </c>
      <c r="F1111">
        <v>1.6</v>
      </c>
    </row>
    <row r="1112" spans="1:6" hidden="1">
      <c r="A1112" t="s">
        <v>12</v>
      </c>
      <c r="B1112">
        <v>2017</v>
      </c>
      <c r="C1112" t="s">
        <v>19</v>
      </c>
      <c r="D1112" s="5">
        <v>42917</v>
      </c>
      <c r="E1112">
        <v>244.786</v>
      </c>
      <c r="F1112">
        <v>1.7</v>
      </c>
    </row>
    <row r="1113" spans="1:6" hidden="1">
      <c r="A1113" t="s">
        <v>12</v>
      </c>
      <c r="B1113">
        <v>2017</v>
      </c>
      <c r="C1113" t="s">
        <v>20</v>
      </c>
      <c r="D1113" s="5">
        <v>42948</v>
      </c>
      <c r="E1113">
        <v>245.51900000000001</v>
      </c>
      <c r="F1113">
        <v>1.9</v>
      </c>
    </row>
    <row r="1114" spans="1:6" hidden="1">
      <c r="A1114" t="s">
        <v>12</v>
      </c>
      <c r="B1114">
        <v>2017</v>
      </c>
      <c r="C1114" t="s">
        <v>21</v>
      </c>
      <c r="D1114" s="5">
        <v>42979</v>
      </c>
      <c r="E1114">
        <v>246.81899999999999</v>
      </c>
      <c r="F1114">
        <v>2.2000000000000002</v>
      </c>
    </row>
    <row r="1115" spans="1:6" hidden="1">
      <c r="A1115" t="s">
        <v>12</v>
      </c>
      <c r="B1115">
        <v>2017</v>
      </c>
      <c r="C1115" t="s">
        <v>22</v>
      </c>
      <c r="D1115" s="5">
        <v>43009</v>
      </c>
      <c r="E1115">
        <v>246.66300000000001</v>
      </c>
      <c r="F1115">
        <v>2</v>
      </c>
    </row>
    <row r="1116" spans="1:6" hidden="1">
      <c r="A1116" t="s">
        <v>12</v>
      </c>
      <c r="B1116">
        <v>2017</v>
      </c>
      <c r="C1116" t="s">
        <v>23</v>
      </c>
      <c r="D1116" s="5">
        <v>43040</v>
      </c>
      <c r="E1116">
        <v>246.66900000000001</v>
      </c>
      <c r="F1116">
        <v>2.2000000000000002</v>
      </c>
    </row>
    <row r="1117" spans="1:6" hidden="1">
      <c r="A1117" t="s">
        <v>12</v>
      </c>
      <c r="B1117">
        <v>2017</v>
      </c>
      <c r="C1117" t="s">
        <v>24</v>
      </c>
      <c r="D1117" s="5">
        <v>43070</v>
      </c>
      <c r="E1117">
        <v>246.524</v>
      </c>
      <c r="F1117">
        <v>2.1</v>
      </c>
    </row>
    <row r="1118" spans="1:6">
      <c r="A1118" t="s">
        <v>12</v>
      </c>
      <c r="B1118">
        <v>2018</v>
      </c>
      <c r="C1118" t="s">
        <v>13</v>
      </c>
      <c r="D1118" s="5">
        <v>43101</v>
      </c>
      <c r="E1118">
        <v>247.86699999999999</v>
      </c>
      <c r="F1118">
        <v>2.1</v>
      </c>
    </row>
    <row r="1119" spans="1:6" hidden="1">
      <c r="A1119" t="s">
        <v>12</v>
      </c>
      <c r="B1119">
        <v>2018</v>
      </c>
      <c r="C1119" t="s">
        <v>14</v>
      </c>
      <c r="D1119" s="5">
        <v>43132</v>
      </c>
      <c r="E1119">
        <v>248.99100000000001</v>
      </c>
      <c r="F1119">
        <v>2.2000000000000002</v>
      </c>
    </row>
    <row r="1120" spans="1:6" hidden="1">
      <c r="A1120" t="s">
        <v>12</v>
      </c>
      <c r="B1120">
        <v>2018</v>
      </c>
      <c r="C1120" t="s">
        <v>15</v>
      </c>
      <c r="D1120" s="5">
        <v>43160</v>
      </c>
      <c r="E1120">
        <v>249.554</v>
      </c>
      <c r="F1120">
        <v>2.4</v>
      </c>
    </row>
    <row r="1121" spans="1:6" hidden="1">
      <c r="A1121" t="s">
        <v>12</v>
      </c>
      <c r="B1121">
        <v>2018</v>
      </c>
      <c r="C1121" t="s">
        <v>16</v>
      </c>
      <c r="D1121" s="5">
        <v>43191</v>
      </c>
      <c r="E1121">
        <v>250.54599999999999</v>
      </c>
      <c r="F1121">
        <v>2.5</v>
      </c>
    </row>
    <row r="1122" spans="1:6" hidden="1">
      <c r="A1122" t="s">
        <v>12</v>
      </c>
      <c r="B1122">
        <v>2018</v>
      </c>
      <c r="C1122" t="s">
        <v>17</v>
      </c>
      <c r="D1122" s="5">
        <v>43221</v>
      </c>
      <c r="E1122">
        <v>251.58799999999999</v>
      </c>
      <c r="F1122">
        <v>2.8</v>
      </c>
    </row>
    <row r="1123" spans="1:6" hidden="1">
      <c r="A1123" t="s">
        <v>12</v>
      </c>
      <c r="B1123">
        <v>2018</v>
      </c>
      <c r="C1123" t="s">
        <v>18</v>
      </c>
      <c r="D1123" s="5">
        <v>43252</v>
      </c>
      <c r="E1123">
        <v>251.989</v>
      </c>
      <c r="F1123">
        <v>2.9</v>
      </c>
    </row>
    <row r="1124" spans="1:6" hidden="1">
      <c r="A1124" t="s">
        <v>12</v>
      </c>
      <c r="B1124">
        <v>2018</v>
      </c>
      <c r="C1124" t="s">
        <v>19</v>
      </c>
      <c r="D1124" s="5">
        <v>43282</v>
      </c>
      <c r="E1124">
        <v>252.006</v>
      </c>
      <c r="F1124">
        <v>2.9</v>
      </c>
    </row>
    <row r="1125" spans="1:6" hidden="1">
      <c r="A1125" t="s">
        <v>12</v>
      </c>
      <c r="B1125">
        <v>2018</v>
      </c>
      <c r="C1125" t="s">
        <v>20</v>
      </c>
      <c r="D1125" s="5">
        <v>43313</v>
      </c>
      <c r="E1125">
        <v>252.14599999999999</v>
      </c>
      <c r="F1125">
        <v>2.7</v>
      </c>
    </row>
    <row r="1126" spans="1:6" hidden="1">
      <c r="A1126" t="s">
        <v>12</v>
      </c>
      <c r="B1126">
        <v>2018</v>
      </c>
      <c r="C1126" t="s">
        <v>21</v>
      </c>
      <c r="D1126" s="5">
        <v>43344</v>
      </c>
      <c r="E1126">
        <v>252.43899999999999</v>
      </c>
      <c r="F1126">
        <v>2.2999999999999998</v>
      </c>
    </row>
    <row r="1127" spans="1:6" hidden="1">
      <c r="A1127" t="s">
        <v>12</v>
      </c>
      <c r="B1127">
        <v>2018</v>
      </c>
      <c r="C1127" t="s">
        <v>22</v>
      </c>
      <c r="D1127" s="5">
        <v>43374</v>
      </c>
      <c r="E1127">
        <v>252.88499999999999</v>
      </c>
      <c r="F1127">
        <v>2.5</v>
      </c>
    </row>
    <row r="1128" spans="1:6" hidden="1">
      <c r="A1128" t="s">
        <v>12</v>
      </c>
      <c r="B1128">
        <v>2018</v>
      </c>
      <c r="C1128" t="s">
        <v>23</v>
      </c>
      <c r="D1128" s="5">
        <v>43405</v>
      </c>
      <c r="E1128">
        <v>252.03800000000001</v>
      </c>
      <c r="F1128">
        <v>2.2000000000000002</v>
      </c>
    </row>
    <row r="1129" spans="1:6" hidden="1">
      <c r="A1129" t="s">
        <v>12</v>
      </c>
      <c r="B1129">
        <v>2018</v>
      </c>
      <c r="C1129" t="s">
        <v>24</v>
      </c>
      <c r="D1129" s="5">
        <v>43435</v>
      </c>
      <c r="E1129">
        <v>251.233</v>
      </c>
      <c r="F1129">
        <v>1.9</v>
      </c>
    </row>
    <row r="1130" spans="1:6">
      <c r="A1130" t="s">
        <v>12</v>
      </c>
      <c r="B1130">
        <v>2019</v>
      </c>
      <c r="C1130" t="s">
        <v>13</v>
      </c>
      <c r="D1130" s="5">
        <v>43466</v>
      </c>
      <c r="E1130">
        <v>251.71199999999999</v>
      </c>
      <c r="F1130">
        <v>1.6</v>
      </c>
    </row>
    <row r="1131" spans="1:6" hidden="1">
      <c r="A1131" t="s">
        <v>12</v>
      </c>
      <c r="B1131">
        <v>2019</v>
      </c>
      <c r="C1131" t="s">
        <v>14</v>
      </c>
      <c r="D1131" s="5">
        <v>43497</v>
      </c>
      <c r="E1131">
        <v>252.77600000000001</v>
      </c>
      <c r="F1131">
        <v>1.5</v>
      </c>
    </row>
    <row r="1132" spans="1:6" hidden="1">
      <c r="A1132" t="s">
        <v>12</v>
      </c>
      <c r="B1132">
        <v>2019</v>
      </c>
      <c r="C1132" t="s">
        <v>15</v>
      </c>
      <c r="D1132" s="5">
        <v>43525</v>
      </c>
      <c r="E1132">
        <v>254.202</v>
      </c>
      <c r="F1132">
        <v>1.9</v>
      </c>
    </row>
    <row r="1133" spans="1:6" hidden="1">
      <c r="A1133" t="s">
        <v>12</v>
      </c>
      <c r="B1133">
        <v>2019</v>
      </c>
      <c r="C1133" t="s">
        <v>16</v>
      </c>
      <c r="D1133" s="5">
        <v>43556</v>
      </c>
      <c r="E1133">
        <v>255.548</v>
      </c>
      <c r="F1133">
        <v>2</v>
      </c>
    </row>
    <row r="1134" spans="1:6" hidden="1">
      <c r="A1134" t="s">
        <v>12</v>
      </c>
      <c r="B1134">
        <v>2019</v>
      </c>
      <c r="C1134" t="s">
        <v>17</v>
      </c>
      <c r="D1134" s="5">
        <v>43586</v>
      </c>
      <c r="E1134">
        <v>256.09199999999998</v>
      </c>
      <c r="F1134">
        <v>1.8</v>
      </c>
    </row>
    <row r="1135" spans="1:6" hidden="1">
      <c r="A1135" t="s">
        <v>12</v>
      </c>
      <c r="B1135">
        <v>2019</v>
      </c>
      <c r="C1135" t="s">
        <v>18</v>
      </c>
      <c r="D1135" s="5">
        <v>43617</v>
      </c>
      <c r="E1135">
        <v>256.14299999999997</v>
      </c>
      <c r="F1135">
        <v>1.6</v>
      </c>
    </row>
    <row r="1136" spans="1:6" hidden="1">
      <c r="A1136" t="s">
        <v>12</v>
      </c>
      <c r="B1136">
        <v>2019</v>
      </c>
      <c r="C1136" t="s">
        <v>19</v>
      </c>
      <c r="D1136" s="5">
        <v>43647</v>
      </c>
      <c r="E1136">
        <v>256.57100000000003</v>
      </c>
      <c r="F1136">
        <v>1.8</v>
      </c>
    </row>
    <row r="1137" spans="1:6" hidden="1">
      <c r="A1137" t="s">
        <v>12</v>
      </c>
      <c r="B1137">
        <v>2019</v>
      </c>
      <c r="C1137" t="s">
        <v>20</v>
      </c>
      <c r="D1137" s="5">
        <v>43678</v>
      </c>
      <c r="E1137">
        <v>256.55799999999999</v>
      </c>
      <c r="F1137">
        <v>1.7</v>
      </c>
    </row>
    <row r="1138" spans="1:6" hidden="1">
      <c r="A1138" t="s">
        <v>12</v>
      </c>
      <c r="B1138">
        <v>2019</v>
      </c>
      <c r="C1138" t="s">
        <v>21</v>
      </c>
      <c r="D1138" s="5">
        <v>43709</v>
      </c>
      <c r="E1138">
        <v>256.75900000000001</v>
      </c>
      <c r="F1138">
        <v>1.7</v>
      </c>
    </row>
    <row r="1139" spans="1:6" hidden="1">
      <c r="A1139" t="s">
        <v>12</v>
      </c>
      <c r="B1139">
        <v>2019</v>
      </c>
      <c r="C1139" t="s">
        <v>22</v>
      </c>
      <c r="D1139" s="5">
        <v>43739</v>
      </c>
      <c r="E1139">
        <v>257.346</v>
      </c>
      <c r="F1139">
        <v>1.8</v>
      </c>
    </row>
    <row r="1140" spans="1:6" hidden="1">
      <c r="A1140" t="s">
        <v>12</v>
      </c>
      <c r="B1140">
        <v>2019</v>
      </c>
      <c r="C1140" t="s">
        <v>23</v>
      </c>
      <c r="D1140" s="5">
        <v>43770</v>
      </c>
      <c r="E1140">
        <v>257.20800000000003</v>
      </c>
      <c r="F1140">
        <v>2.1</v>
      </c>
    </row>
    <row r="1141" spans="1:6" hidden="1">
      <c r="A1141" t="s">
        <v>12</v>
      </c>
      <c r="B1141">
        <v>2019</v>
      </c>
      <c r="C1141" t="s">
        <v>24</v>
      </c>
      <c r="D1141" s="5">
        <v>43800</v>
      </c>
      <c r="E1141">
        <v>256.97399999999999</v>
      </c>
      <c r="F1141">
        <v>2.2999999999999998</v>
      </c>
    </row>
    <row r="1142" spans="1:6">
      <c r="A1142" t="s">
        <v>12</v>
      </c>
      <c r="B1142">
        <v>2020</v>
      </c>
      <c r="C1142" t="s">
        <v>13</v>
      </c>
      <c r="D1142" s="5">
        <v>43831</v>
      </c>
      <c r="E1142">
        <v>257.971</v>
      </c>
      <c r="F1142">
        <v>2.5</v>
      </c>
    </row>
    <row r="1143" spans="1:6" hidden="1">
      <c r="A1143" t="s">
        <v>12</v>
      </c>
      <c r="B1143">
        <v>2020</v>
      </c>
      <c r="C1143" t="s">
        <v>14</v>
      </c>
      <c r="D1143" s="5">
        <v>43862</v>
      </c>
      <c r="E1143">
        <v>258.678</v>
      </c>
      <c r="F1143">
        <v>2.2999999999999998</v>
      </c>
    </row>
    <row r="1144" spans="1:6" hidden="1">
      <c r="A1144" t="s">
        <v>12</v>
      </c>
      <c r="B1144">
        <v>2020</v>
      </c>
      <c r="C1144" t="s">
        <v>15</v>
      </c>
      <c r="D1144" s="5">
        <v>43891</v>
      </c>
      <c r="E1144">
        <v>258.11500000000001</v>
      </c>
      <c r="F1144">
        <v>1.5</v>
      </c>
    </row>
    <row r="1145" spans="1:6" hidden="1">
      <c r="A1145" t="s">
        <v>12</v>
      </c>
      <c r="B1145">
        <v>2020</v>
      </c>
      <c r="C1145" t="s">
        <v>16</v>
      </c>
      <c r="D1145" s="5">
        <v>43922</v>
      </c>
      <c r="E1145">
        <v>256.38900000000001</v>
      </c>
      <c r="F1145">
        <v>0.3</v>
      </c>
    </row>
    <row r="1146" spans="1:6" hidden="1">
      <c r="A1146" t="s">
        <v>12</v>
      </c>
      <c r="B1146">
        <v>2020</v>
      </c>
      <c r="C1146" t="s">
        <v>17</v>
      </c>
      <c r="D1146" s="5">
        <v>43952</v>
      </c>
      <c r="E1146">
        <v>256.39400000000001</v>
      </c>
      <c r="F1146">
        <v>0.1</v>
      </c>
    </row>
    <row r="1147" spans="1:6" hidden="1">
      <c r="A1147" t="s">
        <v>12</v>
      </c>
      <c r="B1147">
        <v>2020</v>
      </c>
      <c r="C1147" t="s">
        <v>18</v>
      </c>
      <c r="D1147" s="5">
        <v>43983</v>
      </c>
      <c r="E1147">
        <v>257.79700000000003</v>
      </c>
      <c r="F1147">
        <v>0.6</v>
      </c>
    </row>
    <row r="1148" spans="1:6" hidden="1">
      <c r="A1148" t="s">
        <v>12</v>
      </c>
      <c r="B1148">
        <v>2020</v>
      </c>
      <c r="C1148" t="s">
        <v>19</v>
      </c>
      <c r="D1148" s="5">
        <v>44013</v>
      </c>
      <c r="E1148">
        <v>259.101</v>
      </c>
      <c r="F1148">
        <v>1</v>
      </c>
    </row>
    <row r="1149" spans="1:6" hidden="1">
      <c r="A1149" t="s">
        <v>12</v>
      </c>
      <c r="B1149">
        <v>2020</v>
      </c>
      <c r="C1149" t="s">
        <v>20</v>
      </c>
      <c r="D1149" s="5">
        <v>44044</v>
      </c>
      <c r="E1149">
        <v>259.91800000000001</v>
      </c>
      <c r="F1149">
        <v>1.3</v>
      </c>
    </row>
    <row r="1150" spans="1:6" hidden="1">
      <c r="A1150" t="s">
        <v>12</v>
      </c>
      <c r="B1150">
        <v>2020</v>
      </c>
      <c r="C1150" t="s">
        <v>21</v>
      </c>
      <c r="D1150" s="5">
        <v>44075</v>
      </c>
      <c r="E1150">
        <v>260.27999999999997</v>
      </c>
      <c r="F1150">
        <v>1.4</v>
      </c>
    </row>
    <row r="1151" spans="1:6" hidden="1">
      <c r="A1151" t="s">
        <v>12</v>
      </c>
      <c r="B1151">
        <v>2020</v>
      </c>
      <c r="C1151" t="s">
        <v>22</v>
      </c>
      <c r="D1151" s="5">
        <v>44105</v>
      </c>
      <c r="E1151">
        <v>260.38799999999998</v>
      </c>
      <c r="F1151">
        <v>1.2</v>
      </c>
    </row>
    <row r="1152" spans="1:6" hidden="1">
      <c r="A1152" t="s">
        <v>12</v>
      </c>
      <c r="B1152">
        <v>2020</v>
      </c>
      <c r="C1152" t="s">
        <v>23</v>
      </c>
      <c r="D1152" s="5">
        <v>44136</v>
      </c>
      <c r="E1152">
        <v>260.22899999999998</v>
      </c>
      <c r="F1152">
        <v>1.2</v>
      </c>
    </row>
    <row r="1153" spans="1:6" hidden="1">
      <c r="A1153" t="s">
        <v>12</v>
      </c>
      <c r="B1153">
        <v>2020</v>
      </c>
      <c r="C1153" t="s">
        <v>24</v>
      </c>
      <c r="D1153" s="5">
        <v>44166</v>
      </c>
      <c r="E1153">
        <v>260.47399999999999</v>
      </c>
      <c r="F1153">
        <v>1.4</v>
      </c>
    </row>
    <row r="1154" spans="1:6">
      <c r="A1154" t="s">
        <v>12</v>
      </c>
      <c r="B1154">
        <v>2021</v>
      </c>
      <c r="C1154" t="s">
        <v>13</v>
      </c>
      <c r="D1154" s="5">
        <v>44197</v>
      </c>
      <c r="E1154">
        <v>261.58199999999999</v>
      </c>
    </row>
    <row r="1155" spans="1:6" hidden="1">
      <c r="A1155" t="s">
        <v>12</v>
      </c>
      <c r="B1155">
        <v>2021</v>
      </c>
      <c r="C1155" t="s">
        <v>14</v>
      </c>
      <c r="D1155" s="5">
        <v>44228</v>
      </c>
      <c r="E1155">
        <v>263.01400000000001</v>
      </c>
    </row>
    <row r="1156" spans="1:6" hidden="1">
      <c r="A1156" t="s">
        <v>12</v>
      </c>
      <c r="B1156">
        <v>2021</v>
      </c>
      <c r="C1156" t="s">
        <v>15</v>
      </c>
      <c r="D1156" s="5">
        <v>44256</v>
      </c>
      <c r="E1156">
        <v>264.87700000000001</v>
      </c>
    </row>
    <row r="1157" spans="1:6" hidden="1">
      <c r="A1157" t="s">
        <v>12</v>
      </c>
      <c r="B1157">
        <v>2021</v>
      </c>
      <c r="C1157" t="s">
        <v>16</v>
      </c>
      <c r="D1157" s="5">
        <v>44287</v>
      </c>
      <c r="E1157">
        <v>267.05399999999997</v>
      </c>
    </row>
    <row r="1158" spans="1:6" hidden="1">
      <c r="A1158" t="s">
        <v>12</v>
      </c>
      <c r="B1158">
        <v>2021</v>
      </c>
      <c r="C1158" t="s">
        <v>17</v>
      </c>
      <c r="D1158" s="5">
        <v>44317</v>
      </c>
      <c r="E1158">
        <v>269.19499999999999</v>
      </c>
    </row>
    <row r="1159" spans="1:6" hidden="1">
      <c r="A1159" t="s">
        <v>12</v>
      </c>
      <c r="B1159">
        <v>2021</v>
      </c>
      <c r="C1159" t="s">
        <v>18</v>
      </c>
      <c r="D1159" s="5">
        <v>44348</v>
      </c>
      <c r="E1159">
        <v>271.69600000000003</v>
      </c>
    </row>
    <row r="1160" spans="1:6" hidden="1">
      <c r="A1160" t="s">
        <v>12</v>
      </c>
      <c r="B1160">
        <v>2021</v>
      </c>
      <c r="C1160" t="s">
        <v>19</v>
      </c>
      <c r="D1160" s="5">
        <v>44378</v>
      </c>
      <c r="E1160">
        <v>273.00299999999999</v>
      </c>
    </row>
    <row r="1161" spans="1:6" hidden="1">
      <c r="A1161" t="s">
        <v>12</v>
      </c>
      <c r="B1161">
        <v>2021</v>
      </c>
      <c r="C1161" t="s">
        <v>20</v>
      </c>
      <c r="D1161" s="5">
        <v>44409</v>
      </c>
      <c r="E1161">
        <v>273.56700000000001</v>
      </c>
    </row>
    <row r="1162" spans="1:6" hidden="1">
      <c r="A1162" t="s">
        <v>12</v>
      </c>
      <c r="B1162">
        <v>2021</v>
      </c>
      <c r="C1162" t="s">
        <v>21</v>
      </c>
      <c r="D1162" s="5">
        <v>44440</v>
      </c>
      <c r="E1162">
        <v>274.31</v>
      </c>
    </row>
    <row r="1163" spans="1:6" hidden="1">
      <c r="A1163" t="s">
        <v>12</v>
      </c>
      <c r="B1163">
        <v>2021</v>
      </c>
      <c r="C1163" t="s">
        <v>22</v>
      </c>
      <c r="D1163" s="5">
        <v>44470</v>
      </c>
      <c r="E1163">
        <v>276.589</v>
      </c>
    </row>
    <row r="1164" spans="1:6" hidden="1">
      <c r="A1164" t="s">
        <v>12</v>
      </c>
      <c r="B1164">
        <v>2021</v>
      </c>
      <c r="C1164" t="s">
        <v>23</v>
      </c>
      <c r="D1164" s="5">
        <v>44501</v>
      </c>
      <c r="E1164">
        <v>277.94799999999998</v>
      </c>
    </row>
    <row r="1165" spans="1:6" hidden="1">
      <c r="A1165" t="s">
        <v>12</v>
      </c>
      <c r="B1165">
        <v>2021</v>
      </c>
      <c r="C1165" t="s">
        <v>24</v>
      </c>
      <c r="D1165" s="5">
        <v>44531</v>
      </c>
      <c r="E1165">
        <v>278.80200000000002</v>
      </c>
    </row>
    <row r="1166" spans="1:6">
      <c r="A1166" t="s">
        <v>12</v>
      </c>
      <c r="B1166">
        <v>2022</v>
      </c>
      <c r="C1166" t="s">
        <v>13</v>
      </c>
      <c r="D1166" s="5">
        <v>44562</v>
      </c>
      <c r="E1166">
        <v>281.14800000000002</v>
      </c>
      <c r="F1166">
        <v>7.5</v>
      </c>
    </row>
    <row r="1167" spans="1:6" hidden="1">
      <c r="A1167" t="s">
        <v>12</v>
      </c>
      <c r="B1167">
        <v>2022</v>
      </c>
      <c r="C1167" t="s">
        <v>14</v>
      </c>
      <c r="D1167" s="5">
        <v>44593</v>
      </c>
      <c r="E1167">
        <v>283.71600000000001</v>
      </c>
      <c r="F1167">
        <v>7.9</v>
      </c>
    </row>
    <row r="1168" spans="1:6" hidden="1">
      <c r="A1168" t="s">
        <v>12</v>
      </c>
      <c r="B1168">
        <v>2022</v>
      </c>
      <c r="C1168" t="s">
        <v>15</v>
      </c>
      <c r="D1168" s="5">
        <v>44621</v>
      </c>
      <c r="E1168">
        <v>287.50400000000002</v>
      </c>
      <c r="F1168">
        <v>8.5</v>
      </c>
    </row>
    <row r="1169" spans="1:6" hidden="1">
      <c r="A1169" t="s">
        <v>12</v>
      </c>
      <c r="B1169">
        <v>2022</v>
      </c>
      <c r="C1169" t="s">
        <v>16</v>
      </c>
      <c r="D1169" s="5">
        <v>44652</v>
      </c>
      <c r="E1169">
        <v>289.10899999999998</v>
      </c>
      <c r="F1169">
        <v>8.3000000000000007</v>
      </c>
    </row>
    <row r="1170" spans="1:6" hidden="1">
      <c r="A1170" t="s">
        <v>12</v>
      </c>
      <c r="B1170">
        <v>2022</v>
      </c>
      <c r="C1170" t="s">
        <v>17</v>
      </c>
      <c r="D1170" s="5">
        <v>44682</v>
      </c>
      <c r="E1170">
        <v>292.29599999999999</v>
      </c>
      <c r="F1170">
        <v>8.6</v>
      </c>
    </row>
    <row r="1171" spans="1:6" hidden="1">
      <c r="A1171" t="s">
        <v>12</v>
      </c>
      <c r="B1171">
        <v>2022</v>
      </c>
      <c r="C1171" t="s">
        <v>18</v>
      </c>
      <c r="D1171" s="5">
        <v>44713</v>
      </c>
      <c r="E1171">
        <v>296.31099999999998</v>
      </c>
      <c r="F1171">
        <v>9.1</v>
      </c>
    </row>
    <row r="1172" spans="1:6" hidden="1">
      <c r="A1172" t="s">
        <v>12</v>
      </c>
      <c r="B1172">
        <v>2022</v>
      </c>
      <c r="C1172" t="s">
        <v>19</v>
      </c>
      <c r="D1172" s="5">
        <v>44743</v>
      </c>
      <c r="E1172">
        <v>296.27600000000001</v>
      </c>
      <c r="F1172">
        <v>8.5</v>
      </c>
    </row>
    <row r="1173" spans="1:6" hidden="1">
      <c r="A1173" t="s">
        <v>12</v>
      </c>
      <c r="B1173">
        <v>2022</v>
      </c>
      <c r="C1173" t="s">
        <v>20</v>
      </c>
      <c r="D1173" s="5">
        <v>44774</v>
      </c>
      <c r="E1173">
        <v>296.17099999999999</v>
      </c>
      <c r="F1173">
        <v>8.3000000000000007</v>
      </c>
    </row>
    <row r="1174" spans="1:6" hidden="1">
      <c r="A1174" t="s">
        <v>12</v>
      </c>
      <c r="B1174">
        <v>2022</v>
      </c>
      <c r="C1174" t="s">
        <v>21</v>
      </c>
      <c r="D1174" s="5">
        <v>44805</v>
      </c>
      <c r="E1174">
        <v>296.80799999999999</v>
      </c>
      <c r="F1174">
        <v>8.1999999999999993</v>
      </c>
    </row>
    <row r="1175" spans="1:6" hidden="1">
      <c r="A1175" t="s">
        <v>12</v>
      </c>
      <c r="B1175">
        <v>2022</v>
      </c>
      <c r="C1175" t="s">
        <v>22</v>
      </c>
      <c r="D1175" s="5">
        <v>44835</v>
      </c>
      <c r="E1175">
        <v>298.012</v>
      </c>
      <c r="F1175">
        <v>7.7</v>
      </c>
    </row>
    <row r="1176" spans="1:6" hidden="1">
      <c r="A1176" t="s">
        <v>12</v>
      </c>
      <c r="B1176">
        <v>2022</v>
      </c>
      <c r="C1176" t="s">
        <v>23</v>
      </c>
      <c r="D1176" s="5">
        <v>44866</v>
      </c>
      <c r="E1176">
        <v>297.71100000000001</v>
      </c>
      <c r="F1176">
        <v>7.1</v>
      </c>
    </row>
    <row r="1177" spans="1:6" hidden="1">
      <c r="A1177" t="s">
        <v>12</v>
      </c>
      <c r="B1177">
        <v>2022</v>
      </c>
      <c r="C1177" t="s">
        <v>24</v>
      </c>
      <c r="D1177" s="5">
        <v>44896</v>
      </c>
      <c r="E1177">
        <v>296.79700000000003</v>
      </c>
      <c r="F1177">
        <v>6.5</v>
      </c>
    </row>
    <row r="1178" spans="1:6">
      <c r="A1178" t="s">
        <v>12</v>
      </c>
      <c r="B1178">
        <v>2023</v>
      </c>
      <c r="C1178" t="s">
        <v>13</v>
      </c>
      <c r="D1178" s="5">
        <v>44927</v>
      </c>
      <c r="E1178">
        <v>299.17</v>
      </c>
      <c r="F1178">
        <v>6.4</v>
      </c>
    </row>
    <row r="1179" spans="1:6" hidden="1">
      <c r="A1179" t="s">
        <v>12</v>
      </c>
      <c r="B1179">
        <v>2023</v>
      </c>
      <c r="C1179" t="s">
        <v>14</v>
      </c>
      <c r="D1179" s="5">
        <v>44958</v>
      </c>
      <c r="E1179">
        <v>300.83999999999997</v>
      </c>
      <c r="F1179">
        <v>6</v>
      </c>
    </row>
    <row r="1180" spans="1:6" hidden="1">
      <c r="A1180" t="s">
        <v>12</v>
      </c>
      <c r="B1180">
        <v>2023</v>
      </c>
      <c r="C1180" t="s">
        <v>15</v>
      </c>
      <c r="D1180" s="5">
        <v>44986</v>
      </c>
      <c r="E1180">
        <v>301.83600000000001</v>
      </c>
      <c r="F1180">
        <v>5</v>
      </c>
    </row>
    <row r="1181" spans="1:6" hidden="1">
      <c r="A1181" t="s">
        <v>12</v>
      </c>
      <c r="B1181">
        <v>2023</v>
      </c>
      <c r="C1181" t="s">
        <v>16</v>
      </c>
      <c r="D1181" s="5">
        <v>45017</v>
      </c>
      <c r="E1181">
        <v>303.363</v>
      </c>
      <c r="F1181">
        <v>4.9000000000000004</v>
      </c>
    </row>
    <row r="1182" spans="1:6" hidden="1">
      <c r="A1182" t="s">
        <v>12</v>
      </c>
      <c r="B1182">
        <v>2023</v>
      </c>
      <c r="C1182" t="s">
        <v>17</v>
      </c>
      <c r="D1182" s="5">
        <v>45047</v>
      </c>
      <c r="E1182">
        <v>304.12700000000001</v>
      </c>
      <c r="F1182">
        <v>4</v>
      </c>
    </row>
    <row r="1183" spans="1:6" hidden="1">
      <c r="A1183" t="s">
        <v>12</v>
      </c>
      <c r="B1183">
        <v>2023</v>
      </c>
      <c r="C1183" t="s">
        <v>18</v>
      </c>
      <c r="D1183" s="5">
        <v>45078</v>
      </c>
      <c r="E1183">
        <v>305.10899999999998</v>
      </c>
      <c r="F1183">
        <v>3</v>
      </c>
    </row>
    <row r="1184" spans="1:6" hidden="1">
      <c r="A1184" t="s">
        <v>12</v>
      </c>
      <c r="B1184">
        <v>2023</v>
      </c>
      <c r="C1184" t="s">
        <v>19</v>
      </c>
      <c r="D1184" s="5">
        <v>45108</v>
      </c>
      <c r="E1184">
        <v>305.69099999999997</v>
      </c>
      <c r="F1184">
        <v>3.2</v>
      </c>
    </row>
    <row r="1185" spans="1:6" hidden="1">
      <c r="A1185" t="s">
        <v>12</v>
      </c>
      <c r="B1185">
        <v>2023</v>
      </c>
      <c r="C1185" t="s">
        <v>20</v>
      </c>
      <c r="D1185" s="5">
        <v>45139</v>
      </c>
      <c r="E1185">
        <v>307.02600000000001</v>
      </c>
      <c r="F1185">
        <v>3.7</v>
      </c>
    </row>
    <row r="1186" spans="1:6" hidden="1">
      <c r="A1186" t="s">
        <v>12</v>
      </c>
      <c r="B1186">
        <v>2023</v>
      </c>
      <c r="C1186" t="s">
        <v>21</v>
      </c>
      <c r="D1186" s="5">
        <v>45170</v>
      </c>
      <c r="E1186">
        <v>307.78899999999999</v>
      </c>
      <c r="F1186">
        <v>3.7</v>
      </c>
    </row>
    <row r="1187" spans="1:6" hidden="1">
      <c r="A1187" t="s">
        <v>12</v>
      </c>
      <c r="B1187">
        <v>2023</v>
      </c>
      <c r="C1187" t="s">
        <v>22</v>
      </c>
      <c r="D1187" s="5">
        <v>45200</v>
      </c>
      <c r="E1187">
        <v>307.67099999999999</v>
      </c>
      <c r="F1187">
        <v>3.2</v>
      </c>
    </row>
    <row r="1188" spans="1:6" hidden="1">
      <c r="A1188" t="s">
        <v>12</v>
      </c>
      <c r="B1188">
        <v>2023</v>
      </c>
      <c r="C1188" t="s">
        <v>23</v>
      </c>
      <c r="D1188" s="5">
        <v>45231</v>
      </c>
      <c r="E1188">
        <v>307.05099999999999</v>
      </c>
      <c r="F1188">
        <v>3.1</v>
      </c>
    </row>
    <row r="1189" spans="1:6" hidden="1">
      <c r="A1189" t="s">
        <v>12</v>
      </c>
      <c r="B1189">
        <v>2023</v>
      </c>
      <c r="C1189" t="s">
        <v>24</v>
      </c>
      <c r="D1189" s="5">
        <v>45261</v>
      </c>
      <c r="E1189">
        <v>306.74599999999998</v>
      </c>
      <c r="F1189">
        <v>3.4</v>
      </c>
    </row>
    <row r="1190" spans="1:6">
      <c r="A1190" t="s">
        <v>12</v>
      </c>
      <c r="B1190">
        <v>2024</v>
      </c>
      <c r="C1190" t="s">
        <v>13</v>
      </c>
      <c r="D1190" s="5">
        <v>45292</v>
      </c>
      <c r="E1190">
        <v>308.41699999999997</v>
      </c>
      <c r="F1190">
        <v>3.1</v>
      </c>
    </row>
    <row r="1191" spans="1:6" hidden="1">
      <c r="A1191" t="s">
        <v>12</v>
      </c>
      <c r="B1191">
        <v>2024</v>
      </c>
      <c r="C1191" t="s">
        <v>14</v>
      </c>
      <c r="D1191" s="5">
        <v>45323</v>
      </c>
      <c r="E1191">
        <v>310.32600000000002</v>
      </c>
      <c r="F1191">
        <v>3.2</v>
      </c>
    </row>
    <row r="1192" spans="1:6" hidden="1">
      <c r="A1192" t="s">
        <v>12</v>
      </c>
      <c r="B1192">
        <v>2024</v>
      </c>
      <c r="C1192" t="s">
        <v>15</v>
      </c>
      <c r="D1192" s="5">
        <v>45352</v>
      </c>
      <c r="E1192">
        <v>312.33199999999999</v>
      </c>
      <c r="F1192">
        <v>3.5</v>
      </c>
    </row>
    <row r="1193" spans="1:6" hidden="1">
      <c r="A1193" t="s">
        <v>12</v>
      </c>
      <c r="B1193">
        <v>2024</v>
      </c>
      <c r="C1193" t="s">
        <v>16</v>
      </c>
      <c r="D1193" s="5">
        <v>45383</v>
      </c>
      <c r="E1193">
        <v>313.548</v>
      </c>
      <c r="F1193">
        <v>3.4</v>
      </c>
    </row>
    <row r="1194" spans="1:6" hidden="1">
      <c r="A1194" t="s">
        <v>12</v>
      </c>
      <c r="B1194">
        <v>2024</v>
      </c>
      <c r="C1194" t="s">
        <v>17</v>
      </c>
      <c r="D1194" s="5">
        <v>45413</v>
      </c>
      <c r="E1194">
        <v>314.06900000000002</v>
      </c>
      <c r="F1194">
        <v>3.3</v>
      </c>
    </row>
    <row r="1195" spans="1:6" hidden="1">
      <c r="A1195" t="s">
        <v>12</v>
      </c>
      <c r="B1195">
        <v>2024</v>
      </c>
      <c r="C1195" t="s">
        <v>18</v>
      </c>
      <c r="D1195" s="5">
        <v>45444</v>
      </c>
      <c r="E1195">
        <v>314.17500000000001</v>
      </c>
      <c r="F1195">
        <v>3</v>
      </c>
    </row>
    <row r="1196" spans="1:6" hidden="1">
      <c r="A1196" t="s">
        <v>12</v>
      </c>
      <c r="B1196">
        <v>2024</v>
      </c>
      <c r="C1196" t="s">
        <v>19</v>
      </c>
      <c r="D1196" s="5">
        <v>45474</v>
      </c>
      <c r="E1196">
        <v>314.54000000000002</v>
      </c>
      <c r="F1196">
        <v>2.9</v>
      </c>
    </row>
    <row r="1197" spans="1:6" hidden="1">
      <c r="A1197" t="s">
        <v>12</v>
      </c>
      <c r="B1197">
        <v>2024</v>
      </c>
      <c r="C1197" t="s">
        <v>20</v>
      </c>
      <c r="D1197" s="5">
        <v>45505</v>
      </c>
      <c r="E1197">
        <v>314.79599999999999</v>
      </c>
      <c r="F1197">
        <v>2.5</v>
      </c>
    </row>
    <row r="1198" spans="1:6" hidden="1">
      <c r="A1198" t="s">
        <v>12</v>
      </c>
      <c r="B1198">
        <v>2024</v>
      </c>
      <c r="C1198" t="s">
        <v>21</v>
      </c>
      <c r="D1198" s="5">
        <v>45536</v>
      </c>
      <c r="E1198">
        <v>315.30099999999999</v>
      </c>
      <c r="F1198">
        <v>2.4</v>
      </c>
    </row>
    <row r="1199" spans="1:6" hidden="1">
      <c r="A1199" t="s">
        <v>12</v>
      </c>
      <c r="B1199">
        <v>2024</v>
      </c>
      <c r="C1199" t="s">
        <v>22</v>
      </c>
      <c r="D1199" s="5">
        <v>45566</v>
      </c>
      <c r="E1199">
        <v>315.66399999999999</v>
      </c>
      <c r="F1199">
        <v>2.6</v>
      </c>
    </row>
    <row r="1200" spans="1:6" hidden="1">
      <c r="A1200" t="s">
        <v>12</v>
      </c>
      <c r="B1200">
        <v>2024</v>
      </c>
      <c r="C1200" t="s">
        <v>23</v>
      </c>
      <c r="D1200" s="5">
        <v>45597</v>
      </c>
      <c r="E1200">
        <v>315.49299999999999</v>
      </c>
      <c r="F1200">
        <v>2.7</v>
      </c>
    </row>
    <row r="1201" spans="1:6" hidden="1">
      <c r="A1201" t="s">
        <v>12</v>
      </c>
      <c r="B1201">
        <v>2024</v>
      </c>
      <c r="C1201" t="s">
        <v>24</v>
      </c>
      <c r="D1201" s="5">
        <v>45627</v>
      </c>
      <c r="E1201">
        <v>315.60500000000002</v>
      </c>
      <c r="F1201">
        <v>2.9</v>
      </c>
    </row>
    <row r="1202" spans="1:6">
      <c r="A1202" t="s">
        <v>12</v>
      </c>
      <c r="B1202">
        <v>2025</v>
      </c>
      <c r="C1202" t="s">
        <v>13</v>
      </c>
      <c r="D1202" s="5">
        <v>45658</v>
      </c>
      <c r="E1202">
        <v>317.67099999999999</v>
      </c>
      <c r="F1202">
        <v>3</v>
      </c>
    </row>
    <row r="1203" spans="1:6" hidden="1">
      <c r="A1203" t="s">
        <v>12</v>
      </c>
      <c r="B1203">
        <v>2025</v>
      </c>
      <c r="C1203" t="s">
        <v>14</v>
      </c>
      <c r="D1203" s="5">
        <v>45689</v>
      </c>
      <c r="E1203">
        <v>319.08199999999999</v>
      </c>
      <c r="F1203">
        <v>2.8</v>
      </c>
    </row>
    <row r="1204" spans="1:6" hidden="1">
      <c r="A1204" t="s">
        <v>12</v>
      </c>
      <c r="B1204">
        <v>2025</v>
      </c>
      <c r="C1204" t="s">
        <v>15</v>
      </c>
      <c r="D1204" s="5">
        <v>45717</v>
      </c>
      <c r="E1204">
        <v>319.79899999999998</v>
      </c>
      <c r="F1204">
        <v>2.4</v>
      </c>
    </row>
    <row r="1205" spans="1:6" hidden="1">
      <c r="A1205" t="s">
        <v>12</v>
      </c>
      <c r="B1205">
        <v>2025</v>
      </c>
      <c r="C1205" t="s">
        <v>16</v>
      </c>
      <c r="D1205" s="5">
        <v>45748</v>
      </c>
      <c r="E1205">
        <v>320.79500000000002</v>
      </c>
      <c r="F1205">
        <v>2.2999999999999998</v>
      </c>
    </row>
    <row r="1206" spans="1:6" hidden="1">
      <c r="A1206" t="s">
        <v>12</v>
      </c>
      <c r="B1206">
        <v>2025</v>
      </c>
      <c r="C1206" t="s">
        <v>17</v>
      </c>
      <c r="D1206" s="5">
        <v>45778</v>
      </c>
      <c r="E1206">
        <v>321.46499999999997</v>
      </c>
      <c r="F1206">
        <v>2.4</v>
      </c>
    </row>
    <row r="1207" spans="1:6" hidden="1">
      <c r="A1207" t="s">
        <v>12</v>
      </c>
      <c r="B1207">
        <v>2025</v>
      </c>
      <c r="C1207" t="s">
        <v>18</v>
      </c>
      <c r="D1207" s="5">
        <v>45809</v>
      </c>
      <c r="E1207">
        <v>322.56099999999998</v>
      </c>
      <c r="F1207">
        <v>2.7</v>
      </c>
    </row>
    <row r="1208" spans="1:6" hidden="1">
      <c r="A1208" t="s">
        <v>12</v>
      </c>
      <c r="B1208">
        <v>2025</v>
      </c>
      <c r="C1208" t="s">
        <v>19</v>
      </c>
      <c r="D1208" s="5">
        <v>45839</v>
      </c>
      <c r="E1208">
        <v>323.048</v>
      </c>
      <c r="F1208">
        <v>2.7</v>
      </c>
    </row>
    <row r="1209" spans="1:6" hidden="1">
      <c r="A1209" t="s">
        <v>12</v>
      </c>
      <c r="B1209">
        <v>2025</v>
      </c>
      <c r="C1209" t="s">
        <v>20</v>
      </c>
      <c r="D1209" s="5">
        <v>45870</v>
      </c>
      <c r="E1209">
        <v>323.976</v>
      </c>
      <c r="F1209">
        <v>2.9</v>
      </c>
    </row>
    <row r="1210" spans="1:6" hidden="1">
      <c r="A1210" t="s">
        <v>12</v>
      </c>
      <c r="B1210">
        <v>2025</v>
      </c>
      <c r="C1210" t="s">
        <v>21</v>
      </c>
      <c r="D1210" s="5">
        <v>45901</v>
      </c>
      <c r="E1210">
        <v>324.8</v>
      </c>
      <c r="F1210">
        <v>3</v>
      </c>
    </row>
    <row r="1212" spans="1:6" ht="43.2">
      <c r="A1212" s="98" t="s">
        <v>156</v>
      </c>
    </row>
    <row r="1213" spans="1:6">
      <c r="F1213">
        <f>SUM(F602:F1202)/51</f>
        <v>42.750980392156841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760FA-8BD9-4DC2-A088-553A1E35C5F2}">
  <dimension ref="C4:P123"/>
  <sheetViews>
    <sheetView topLeftCell="A96" workbookViewId="0">
      <selection activeCell="P124" sqref="P124"/>
    </sheetView>
  </sheetViews>
  <sheetFormatPr defaultRowHeight="14.4"/>
  <sheetData>
    <row r="4" spans="3:16">
      <c r="C4" t="s">
        <v>157</v>
      </c>
    </row>
    <row r="5" spans="3:16">
      <c r="C5" t="s">
        <v>158</v>
      </c>
    </row>
    <row r="7" spans="3:16">
      <c r="C7" t="s">
        <v>7</v>
      </c>
      <c r="D7" t="s">
        <v>159</v>
      </c>
      <c r="E7" t="s">
        <v>160</v>
      </c>
      <c r="F7" t="s">
        <v>161</v>
      </c>
      <c r="G7" t="s">
        <v>162</v>
      </c>
      <c r="H7" t="s">
        <v>163</v>
      </c>
      <c r="I7" t="s">
        <v>164</v>
      </c>
      <c r="J7" t="s">
        <v>165</v>
      </c>
      <c r="K7" t="s">
        <v>166</v>
      </c>
      <c r="L7" t="s">
        <v>167</v>
      </c>
      <c r="M7" t="s">
        <v>168</v>
      </c>
      <c r="N7" t="s">
        <v>169</v>
      </c>
      <c r="O7" t="s">
        <v>170</v>
      </c>
      <c r="P7" t="s">
        <v>171</v>
      </c>
    </row>
    <row r="8" spans="3:16">
      <c r="C8">
        <v>1914</v>
      </c>
      <c r="D8">
        <v>2</v>
      </c>
      <c r="E8">
        <v>1</v>
      </c>
      <c r="F8">
        <v>1</v>
      </c>
      <c r="G8">
        <v>0</v>
      </c>
      <c r="H8">
        <v>2.1</v>
      </c>
      <c r="I8">
        <v>1</v>
      </c>
      <c r="J8">
        <v>1</v>
      </c>
      <c r="K8">
        <v>3</v>
      </c>
      <c r="L8">
        <v>2</v>
      </c>
      <c r="M8">
        <v>1</v>
      </c>
      <c r="N8">
        <v>1</v>
      </c>
      <c r="O8">
        <v>1</v>
      </c>
      <c r="P8">
        <v>1</v>
      </c>
    </row>
    <row r="9" spans="3:16">
      <c r="C9">
        <v>1915</v>
      </c>
      <c r="D9">
        <v>1</v>
      </c>
      <c r="E9">
        <v>1</v>
      </c>
      <c r="F9">
        <v>0</v>
      </c>
      <c r="G9">
        <v>2</v>
      </c>
      <c r="H9">
        <v>2</v>
      </c>
      <c r="I9">
        <v>2</v>
      </c>
      <c r="J9">
        <v>1</v>
      </c>
      <c r="K9">
        <v>-1</v>
      </c>
      <c r="L9">
        <v>-1</v>
      </c>
      <c r="M9">
        <v>1</v>
      </c>
      <c r="N9">
        <v>1</v>
      </c>
      <c r="O9">
        <v>2</v>
      </c>
      <c r="P9">
        <v>1</v>
      </c>
    </row>
    <row r="10" spans="3:16">
      <c r="C10">
        <v>1916</v>
      </c>
      <c r="D10">
        <v>3</v>
      </c>
      <c r="E10">
        <v>4</v>
      </c>
      <c r="F10">
        <v>6.1</v>
      </c>
      <c r="G10">
        <v>6</v>
      </c>
      <c r="H10">
        <v>5.9</v>
      </c>
      <c r="I10">
        <v>6.9</v>
      </c>
      <c r="J10">
        <v>6.9</v>
      </c>
      <c r="K10">
        <v>7.9</v>
      </c>
      <c r="L10">
        <v>9.9</v>
      </c>
      <c r="M10">
        <v>10.8</v>
      </c>
      <c r="N10">
        <v>11.7</v>
      </c>
      <c r="O10">
        <v>12.6</v>
      </c>
      <c r="P10">
        <v>7.9</v>
      </c>
    </row>
    <row r="11" spans="3:16">
      <c r="C11">
        <v>1917</v>
      </c>
      <c r="D11">
        <v>12.5</v>
      </c>
      <c r="E11">
        <v>15.4</v>
      </c>
      <c r="F11">
        <v>14.3</v>
      </c>
      <c r="G11">
        <v>18.899999999999999</v>
      </c>
      <c r="H11">
        <v>19.600000000000001</v>
      </c>
      <c r="I11">
        <v>20.399999999999999</v>
      </c>
      <c r="J11">
        <v>18.5</v>
      </c>
      <c r="K11">
        <v>19.3</v>
      </c>
      <c r="L11">
        <v>19.8</v>
      </c>
      <c r="M11">
        <v>19.5</v>
      </c>
      <c r="N11">
        <v>17.399999999999999</v>
      </c>
      <c r="O11">
        <v>18.100000000000001</v>
      </c>
      <c r="P11">
        <v>17.399999999999999</v>
      </c>
    </row>
    <row r="12" spans="3:16">
      <c r="C12">
        <v>1918</v>
      </c>
      <c r="D12">
        <v>19.7</v>
      </c>
      <c r="E12">
        <v>17.5</v>
      </c>
      <c r="F12">
        <v>16.7</v>
      </c>
      <c r="G12">
        <v>12.7</v>
      </c>
      <c r="H12">
        <v>13.3</v>
      </c>
      <c r="I12">
        <v>13.1</v>
      </c>
      <c r="J12">
        <v>18</v>
      </c>
      <c r="K12">
        <v>18.5</v>
      </c>
      <c r="L12">
        <v>18</v>
      </c>
      <c r="M12">
        <v>18.5</v>
      </c>
      <c r="N12">
        <v>20.7</v>
      </c>
      <c r="O12">
        <v>20.399999999999999</v>
      </c>
      <c r="P12">
        <v>18</v>
      </c>
    </row>
    <row r="13" spans="3:16">
      <c r="C13">
        <v>1919</v>
      </c>
      <c r="D13">
        <v>17.899999999999999</v>
      </c>
      <c r="E13">
        <v>14.9</v>
      </c>
      <c r="F13">
        <v>17.100000000000001</v>
      </c>
      <c r="G13">
        <v>17.600000000000001</v>
      </c>
      <c r="H13">
        <v>16.600000000000001</v>
      </c>
      <c r="I13">
        <v>15</v>
      </c>
      <c r="J13">
        <v>15.2</v>
      </c>
      <c r="K13">
        <v>14.9</v>
      </c>
      <c r="L13">
        <v>13.4</v>
      </c>
      <c r="M13">
        <v>13.1</v>
      </c>
      <c r="N13">
        <v>13.5</v>
      </c>
      <c r="O13">
        <v>14.5</v>
      </c>
      <c r="P13">
        <v>14.6</v>
      </c>
    </row>
    <row r="14" spans="3:16">
      <c r="C14">
        <v>1920</v>
      </c>
      <c r="D14">
        <v>17</v>
      </c>
      <c r="E14">
        <v>20.399999999999999</v>
      </c>
      <c r="F14">
        <v>20.100000000000001</v>
      </c>
      <c r="G14">
        <v>21.6</v>
      </c>
      <c r="H14">
        <v>21.9</v>
      </c>
      <c r="I14">
        <v>23.7</v>
      </c>
      <c r="J14">
        <v>19.5</v>
      </c>
      <c r="K14">
        <v>14.7</v>
      </c>
      <c r="L14">
        <v>12.4</v>
      </c>
      <c r="M14">
        <v>9.9</v>
      </c>
      <c r="N14">
        <v>7</v>
      </c>
      <c r="O14">
        <v>2.6</v>
      </c>
      <c r="P14">
        <v>15.6</v>
      </c>
    </row>
    <row r="15" spans="3:16">
      <c r="C15">
        <v>1921</v>
      </c>
      <c r="D15">
        <v>-1.6</v>
      </c>
      <c r="E15">
        <v>-5.6</v>
      </c>
      <c r="F15">
        <v>-7.1</v>
      </c>
      <c r="G15">
        <v>-10.8</v>
      </c>
      <c r="H15">
        <v>-14.1</v>
      </c>
      <c r="I15">
        <v>-15.8</v>
      </c>
      <c r="J15">
        <v>-14.9</v>
      </c>
      <c r="K15">
        <v>-12.8</v>
      </c>
      <c r="L15">
        <v>-12.5</v>
      </c>
      <c r="M15">
        <v>-12.1</v>
      </c>
      <c r="N15">
        <v>-12.1</v>
      </c>
      <c r="O15">
        <v>-10.8</v>
      </c>
      <c r="P15">
        <v>-10.5</v>
      </c>
    </row>
    <row r="16" spans="3:16">
      <c r="C16">
        <v>1922</v>
      </c>
      <c r="D16">
        <v>-11.1</v>
      </c>
      <c r="E16">
        <v>-8.1999999999999993</v>
      </c>
      <c r="F16">
        <v>-8.6999999999999993</v>
      </c>
      <c r="G16">
        <v>-7.7</v>
      </c>
      <c r="H16">
        <v>-5.6</v>
      </c>
      <c r="I16">
        <v>-5.0999999999999996</v>
      </c>
      <c r="J16">
        <v>-5.0999999999999996</v>
      </c>
      <c r="K16">
        <v>-6.2</v>
      </c>
      <c r="L16">
        <v>-5.0999999999999996</v>
      </c>
      <c r="M16">
        <v>-4.5999999999999996</v>
      </c>
      <c r="N16">
        <v>-3.4</v>
      </c>
      <c r="O16">
        <v>-2.2999999999999998</v>
      </c>
      <c r="P16">
        <v>-6.1</v>
      </c>
    </row>
    <row r="17" spans="3:16">
      <c r="C17">
        <v>1923</v>
      </c>
      <c r="D17">
        <v>-0.6</v>
      </c>
      <c r="E17">
        <v>-0.6</v>
      </c>
      <c r="F17">
        <v>0.6</v>
      </c>
      <c r="G17">
        <v>1.2</v>
      </c>
      <c r="H17">
        <v>1.2</v>
      </c>
      <c r="I17">
        <v>1.8</v>
      </c>
      <c r="J17">
        <v>2.4</v>
      </c>
      <c r="K17">
        <v>3</v>
      </c>
      <c r="L17">
        <v>3.6</v>
      </c>
      <c r="M17">
        <v>3.6</v>
      </c>
      <c r="N17">
        <v>3</v>
      </c>
      <c r="O17">
        <v>2.4</v>
      </c>
      <c r="P17">
        <v>1.8</v>
      </c>
    </row>
    <row r="18" spans="3:16">
      <c r="C18">
        <v>1924</v>
      </c>
      <c r="D18">
        <v>3</v>
      </c>
      <c r="E18">
        <v>2.4</v>
      </c>
      <c r="F18">
        <v>1.8</v>
      </c>
      <c r="G18">
        <v>0.6</v>
      </c>
      <c r="H18">
        <v>0.6</v>
      </c>
      <c r="I18">
        <v>0</v>
      </c>
      <c r="J18">
        <v>-0.6</v>
      </c>
      <c r="K18">
        <v>-0.6</v>
      </c>
      <c r="L18">
        <v>-0.6</v>
      </c>
      <c r="M18">
        <v>-0.6</v>
      </c>
      <c r="N18">
        <v>-0.6</v>
      </c>
      <c r="O18">
        <v>0</v>
      </c>
      <c r="P18">
        <v>0</v>
      </c>
    </row>
    <row r="19" spans="3:16">
      <c r="C19">
        <v>1925</v>
      </c>
      <c r="D19">
        <v>0</v>
      </c>
      <c r="E19">
        <v>0</v>
      </c>
      <c r="F19">
        <v>1.2</v>
      </c>
      <c r="G19">
        <v>1.2</v>
      </c>
      <c r="H19">
        <v>1.8</v>
      </c>
      <c r="I19">
        <v>2.9</v>
      </c>
      <c r="J19">
        <v>3.5</v>
      </c>
      <c r="K19">
        <v>4.0999999999999996</v>
      </c>
      <c r="L19">
        <v>3.5</v>
      </c>
      <c r="M19">
        <v>2.9</v>
      </c>
      <c r="N19">
        <v>4.7</v>
      </c>
      <c r="O19">
        <v>3.5</v>
      </c>
      <c r="P19">
        <v>2.2999999999999998</v>
      </c>
    </row>
    <row r="20" spans="3:16">
      <c r="C20">
        <v>1926</v>
      </c>
      <c r="D20">
        <v>3.5</v>
      </c>
      <c r="E20">
        <v>4.0999999999999996</v>
      </c>
      <c r="F20">
        <v>2.9</v>
      </c>
      <c r="G20">
        <v>4.0999999999999996</v>
      </c>
      <c r="H20">
        <v>2.9</v>
      </c>
      <c r="I20">
        <v>1.1000000000000001</v>
      </c>
      <c r="J20">
        <v>-1.1000000000000001</v>
      </c>
      <c r="K20">
        <v>-1.7</v>
      </c>
      <c r="L20">
        <v>-1.1000000000000001</v>
      </c>
      <c r="M20">
        <v>-0.6</v>
      </c>
      <c r="N20">
        <v>-1.7</v>
      </c>
      <c r="O20">
        <v>-1.1000000000000001</v>
      </c>
      <c r="P20">
        <v>1.1000000000000001</v>
      </c>
    </row>
    <row r="21" spans="3:16">
      <c r="C21">
        <v>1927</v>
      </c>
      <c r="D21">
        <v>-2.2000000000000002</v>
      </c>
      <c r="E21">
        <v>-2.8</v>
      </c>
      <c r="F21">
        <v>-2.8</v>
      </c>
      <c r="G21">
        <v>-3.4</v>
      </c>
      <c r="H21">
        <v>-2.2000000000000002</v>
      </c>
      <c r="I21">
        <v>-0.6</v>
      </c>
      <c r="J21">
        <v>-1.1000000000000001</v>
      </c>
      <c r="K21">
        <v>-1.1000000000000001</v>
      </c>
      <c r="L21">
        <v>-1.1000000000000001</v>
      </c>
      <c r="M21">
        <v>-1.1000000000000001</v>
      </c>
      <c r="N21">
        <v>-2.2999999999999998</v>
      </c>
      <c r="O21">
        <v>-2.2999999999999998</v>
      </c>
      <c r="P21">
        <v>-1.7</v>
      </c>
    </row>
    <row r="22" spans="3:16">
      <c r="C22">
        <v>1928</v>
      </c>
      <c r="D22">
        <v>-1.1000000000000001</v>
      </c>
      <c r="E22">
        <v>-1.7</v>
      </c>
      <c r="F22">
        <v>-1.2</v>
      </c>
      <c r="G22">
        <v>-1.2</v>
      </c>
      <c r="H22">
        <v>-1.1000000000000001</v>
      </c>
      <c r="I22">
        <v>-2.8</v>
      </c>
      <c r="J22">
        <v>-1.2</v>
      </c>
      <c r="K22">
        <v>-0.6</v>
      </c>
      <c r="L22">
        <v>0</v>
      </c>
      <c r="M22">
        <v>-1.1000000000000001</v>
      </c>
      <c r="N22">
        <v>-0.6</v>
      </c>
      <c r="O22">
        <v>-1.2</v>
      </c>
      <c r="P22">
        <v>-1.7</v>
      </c>
    </row>
    <row r="23" spans="3:16">
      <c r="C23">
        <v>1929</v>
      </c>
      <c r="D23">
        <v>-1.2</v>
      </c>
      <c r="E23">
        <v>0</v>
      </c>
      <c r="F23">
        <v>-0.6</v>
      </c>
      <c r="G23">
        <v>-1.2</v>
      </c>
      <c r="H23">
        <v>-1.2</v>
      </c>
      <c r="I23">
        <v>0</v>
      </c>
      <c r="J23">
        <v>1.2</v>
      </c>
      <c r="K23">
        <v>1.2</v>
      </c>
      <c r="L23">
        <v>0</v>
      </c>
      <c r="M23">
        <v>0.6</v>
      </c>
      <c r="N23">
        <v>0.6</v>
      </c>
      <c r="O23">
        <v>0.6</v>
      </c>
      <c r="P23">
        <v>0</v>
      </c>
    </row>
    <row r="24" spans="3:16">
      <c r="C24">
        <v>1930</v>
      </c>
      <c r="D24">
        <v>0</v>
      </c>
      <c r="E24">
        <v>-0.6</v>
      </c>
      <c r="F24">
        <v>-0.6</v>
      </c>
      <c r="G24">
        <v>0.6</v>
      </c>
      <c r="H24">
        <v>-0.6</v>
      </c>
      <c r="I24">
        <v>-1.8</v>
      </c>
      <c r="J24">
        <v>-4</v>
      </c>
      <c r="K24">
        <v>-4.5999999999999996</v>
      </c>
      <c r="L24">
        <v>-4</v>
      </c>
      <c r="M24">
        <v>-4.5999999999999996</v>
      </c>
      <c r="N24">
        <v>-5.2</v>
      </c>
      <c r="O24">
        <v>-6.4</v>
      </c>
      <c r="P24">
        <v>-2.2999999999999998</v>
      </c>
    </row>
    <row r="25" spans="3:16">
      <c r="C25">
        <v>1931</v>
      </c>
      <c r="D25">
        <v>-7</v>
      </c>
      <c r="E25">
        <v>-7.6</v>
      </c>
      <c r="F25">
        <v>-7.7</v>
      </c>
      <c r="G25">
        <v>-8.8000000000000007</v>
      </c>
      <c r="H25">
        <v>-9.5</v>
      </c>
      <c r="I25">
        <v>-10.1</v>
      </c>
      <c r="J25">
        <v>-9</v>
      </c>
      <c r="K25">
        <v>-8.5</v>
      </c>
      <c r="L25">
        <v>-9.6</v>
      </c>
      <c r="M25">
        <v>-9.6999999999999993</v>
      </c>
      <c r="N25">
        <v>-10.4</v>
      </c>
      <c r="O25">
        <v>-9.3000000000000007</v>
      </c>
      <c r="P25">
        <v>-9</v>
      </c>
    </row>
    <row r="26" spans="3:16">
      <c r="C26">
        <v>1932</v>
      </c>
      <c r="D26">
        <v>-10.1</v>
      </c>
      <c r="E26">
        <v>-10.199999999999999</v>
      </c>
      <c r="F26">
        <v>-10.3</v>
      </c>
      <c r="G26">
        <v>-10.3</v>
      </c>
      <c r="H26">
        <v>-10.5</v>
      </c>
      <c r="I26">
        <v>-9.9</v>
      </c>
      <c r="J26">
        <v>-9.9</v>
      </c>
      <c r="K26">
        <v>-10.6</v>
      </c>
      <c r="L26">
        <v>-10.7</v>
      </c>
      <c r="M26">
        <v>-10.7</v>
      </c>
      <c r="N26">
        <v>-10.199999999999999</v>
      </c>
      <c r="O26">
        <v>-10.3</v>
      </c>
      <c r="P26">
        <v>-9.9</v>
      </c>
    </row>
    <row r="27" spans="3:16">
      <c r="C27">
        <v>1933</v>
      </c>
      <c r="D27">
        <v>-9.8000000000000007</v>
      </c>
      <c r="E27">
        <v>-9.9</v>
      </c>
      <c r="F27">
        <v>-10</v>
      </c>
      <c r="G27">
        <v>-9.4</v>
      </c>
      <c r="H27">
        <v>-8</v>
      </c>
      <c r="I27">
        <v>-6.6</v>
      </c>
      <c r="J27">
        <v>-3.7</v>
      </c>
      <c r="K27">
        <v>-2.2000000000000002</v>
      </c>
      <c r="L27">
        <v>-1.5</v>
      </c>
      <c r="M27">
        <v>-0.8</v>
      </c>
      <c r="N27">
        <v>0</v>
      </c>
      <c r="O27">
        <v>0.8</v>
      </c>
      <c r="P27">
        <v>-5.0999999999999996</v>
      </c>
    </row>
    <row r="28" spans="3:16">
      <c r="C28">
        <v>1934</v>
      </c>
      <c r="D28">
        <v>2.2999999999999998</v>
      </c>
      <c r="E28">
        <v>4.7</v>
      </c>
      <c r="F28">
        <v>5.6</v>
      </c>
      <c r="G28">
        <v>5.6</v>
      </c>
      <c r="H28">
        <v>5.6</v>
      </c>
      <c r="I28">
        <v>5.5</v>
      </c>
      <c r="J28">
        <v>2.2999999999999998</v>
      </c>
      <c r="K28">
        <v>1.5</v>
      </c>
      <c r="L28">
        <v>3</v>
      </c>
      <c r="M28">
        <v>2.2999999999999998</v>
      </c>
      <c r="N28">
        <v>2.2999999999999998</v>
      </c>
      <c r="O28">
        <v>1.5</v>
      </c>
      <c r="P28">
        <v>3.1</v>
      </c>
    </row>
    <row r="29" spans="3:16">
      <c r="C29">
        <v>1935</v>
      </c>
      <c r="D29">
        <v>3</v>
      </c>
      <c r="E29">
        <v>3</v>
      </c>
      <c r="F29">
        <v>3</v>
      </c>
      <c r="G29">
        <v>3.8</v>
      </c>
      <c r="H29">
        <v>3.8</v>
      </c>
      <c r="I29">
        <v>2.2000000000000002</v>
      </c>
      <c r="J29">
        <v>2.2000000000000002</v>
      </c>
      <c r="K29">
        <v>2.2000000000000002</v>
      </c>
      <c r="L29">
        <v>0.7</v>
      </c>
      <c r="M29">
        <v>1.5</v>
      </c>
      <c r="N29">
        <v>2.2000000000000002</v>
      </c>
      <c r="O29">
        <v>3</v>
      </c>
      <c r="P29">
        <v>2.2000000000000002</v>
      </c>
    </row>
    <row r="30" spans="3:16">
      <c r="C30">
        <v>1936</v>
      </c>
      <c r="D30">
        <v>1.5</v>
      </c>
      <c r="E30">
        <v>0.7</v>
      </c>
      <c r="F30">
        <v>0</v>
      </c>
      <c r="G30">
        <v>-0.7</v>
      </c>
      <c r="H30">
        <v>-0.7</v>
      </c>
      <c r="I30">
        <v>0.7</v>
      </c>
      <c r="J30">
        <v>1.5</v>
      </c>
      <c r="K30">
        <v>2.2000000000000002</v>
      </c>
      <c r="L30">
        <v>2.2000000000000002</v>
      </c>
      <c r="M30">
        <v>2.2000000000000002</v>
      </c>
      <c r="N30">
        <v>1.4</v>
      </c>
      <c r="O30">
        <v>1.4</v>
      </c>
      <c r="P30">
        <v>1.5</v>
      </c>
    </row>
    <row r="31" spans="3:16">
      <c r="C31">
        <v>1937</v>
      </c>
      <c r="D31">
        <v>2.2000000000000002</v>
      </c>
      <c r="E31">
        <v>2.2000000000000002</v>
      </c>
      <c r="F31">
        <v>3.6</v>
      </c>
      <c r="G31">
        <v>4.4000000000000004</v>
      </c>
      <c r="H31">
        <v>5.0999999999999996</v>
      </c>
      <c r="I31">
        <v>4.3</v>
      </c>
      <c r="J31">
        <v>4.3</v>
      </c>
      <c r="K31">
        <v>3.6</v>
      </c>
      <c r="L31">
        <v>4.3</v>
      </c>
      <c r="M31">
        <v>4.3</v>
      </c>
      <c r="N31">
        <v>3.6</v>
      </c>
      <c r="O31">
        <v>2.9</v>
      </c>
      <c r="P31">
        <v>3.6</v>
      </c>
    </row>
    <row r="32" spans="3:16">
      <c r="C32">
        <v>1938</v>
      </c>
      <c r="D32">
        <v>0.7</v>
      </c>
      <c r="E32">
        <v>0</v>
      </c>
      <c r="F32">
        <v>-0.7</v>
      </c>
      <c r="G32">
        <v>-0.7</v>
      </c>
      <c r="H32">
        <v>-2.1</v>
      </c>
      <c r="I32">
        <v>-2.1</v>
      </c>
      <c r="J32">
        <v>-2.8</v>
      </c>
      <c r="K32">
        <v>-2.8</v>
      </c>
      <c r="L32">
        <v>-3.4</v>
      </c>
      <c r="M32">
        <v>-4.0999999999999996</v>
      </c>
      <c r="N32">
        <v>-3.4</v>
      </c>
      <c r="O32">
        <v>-2.8</v>
      </c>
      <c r="P32">
        <v>-2.1</v>
      </c>
    </row>
    <row r="33" spans="3:16">
      <c r="C33">
        <v>1939</v>
      </c>
      <c r="D33">
        <v>-1.4</v>
      </c>
      <c r="E33">
        <v>-1.4</v>
      </c>
      <c r="F33">
        <v>-1.4</v>
      </c>
      <c r="G33">
        <v>-2.8</v>
      </c>
      <c r="H33">
        <v>-2.1</v>
      </c>
      <c r="I33">
        <v>-2.1</v>
      </c>
      <c r="J33">
        <v>-2.1</v>
      </c>
      <c r="K33">
        <v>-2.1</v>
      </c>
      <c r="L33">
        <v>0</v>
      </c>
      <c r="M33">
        <v>0</v>
      </c>
      <c r="N33">
        <v>0</v>
      </c>
      <c r="O33">
        <v>0</v>
      </c>
      <c r="P33">
        <v>-1.4</v>
      </c>
    </row>
    <row r="34" spans="3:16">
      <c r="C34">
        <v>1940</v>
      </c>
      <c r="D34">
        <v>-0.7</v>
      </c>
      <c r="E34">
        <v>0.7</v>
      </c>
      <c r="F34">
        <v>0.7</v>
      </c>
      <c r="G34">
        <v>1.4</v>
      </c>
      <c r="H34">
        <v>1.4</v>
      </c>
      <c r="I34">
        <v>2.2000000000000002</v>
      </c>
      <c r="J34">
        <v>1.4</v>
      </c>
      <c r="K34">
        <v>1.4</v>
      </c>
      <c r="L34">
        <v>-0.7</v>
      </c>
      <c r="M34">
        <v>0</v>
      </c>
      <c r="N34">
        <v>0</v>
      </c>
      <c r="O34">
        <v>0.7</v>
      </c>
      <c r="P34">
        <v>0.7</v>
      </c>
    </row>
    <row r="35" spans="3:16">
      <c r="C35">
        <v>1941</v>
      </c>
      <c r="D35">
        <v>1.4</v>
      </c>
      <c r="E35">
        <v>0.7</v>
      </c>
      <c r="F35">
        <v>1.4</v>
      </c>
      <c r="G35">
        <v>2.1</v>
      </c>
      <c r="H35">
        <v>2.9</v>
      </c>
      <c r="I35">
        <v>4.3</v>
      </c>
      <c r="J35">
        <v>5</v>
      </c>
      <c r="K35">
        <v>6.4</v>
      </c>
      <c r="L35">
        <v>7.9</v>
      </c>
      <c r="M35">
        <v>9.3000000000000007</v>
      </c>
      <c r="N35">
        <v>10</v>
      </c>
      <c r="O35">
        <v>9.9</v>
      </c>
      <c r="P35">
        <v>5</v>
      </c>
    </row>
    <row r="36" spans="3:16">
      <c r="C36">
        <v>1942</v>
      </c>
      <c r="D36">
        <v>11.3</v>
      </c>
      <c r="E36">
        <v>12.1</v>
      </c>
      <c r="F36">
        <v>12.7</v>
      </c>
      <c r="G36">
        <v>12.6</v>
      </c>
      <c r="H36">
        <v>13.2</v>
      </c>
      <c r="I36">
        <v>10.9</v>
      </c>
      <c r="J36">
        <v>11.6</v>
      </c>
      <c r="K36">
        <v>10.7</v>
      </c>
      <c r="L36">
        <v>9.3000000000000007</v>
      </c>
      <c r="M36">
        <v>9.1999999999999993</v>
      </c>
      <c r="N36">
        <v>9.1</v>
      </c>
      <c r="O36">
        <v>9</v>
      </c>
      <c r="P36">
        <v>10.9</v>
      </c>
    </row>
    <row r="37" spans="3:16">
      <c r="C37">
        <v>1943</v>
      </c>
      <c r="D37">
        <v>7.6</v>
      </c>
      <c r="E37">
        <v>7</v>
      </c>
      <c r="F37">
        <v>7.5</v>
      </c>
      <c r="G37">
        <v>8.1</v>
      </c>
      <c r="H37">
        <v>7.4</v>
      </c>
      <c r="I37">
        <v>7.4</v>
      </c>
      <c r="J37">
        <v>6.1</v>
      </c>
      <c r="K37">
        <v>4.8</v>
      </c>
      <c r="L37">
        <v>5.5</v>
      </c>
      <c r="M37">
        <v>4.2</v>
      </c>
      <c r="N37">
        <v>3.6</v>
      </c>
      <c r="O37">
        <v>3</v>
      </c>
      <c r="P37">
        <v>6.1</v>
      </c>
    </row>
    <row r="38" spans="3:16">
      <c r="C38">
        <v>1944</v>
      </c>
      <c r="D38">
        <v>3</v>
      </c>
      <c r="E38">
        <v>3</v>
      </c>
      <c r="F38">
        <v>1.2</v>
      </c>
      <c r="G38">
        <v>0.6</v>
      </c>
      <c r="H38">
        <v>0</v>
      </c>
      <c r="I38">
        <v>0.6</v>
      </c>
      <c r="J38">
        <v>1.7</v>
      </c>
      <c r="K38">
        <v>2.2999999999999998</v>
      </c>
      <c r="L38">
        <v>1.7</v>
      </c>
      <c r="M38">
        <v>1.7</v>
      </c>
      <c r="N38">
        <v>1.7</v>
      </c>
      <c r="O38">
        <v>2.2999999999999998</v>
      </c>
      <c r="P38">
        <v>1.7</v>
      </c>
    </row>
    <row r="39" spans="3:16">
      <c r="C39">
        <v>1945</v>
      </c>
      <c r="D39">
        <v>2.2999999999999998</v>
      </c>
      <c r="E39">
        <v>2.2999999999999998</v>
      </c>
      <c r="F39">
        <v>2.2999999999999998</v>
      </c>
      <c r="G39">
        <v>1.7</v>
      </c>
      <c r="H39">
        <v>2.2999999999999998</v>
      </c>
      <c r="I39">
        <v>2.8</v>
      </c>
      <c r="J39">
        <v>2.2999999999999998</v>
      </c>
      <c r="K39">
        <v>2.2999999999999998</v>
      </c>
      <c r="L39">
        <v>2.2999999999999998</v>
      </c>
      <c r="M39">
        <v>2.2999999999999998</v>
      </c>
      <c r="N39">
        <v>2.2999999999999998</v>
      </c>
      <c r="O39">
        <v>2.2000000000000002</v>
      </c>
      <c r="P39">
        <v>2.2999999999999998</v>
      </c>
    </row>
    <row r="40" spans="3:16">
      <c r="C40">
        <v>1946</v>
      </c>
      <c r="D40">
        <v>2.2000000000000002</v>
      </c>
      <c r="E40">
        <v>1.7</v>
      </c>
      <c r="F40">
        <v>2.8</v>
      </c>
      <c r="G40">
        <v>3.4</v>
      </c>
      <c r="H40">
        <v>3.4</v>
      </c>
      <c r="I40">
        <v>3.3</v>
      </c>
      <c r="J40">
        <v>9.4</v>
      </c>
      <c r="K40">
        <v>11.6</v>
      </c>
      <c r="L40">
        <v>12.7</v>
      </c>
      <c r="M40">
        <v>14.9</v>
      </c>
      <c r="N40">
        <v>17.7</v>
      </c>
      <c r="O40">
        <v>18.100000000000001</v>
      </c>
      <c r="P40">
        <v>8.3000000000000007</v>
      </c>
    </row>
    <row r="41" spans="3:16">
      <c r="C41">
        <v>1947</v>
      </c>
      <c r="D41">
        <v>18.100000000000001</v>
      </c>
      <c r="E41">
        <v>18.8</v>
      </c>
      <c r="F41">
        <v>19.7</v>
      </c>
      <c r="G41">
        <v>19</v>
      </c>
      <c r="H41">
        <v>18.399999999999999</v>
      </c>
      <c r="I41">
        <v>17.600000000000001</v>
      </c>
      <c r="J41">
        <v>12.1</v>
      </c>
      <c r="K41">
        <v>11.4</v>
      </c>
      <c r="L41">
        <v>12.7</v>
      </c>
      <c r="M41">
        <v>10.6</v>
      </c>
      <c r="N41">
        <v>8.5</v>
      </c>
      <c r="O41">
        <v>8.8000000000000007</v>
      </c>
      <c r="P41">
        <v>14.4</v>
      </c>
    </row>
    <row r="42" spans="3:16">
      <c r="C42">
        <v>1948</v>
      </c>
      <c r="D42">
        <v>10.199999999999999</v>
      </c>
      <c r="E42">
        <v>9.3000000000000007</v>
      </c>
      <c r="F42">
        <v>6.8</v>
      </c>
      <c r="G42">
        <v>8.6999999999999993</v>
      </c>
      <c r="H42">
        <v>9.1</v>
      </c>
      <c r="I42">
        <v>9.5</v>
      </c>
      <c r="J42">
        <v>9.9</v>
      </c>
      <c r="K42">
        <v>8.9</v>
      </c>
      <c r="L42">
        <v>6.5</v>
      </c>
      <c r="M42">
        <v>6.1</v>
      </c>
      <c r="N42">
        <v>4.8</v>
      </c>
      <c r="O42">
        <v>3</v>
      </c>
      <c r="P42">
        <v>8.1</v>
      </c>
    </row>
    <row r="43" spans="3:16">
      <c r="C43">
        <v>1949</v>
      </c>
      <c r="D43">
        <v>1.3</v>
      </c>
      <c r="E43">
        <v>1.3</v>
      </c>
      <c r="F43">
        <v>1.7</v>
      </c>
      <c r="G43">
        <v>0.4</v>
      </c>
      <c r="H43">
        <v>-0.4</v>
      </c>
      <c r="I43">
        <v>-0.8</v>
      </c>
      <c r="J43">
        <v>-2.9</v>
      </c>
      <c r="K43">
        <v>-2.9</v>
      </c>
      <c r="L43">
        <v>-2.4</v>
      </c>
      <c r="M43">
        <v>-2.9</v>
      </c>
      <c r="N43">
        <v>-1.7</v>
      </c>
      <c r="O43">
        <v>-2.1</v>
      </c>
      <c r="P43">
        <v>-1.2</v>
      </c>
    </row>
    <row r="44" spans="3:16">
      <c r="C44">
        <v>1950</v>
      </c>
      <c r="D44">
        <v>-2.1</v>
      </c>
      <c r="E44">
        <v>-1.3</v>
      </c>
      <c r="F44">
        <v>-0.8</v>
      </c>
      <c r="G44">
        <v>-1.3</v>
      </c>
      <c r="H44">
        <v>-0.4</v>
      </c>
      <c r="I44">
        <v>-0.4</v>
      </c>
      <c r="J44">
        <v>1.7</v>
      </c>
      <c r="K44">
        <v>2.1</v>
      </c>
      <c r="L44">
        <v>2.1</v>
      </c>
      <c r="M44">
        <v>3.8</v>
      </c>
      <c r="N44">
        <v>3.8</v>
      </c>
      <c r="O44">
        <v>5.9</v>
      </c>
      <c r="P44">
        <v>1.3</v>
      </c>
    </row>
    <row r="45" spans="3:16">
      <c r="C45">
        <v>1951</v>
      </c>
      <c r="D45">
        <v>8.1</v>
      </c>
      <c r="E45">
        <v>9.4</v>
      </c>
      <c r="F45">
        <v>9.3000000000000007</v>
      </c>
      <c r="G45">
        <v>9.3000000000000007</v>
      </c>
      <c r="H45">
        <v>9.3000000000000007</v>
      </c>
      <c r="I45">
        <v>8.8000000000000007</v>
      </c>
      <c r="J45">
        <v>7.5</v>
      </c>
      <c r="K45">
        <v>6.6</v>
      </c>
      <c r="L45">
        <v>7</v>
      </c>
      <c r="M45">
        <v>6.5</v>
      </c>
      <c r="N45">
        <v>6.9</v>
      </c>
      <c r="O45">
        <v>6</v>
      </c>
      <c r="P45">
        <v>7.9</v>
      </c>
    </row>
    <row r="46" spans="3:16">
      <c r="C46">
        <v>1952</v>
      </c>
      <c r="D46">
        <v>4.3</v>
      </c>
      <c r="E46">
        <v>2.2999999999999998</v>
      </c>
      <c r="F46">
        <v>1.9</v>
      </c>
      <c r="G46">
        <v>2.2999999999999998</v>
      </c>
      <c r="H46">
        <v>1.9</v>
      </c>
      <c r="I46">
        <v>2.2999999999999998</v>
      </c>
      <c r="J46">
        <v>3.1</v>
      </c>
      <c r="K46">
        <v>3.1</v>
      </c>
      <c r="L46">
        <v>2.2999999999999998</v>
      </c>
      <c r="M46">
        <v>1.9</v>
      </c>
      <c r="N46">
        <v>1.1000000000000001</v>
      </c>
      <c r="O46">
        <v>0.8</v>
      </c>
      <c r="P46">
        <v>1.9</v>
      </c>
    </row>
    <row r="47" spans="3:16">
      <c r="C47">
        <v>1953</v>
      </c>
      <c r="D47">
        <v>0.4</v>
      </c>
      <c r="E47">
        <v>0.8</v>
      </c>
      <c r="F47">
        <v>1.1000000000000001</v>
      </c>
      <c r="G47">
        <v>0.8</v>
      </c>
      <c r="H47">
        <v>1.1000000000000001</v>
      </c>
      <c r="I47">
        <v>1.1000000000000001</v>
      </c>
      <c r="J47">
        <v>0.4</v>
      </c>
      <c r="K47">
        <v>0.7</v>
      </c>
      <c r="L47">
        <v>0.7</v>
      </c>
      <c r="M47">
        <v>1.1000000000000001</v>
      </c>
      <c r="N47">
        <v>0.7</v>
      </c>
      <c r="O47">
        <v>0.7</v>
      </c>
      <c r="P47">
        <v>0.8</v>
      </c>
    </row>
    <row r="48" spans="3:16">
      <c r="C48">
        <v>1954</v>
      </c>
      <c r="D48">
        <v>1.1000000000000001</v>
      </c>
      <c r="E48">
        <v>1.5</v>
      </c>
      <c r="F48">
        <v>1.1000000000000001</v>
      </c>
      <c r="G48">
        <v>0.8</v>
      </c>
      <c r="H48">
        <v>0.7</v>
      </c>
      <c r="I48">
        <v>0.4</v>
      </c>
      <c r="J48">
        <v>0.4</v>
      </c>
      <c r="K48">
        <v>0</v>
      </c>
      <c r="L48">
        <v>-0.4</v>
      </c>
      <c r="M48">
        <v>-0.7</v>
      </c>
      <c r="N48">
        <v>-0.4</v>
      </c>
      <c r="O48">
        <v>-0.7</v>
      </c>
      <c r="P48">
        <v>0.7</v>
      </c>
    </row>
    <row r="49" spans="3:16">
      <c r="C49">
        <v>1955</v>
      </c>
      <c r="D49">
        <v>-0.7</v>
      </c>
      <c r="E49">
        <v>-0.7</v>
      </c>
      <c r="F49">
        <v>-0.7</v>
      </c>
      <c r="G49">
        <v>-0.4</v>
      </c>
      <c r="H49">
        <v>-0.7</v>
      </c>
      <c r="I49">
        <v>-0.7</v>
      </c>
      <c r="J49">
        <v>-0.4</v>
      </c>
      <c r="K49">
        <v>-0.4</v>
      </c>
      <c r="L49">
        <v>0.4</v>
      </c>
      <c r="M49">
        <v>0.4</v>
      </c>
      <c r="N49">
        <v>0.4</v>
      </c>
      <c r="O49">
        <v>0.4</v>
      </c>
      <c r="P49">
        <v>-0.4</v>
      </c>
    </row>
    <row r="50" spans="3:16">
      <c r="C50">
        <v>1956</v>
      </c>
      <c r="D50">
        <v>0.4</v>
      </c>
      <c r="E50">
        <v>0.4</v>
      </c>
      <c r="F50">
        <v>0.4</v>
      </c>
      <c r="G50">
        <v>0.7</v>
      </c>
      <c r="H50">
        <v>1.1000000000000001</v>
      </c>
      <c r="I50">
        <v>1.9</v>
      </c>
      <c r="J50">
        <v>2.2000000000000002</v>
      </c>
      <c r="K50">
        <v>1.9</v>
      </c>
      <c r="L50">
        <v>1.9</v>
      </c>
      <c r="M50">
        <v>2.2000000000000002</v>
      </c>
      <c r="N50">
        <v>2.2000000000000002</v>
      </c>
      <c r="O50">
        <v>3</v>
      </c>
      <c r="P50">
        <v>1.5</v>
      </c>
    </row>
    <row r="51" spans="3:16">
      <c r="C51">
        <v>1957</v>
      </c>
      <c r="D51">
        <v>3</v>
      </c>
      <c r="E51">
        <v>3.4</v>
      </c>
      <c r="F51">
        <v>3.7</v>
      </c>
      <c r="G51">
        <v>3.7</v>
      </c>
      <c r="H51">
        <v>3.7</v>
      </c>
      <c r="I51">
        <v>3.3</v>
      </c>
      <c r="J51">
        <v>3.3</v>
      </c>
      <c r="K51">
        <v>3.7</v>
      </c>
      <c r="L51">
        <v>3.3</v>
      </c>
      <c r="M51">
        <v>2.9</v>
      </c>
      <c r="N51">
        <v>3.3</v>
      </c>
      <c r="O51">
        <v>2.9</v>
      </c>
      <c r="P51">
        <v>3.3</v>
      </c>
    </row>
    <row r="52" spans="3:16">
      <c r="C52">
        <v>1958</v>
      </c>
      <c r="D52">
        <v>3.6</v>
      </c>
      <c r="E52">
        <v>3.2</v>
      </c>
      <c r="F52">
        <v>3.6</v>
      </c>
      <c r="G52">
        <v>3.6</v>
      </c>
      <c r="H52">
        <v>3.2</v>
      </c>
      <c r="I52">
        <v>2.8</v>
      </c>
      <c r="J52">
        <v>2.5</v>
      </c>
      <c r="K52">
        <v>2.1</v>
      </c>
      <c r="L52">
        <v>2.1</v>
      </c>
      <c r="M52">
        <v>2.1</v>
      </c>
      <c r="N52">
        <v>2.1</v>
      </c>
      <c r="O52">
        <v>1.8</v>
      </c>
      <c r="P52">
        <v>2.8</v>
      </c>
    </row>
    <row r="53" spans="3:16">
      <c r="C53">
        <v>1959</v>
      </c>
      <c r="D53">
        <v>1.4</v>
      </c>
      <c r="E53">
        <v>1</v>
      </c>
      <c r="F53">
        <v>0.3</v>
      </c>
      <c r="G53">
        <v>0.3</v>
      </c>
      <c r="H53">
        <v>0.3</v>
      </c>
      <c r="I53">
        <v>0.7</v>
      </c>
      <c r="J53">
        <v>0.7</v>
      </c>
      <c r="K53">
        <v>1</v>
      </c>
      <c r="L53">
        <v>1.4</v>
      </c>
      <c r="M53">
        <v>1.7</v>
      </c>
      <c r="N53">
        <v>1.4</v>
      </c>
      <c r="O53">
        <v>1.7</v>
      </c>
      <c r="P53">
        <v>0.7</v>
      </c>
    </row>
    <row r="54" spans="3:16">
      <c r="C54">
        <v>1960</v>
      </c>
      <c r="D54">
        <v>1</v>
      </c>
      <c r="E54">
        <v>1.7</v>
      </c>
      <c r="F54">
        <v>1.7</v>
      </c>
      <c r="G54">
        <v>1.7</v>
      </c>
      <c r="H54">
        <v>1.7</v>
      </c>
      <c r="I54">
        <v>1.7</v>
      </c>
      <c r="J54">
        <v>1.4</v>
      </c>
      <c r="K54">
        <v>1.4</v>
      </c>
      <c r="L54">
        <v>1</v>
      </c>
      <c r="M54">
        <v>1.4</v>
      </c>
      <c r="N54">
        <v>1.4</v>
      </c>
      <c r="O54">
        <v>1.4</v>
      </c>
      <c r="P54">
        <v>1.7</v>
      </c>
    </row>
    <row r="55" spans="3:16">
      <c r="C55">
        <v>1961</v>
      </c>
      <c r="D55">
        <v>1.7</v>
      </c>
      <c r="E55">
        <v>1.4</v>
      </c>
      <c r="F55">
        <v>1.4</v>
      </c>
      <c r="G55">
        <v>1</v>
      </c>
      <c r="H55">
        <v>1</v>
      </c>
      <c r="I55">
        <v>0.7</v>
      </c>
      <c r="J55">
        <v>1.4</v>
      </c>
      <c r="K55">
        <v>1</v>
      </c>
      <c r="L55">
        <v>1.4</v>
      </c>
      <c r="M55">
        <v>0.7</v>
      </c>
      <c r="N55">
        <v>0.7</v>
      </c>
      <c r="O55">
        <v>0.7</v>
      </c>
      <c r="P55">
        <v>1</v>
      </c>
    </row>
    <row r="56" spans="3:16">
      <c r="C56">
        <v>1962</v>
      </c>
      <c r="D56">
        <v>0.7</v>
      </c>
      <c r="E56">
        <v>1</v>
      </c>
      <c r="F56">
        <v>1</v>
      </c>
      <c r="G56">
        <v>1.3</v>
      </c>
      <c r="H56">
        <v>1.3</v>
      </c>
      <c r="I56">
        <v>1.3</v>
      </c>
      <c r="J56">
        <v>1</v>
      </c>
      <c r="K56">
        <v>1.3</v>
      </c>
      <c r="L56">
        <v>1.3</v>
      </c>
      <c r="M56">
        <v>1.3</v>
      </c>
      <c r="N56">
        <v>1.3</v>
      </c>
      <c r="O56">
        <v>1.3</v>
      </c>
      <c r="P56">
        <v>1</v>
      </c>
    </row>
    <row r="57" spans="3:16">
      <c r="C57">
        <v>1963</v>
      </c>
      <c r="D57">
        <v>1.3</v>
      </c>
      <c r="E57">
        <v>1</v>
      </c>
      <c r="F57">
        <v>1.3</v>
      </c>
      <c r="G57">
        <v>1</v>
      </c>
      <c r="H57">
        <v>1</v>
      </c>
      <c r="I57">
        <v>1.3</v>
      </c>
      <c r="J57">
        <v>1.3</v>
      </c>
      <c r="K57">
        <v>1.3</v>
      </c>
      <c r="L57">
        <v>1</v>
      </c>
      <c r="M57">
        <v>1.3</v>
      </c>
      <c r="N57">
        <v>1.3</v>
      </c>
      <c r="O57">
        <v>1.6</v>
      </c>
      <c r="P57">
        <v>1.3</v>
      </c>
    </row>
    <row r="58" spans="3:16">
      <c r="C58">
        <v>1964</v>
      </c>
      <c r="D58">
        <v>1.6</v>
      </c>
      <c r="E58">
        <v>1.6</v>
      </c>
      <c r="F58">
        <v>1.3</v>
      </c>
      <c r="G58">
        <v>1.3</v>
      </c>
      <c r="H58">
        <v>1.3</v>
      </c>
      <c r="I58">
        <v>1.3</v>
      </c>
      <c r="J58">
        <v>1.3</v>
      </c>
      <c r="K58">
        <v>1</v>
      </c>
      <c r="L58">
        <v>1.3</v>
      </c>
      <c r="M58">
        <v>1</v>
      </c>
      <c r="N58">
        <v>1.3</v>
      </c>
      <c r="O58">
        <v>1</v>
      </c>
      <c r="P58">
        <v>1.3</v>
      </c>
    </row>
    <row r="59" spans="3:16">
      <c r="C59">
        <v>1965</v>
      </c>
      <c r="D59">
        <v>1</v>
      </c>
      <c r="E59">
        <v>1</v>
      </c>
      <c r="F59">
        <v>1.3</v>
      </c>
      <c r="G59">
        <v>1.6</v>
      </c>
      <c r="H59">
        <v>1.6</v>
      </c>
      <c r="I59">
        <v>1.9</v>
      </c>
      <c r="J59">
        <v>1.6</v>
      </c>
      <c r="K59">
        <v>1.9</v>
      </c>
      <c r="L59">
        <v>1.6</v>
      </c>
      <c r="M59">
        <v>1.9</v>
      </c>
      <c r="N59">
        <v>1.6</v>
      </c>
      <c r="O59">
        <v>1.9</v>
      </c>
      <c r="P59">
        <v>1.6</v>
      </c>
    </row>
    <row r="60" spans="3:16">
      <c r="C60">
        <v>1966</v>
      </c>
      <c r="D60">
        <v>1.9</v>
      </c>
      <c r="E60">
        <v>2.6</v>
      </c>
      <c r="F60">
        <v>2.6</v>
      </c>
      <c r="G60">
        <v>2.9</v>
      </c>
      <c r="H60">
        <v>2.9</v>
      </c>
      <c r="I60">
        <v>2.5</v>
      </c>
      <c r="J60">
        <v>2.8</v>
      </c>
      <c r="K60">
        <v>3.5</v>
      </c>
      <c r="L60">
        <v>3.5</v>
      </c>
      <c r="M60">
        <v>3.8</v>
      </c>
      <c r="N60">
        <v>3.8</v>
      </c>
      <c r="O60">
        <v>3.5</v>
      </c>
      <c r="P60">
        <v>2.9</v>
      </c>
    </row>
    <row r="61" spans="3:16">
      <c r="C61">
        <v>1967</v>
      </c>
      <c r="D61">
        <v>3.5</v>
      </c>
      <c r="E61">
        <v>2.8</v>
      </c>
      <c r="F61">
        <v>2.8</v>
      </c>
      <c r="G61">
        <v>2.5</v>
      </c>
      <c r="H61">
        <v>2.8</v>
      </c>
      <c r="I61">
        <v>2.8</v>
      </c>
      <c r="J61">
        <v>2.8</v>
      </c>
      <c r="K61">
        <v>2.4</v>
      </c>
      <c r="L61">
        <v>2.8</v>
      </c>
      <c r="M61">
        <v>2.4</v>
      </c>
      <c r="N61">
        <v>2.7</v>
      </c>
      <c r="O61">
        <v>3</v>
      </c>
      <c r="P61">
        <v>3.1</v>
      </c>
    </row>
    <row r="62" spans="3:16">
      <c r="C62">
        <v>1968</v>
      </c>
      <c r="D62">
        <v>3.6</v>
      </c>
      <c r="E62">
        <v>4</v>
      </c>
      <c r="F62">
        <v>3.9</v>
      </c>
      <c r="G62">
        <v>3.9</v>
      </c>
      <c r="H62">
        <v>3.9</v>
      </c>
      <c r="I62">
        <v>4.2</v>
      </c>
      <c r="J62">
        <v>4.5</v>
      </c>
      <c r="K62">
        <v>4.5</v>
      </c>
      <c r="L62">
        <v>4.5</v>
      </c>
      <c r="M62">
        <v>4.7</v>
      </c>
      <c r="N62">
        <v>4.7</v>
      </c>
      <c r="O62">
        <v>4.7</v>
      </c>
      <c r="P62">
        <v>4.2</v>
      </c>
    </row>
    <row r="63" spans="3:16">
      <c r="C63">
        <v>1969</v>
      </c>
      <c r="D63">
        <v>4.4000000000000004</v>
      </c>
      <c r="E63">
        <v>4.7</v>
      </c>
      <c r="F63">
        <v>5.2</v>
      </c>
      <c r="G63">
        <v>5.5</v>
      </c>
      <c r="H63">
        <v>5.5</v>
      </c>
      <c r="I63">
        <v>5.5</v>
      </c>
      <c r="J63">
        <v>5.4</v>
      </c>
      <c r="K63">
        <v>5.7</v>
      </c>
      <c r="L63">
        <v>5.7</v>
      </c>
      <c r="M63">
        <v>5.7</v>
      </c>
      <c r="N63">
        <v>5.9</v>
      </c>
      <c r="O63">
        <v>6.2</v>
      </c>
      <c r="P63">
        <v>5.5</v>
      </c>
    </row>
    <row r="64" spans="3:16">
      <c r="C64">
        <v>1970</v>
      </c>
      <c r="D64">
        <v>6.2</v>
      </c>
      <c r="E64">
        <v>6.1</v>
      </c>
      <c r="F64">
        <v>5.8</v>
      </c>
      <c r="G64">
        <v>6.1</v>
      </c>
      <c r="H64">
        <v>6</v>
      </c>
      <c r="I64">
        <v>6</v>
      </c>
      <c r="J64">
        <v>6</v>
      </c>
      <c r="K64">
        <v>5.4</v>
      </c>
      <c r="L64">
        <v>5.7</v>
      </c>
      <c r="M64">
        <v>5.6</v>
      </c>
      <c r="N64">
        <v>5.6</v>
      </c>
      <c r="O64">
        <v>5.6</v>
      </c>
      <c r="P64">
        <v>5.7</v>
      </c>
    </row>
    <row r="65" spans="3:16">
      <c r="C65">
        <v>1971</v>
      </c>
      <c r="D65">
        <v>5.3</v>
      </c>
      <c r="E65">
        <v>5</v>
      </c>
      <c r="F65">
        <v>4.7</v>
      </c>
      <c r="G65">
        <v>4.2</v>
      </c>
      <c r="H65">
        <v>4.4000000000000004</v>
      </c>
      <c r="I65">
        <v>4.5999999999999996</v>
      </c>
      <c r="J65">
        <v>4.4000000000000004</v>
      </c>
      <c r="K65">
        <v>4.5999999999999996</v>
      </c>
      <c r="L65">
        <v>4.0999999999999996</v>
      </c>
      <c r="M65">
        <v>3.8</v>
      </c>
      <c r="N65">
        <v>3.3</v>
      </c>
      <c r="O65">
        <v>3.3</v>
      </c>
      <c r="P65">
        <v>4.4000000000000004</v>
      </c>
    </row>
    <row r="66" spans="3:16">
      <c r="C66">
        <v>1972</v>
      </c>
      <c r="D66">
        <v>3.3</v>
      </c>
      <c r="E66">
        <v>3.5</v>
      </c>
      <c r="F66">
        <v>3.5</v>
      </c>
      <c r="G66">
        <v>3.5</v>
      </c>
      <c r="H66">
        <v>3.2</v>
      </c>
      <c r="I66">
        <v>2.7</v>
      </c>
      <c r="J66">
        <v>2.9</v>
      </c>
      <c r="K66">
        <v>2.9</v>
      </c>
      <c r="L66">
        <v>3.2</v>
      </c>
      <c r="M66">
        <v>3.4</v>
      </c>
      <c r="N66">
        <v>3.7</v>
      </c>
      <c r="O66">
        <v>3.4</v>
      </c>
      <c r="P66">
        <v>3.2</v>
      </c>
    </row>
    <row r="67" spans="3:16">
      <c r="C67">
        <v>1973</v>
      </c>
      <c r="D67">
        <v>3.6</v>
      </c>
      <c r="E67">
        <v>3.9</v>
      </c>
      <c r="F67">
        <v>4.5999999999999996</v>
      </c>
      <c r="G67">
        <v>5.0999999999999996</v>
      </c>
      <c r="H67">
        <v>5.5</v>
      </c>
      <c r="I67">
        <v>6</v>
      </c>
      <c r="J67">
        <v>5.7</v>
      </c>
      <c r="K67">
        <v>7.4</v>
      </c>
      <c r="L67">
        <v>7.4</v>
      </c>
      <c r="M67">
        <v>7.8</v>
      </c>
      <c r="N67">
        <v>8.3000000000000007</v>
      </c>
      <c r="O67">
        <v>8.6999999999999993</v>
      </c>
      <c r="P67">
        <v>6.2</v>
      </c>
    </row>
    <row r="68" spans="3:16">
      <c r="C68">
        <v>1974</v>
      </c>
      <c r="D68">
        <v>9.4</v>
      </c>
      <c r="E68">
        <v>10</v>
      </c>
      <c r="F68">
        <v>10.4</v>
      </c>
      <c r="G68">
        <v>10.1</v>
      </c>
      <c r="H68">
        <v>10.7</v>
      </c>
      <c r="I68">
        <v>10.9</v>
      </c>
      <c r="J68">
        <v>11.5</v>
      </c>
      <c r="K68">
        <v>10.9</v>
      </c>
      <c r="L68">
        <v>11.9</v>
      </c>
      <c r="M68">
        <v>12.1</v>
      </c>
      <c r="N68">
        <v>12.2</v>
      </c>
      <c r="O68">
        <v>12.3</v>
      </c>
      <c r="P68">
        <v>11</v>
      </c>
    </row>
    <row r="69" spans="3:16">
      <c r="C69">
        <v>1975</v>
      </c>
      <c r="D69">
        <v>11.8</v>
      </c>
      <c r="E69">
        <v>11.2</v>
      </c>
      <c r="F69">
        <v>10.3</v>
      </c>
      <c r="G69">
        <v>10.199999999999999</v>
      </c>
      <c r="H69">
        <v>9.5</v>
      </c>
      <c r="I69">
        <v>9.4</v>
      </c>
      <c r="J69">
        <v>9.6999999999999993</v>
      </c>
      <c r="K69">
        <v>8.6</v>
      </c>
      <c r="L69">
        <v>7.9</v>
      </c>
      <c r="M69">
        <v>7.4</v>
      </c>
      <c r="N69">
        <v>7.4</v>
      </c>
      <c r="O69">
        <v>6.9</v>
      </c>
      <c r="P69">
        <v>9.1</v>
      </c>
    </row>
    <row r="70" spans="3:16">
      <c r="C70">
        <v>1976</v>
      </c>
      <c r="D70">
        <v>6.7</v>
      </c>
      <c r="E70">
        <v>6.3</v>
      </c>
      <c r="F70">
        <v>6.1</v>
      </c>
      <c r="G70">
        <v>6</v>
      </c>
      <c r="H70">
        <v>6.2</v>
      </c>
      <c r="I70">
        <v>6</v>
      </c>
      <c r="J70">
        <v>5.4</v>
      </c>
      <c r="K70">
        <v>5.7</v>
      </c>
      <c r="L70">
        <v>5.5</v>
      </c>
      <c r="M70">
        <v>5.5</v>
      </c>
      <c r="N70">
        <v>4.9000000000000004</v>
      </c>
      <c r="O70">
        <v>4.9000000000000004</v>
      </c>
      <c r="P70">
        <v>5.8</v>
      </c>
    </row>
    <row r="71" spans="3:16">
      <c r="C71">
        <v>1977</v>
      </c>
      <c r="D71">
        <v>5.2</v>
      </c>
      <c r="E71">
        <v>5.9</v>
      </c>
      <c r="F71">
        <v>6.4</v>
      </c>
      <c r="G71">
        <v>7</v>
      </c>
      <c r="H71">
        <v>6.7</v>
      </c>
      <c r="I71">
        <v>6.9</v>
      </c>
      <c r="J71">
        <v>6.8</v>
      </c>
      <c r="K71">
        <v>6.6</v>
      </c>
      <c r="L71">
        <v>6.6</v>
      </c>
      <c r="M71">
        <v>6.4</v>
      </c>
      <c r="N71">
        <v>6.7</v>
      </c>
      <c r="O71">
        <v>6.7</v>
      </c>
      <c r="P71">
        <v>6.5</v>
      </c>
    </row>
    <row r="72" spans="3:16">
      <c r="C72">
        <v>1978</v>
      </c>
      <c r="D72">
        <v>6.8</v>
      </c>
      <c r="E72">
        <v>6.4</v>
      </c>
      <c r="F72">
        <v>6.6</v>
      </c>
      <c r="G72">
        <v>6.5</v>
      </c>
      <c r="H72">
        <v>7</v>
      </c>
      <c r="I72">
        <v>7.4</v>
      </c>
      <c r="J72">
        <v>7.7</v>
      </c>
      <c r="K72">
        <v>7.8</v>
      </c>
      <c r="L72">
        <v>8.3000000000000007</v>
      </c>
      <c r="M72">
        <v>8.9</v>
      </c>
      <c r="N72">
        <v>8.9</v>
      </c>
      <c r="O72">
        <v>9</v>
      </c>
      <c r="P72">
        <v>7.6</v>
      </c>
    </row>
    <row r="73" spans="3:16">
      <c r="C73">
        <v>1979</v>
      </c>
      <c r="D73">
        <v>9.3000000000000007</v>
      </c>
      <c r="E73">
        <v>9.9</v>
      </c>
      <c r="F73">
        <v>10.1</v>
      </c>
      <c r="G73">
        <v>10.5</v>
      </c>
      <c r="H73">
        <v>10.9</v>
      </c>
      <c r="I73">
        <v>10.9</v>
      </c>
      <c r="J73">
        <v>11.3</v>
      </c>
      <c r="K73">
        <v>11.8</v>
      </c>
      <c r="L73">
        <v>12.2</v>
      </c>
      <c r="M73">
        <v>12.1</v>
      </c>
      <c r="N73">
        <v>12.6</v>
      </c>
      <c r="O73">
        <v>13.3</v>
      </c>
      <c r="P73">
        <v>11.3</v>
      </c>
    </row>
    <row r="74" spans="3:16">
      <c r="C74">
        <v>1980</v>
      </c>
      <c r="D74">
        <v>13.9</v>
      </c>
      <c r="E74">
        <v>14.2</v>
      </c>
      <c r="F74">
        <v>14.8</v>
      </c>
      <c r="G74">
        <v>14.7</v>
      </c>
      <c r="H74">
        <v>14.4</v>
      </c>
      <c r="I74">
        <v>14.4</v>
      </c>
      <c r="J74">
        <v>13.1</v>
      </c>
      <c r="K74">
        <v>12.9</v>
      </c>
      <c r="L74">
        <v>12.6</v>
      </c>
      <c r="M74">
        <v>12.8</v>
      </c>
      <c r="N74">
        <v>12.6</v>
      </c>
      <c r="O74">
        <v>12.5</v>
      </c>
      <c r="P74">
        <v>13.5</v>
      </c>
    </row>
    <row r="75" spans="3:16">
      <c r="C75">
        <v>1981</v>
      </c>
      <c r="D75">
        <v>11.8</v>
      </c>
      <c r="E75">
        <v>11.4</v>
      </c>
      <c r="F75">
        <v>10.5</v>
      </c>
      <c r="G75">
        <v>10</v>
      </c>
      <c r="H75">
        <v>9.8000000000000007</v>
      </c>
      <c r="I75">
        <v>9.6</v>
      </c>
      <c r="J75">
        <v>10.8</v>
      </c>
      <c r="K75">
        <v>10.8</v>
      </c>
      <c r="L75">
        <v>11</v>
      </c>
      <c r="M75">
        <v>10.1</v>
      </c>
      <c r="N75">
        <v>9.6</v>
      </c>
      <c r="O75">
        <v>8.9</v>
      </c>
      <c r="P75">
        <v>10.3</v>
      </c>
    </row>
    <row r="76" spans="3:16">
      <c r="C76">
        <v>1982</v>
      </c>
      <c r="D76">
        <v>8.4</v>
      </c>
      <c r="E76">
        <v>7.6</v>
      </c>
      <c r="F76">
        <v>6.8</v>
      </c>
      <c r="G76">
        <v>6.5</v>
      </c>
      <c r="H76">
        <v>6.7</v>
      </c>
      <c r="I76">
        <v>7.1</v>
      </c>
      <c r="J76">
        <v>6.4</v>
      </c>
      <c r="K76">
        <v>5.9</v>
      </c>
      <c r="L76">
        <v>5</v>
      </c>
      <c r="M76">
        <v>5.0999999999999996</v>
      </c>
      <c r="N76">
        <v>4.5999999999999996</v>
      </c>
      <c r="O76">
        <v>3.8</v>
      </c>
      <c r="P76">
        <v>6.2</v>
      </c>
    </row>
    <row r="77" spans="3:16">
      <c r="C77">
        <v>1983</v>
      </c>
      <c r="D77">
        <v>3.7</v>
      </c>
      <c r="E77">
        <v>3.5</v>
      </c>
      <c r="F77">
        <v>3.6</v>
      </c>
      <c r="G77">
        <v>3.9</v>
      </c>
      <c r="H77">
        <v>3.5</v>
      </c>
      <c r="I77">
        <v>2.6</v>
      </c>
      <c r="J77">
        <v>2.5</v>
      </c>
      <c r="K77">
        <v>2.6</v>
      </c>
      <c r="L77">
        <v>2.9</v>
      </c>
      <c r="M77">
        <v>2.9</v>
      </c>
      <c r="N77">
        <v>3.3</v>
      </c>
      <c r="O77">
        <v>3.8</v>
      </c>
      <c r="P77">
        <v>3.2</v>
      </c>
    </row>
    <row r="78" spans="3:16">
      <c r="C78">
        <v>1984</v>
      </c>
      <c r="D78">
        <v>4.2</v>
      </c>
      <c r="E78">
        <v>4.5999999999999996</v>
      </c>
      <c r="F78">
        <v>4.8</v>
      </c>
      <c r="G78">
        <v>4.5999999999999996</v>
      </c>
      <c r="H78">
        <v>4.2</v>
      </c>
      <c r="I78">
        <v>4.2</v>
      </c>
      <c r="J78">
        <v>4.2</v>
      </c>
      <c r="K78">
        <v>4.3</v>
      </c>
      <c r="L78">
        <v>4.3</v>
      </c>
      <c r="M78">
        <v>4.3</v>
      </c>
      <c r="N78">
        <v>4.0999999999999996</v>
      </c>
      <c r="O78">
        <v>3.9</v>
      </c>
      <c r="P78">
        <v>4.3</v>
      </c>
    </row>
    <row r="79" spans="3:16">
      <c r="C79">
        <v>1985</v>
      </c>
      <c r="D79">
        <v>3.5</v>
      </c>
      <c r="E79">
        <v>3.5</v>
      </c>
      <c r="F79">
        <v>3.7</v>
      </c>
      <c r="G79">
        <v>3.7</v>
      </c>
      <c r="H79">
        <v>3.8</v>
      </c>
      <c r="I79">
        <v>3.8</v>
      </c>
      <c r="J79">
        <v>3.6</v>
      </c>
      <c r="K79">
        <v>3.3</v>
      </c>
      <c r="L79">
        <v>3.1</v>
      </c>
      <c r="M79">
        <v>3.2</v>
      </c>
      <c r="N79">
        <v>3.5</v>
      </c>
      <c r="O79">
        <v>3.8</v>
      </c>
      <c r="P79">
        <v>3.6</v>
      </c>
    </row>
    <row r="80" spans="3:16">
      <c r="C80">
        <v>1986</v>
      </c>
      <c r="D80">
        <v>3.9</v>
      </c>
      <c r="E80">
        <v>3.1</v>
      </c>
      <c r="F80">
        <v>2.2999999999999998</v>
      </c>
      <c r="G80">
        <v>1.6</v>
      </c>
      <c r="H80">
        <v>1.5</v>
      </c>
      <c r="I80">
        <v>1.8</v>
      </c>
      <c r="J80">
        <v>1.6</v>
      </c>
      <c r="K80">
        <v>1.6</v>
      </c>
      <c r="L80">
        <v>1.8</v>
      </c>
      <c r="M80">
        <v>1.5</v>
      </c>
      <c r="N80">
        <v>1.3</v>
      </c>
      <c r="O80">
        <v>1.1000000000000001</v>
      </c>
      <c r="P80">
        <v>1.9</v>
      </c>
    </row>
    <row r="81" spans="3:16">
      <c r="C81">
        <v>1987</v>
      </c>
      <c r="D81">
        <v>1.5</v>
      </c>
      <c r="E81">
        <v>2.1</v>
      </c>
      <c r="F81">
        <v>3</v>
      </c>
      <c r="G81">
        <v>3.8</v>
      </c>
      <c r="H81">
        <v>3.9</v>
      </c>
      <c r="I81">
        <v>3.7</v>
      </c>
      <c r="J81">
        <v>3.9</v>
      </c>
      <c r="K81">
        <v>4.3</v>
      </c>
      <c r="L81">
        <v>4.4000000000000004</v>
      </c>
      <c r="M81">
        <v>4.5</v>
      </c>
      <c r="N81">
        <v>4.5</v>
      </c>
      <c r="O81">
        <v>4.4000000000000004</v>
      </c>
      <c r="P81">
        <v>3.6</v>
      </c>
    </row>
    <row r="82" spans="3:16">
      <c r="C82">
        <v>1988</v>
      </c>
      <c r="D82">
        <v>4</v>
      </c>
      <c r="E82">
        <v>3.9</v>
      </c>
      <c r="F82">
        <v>3.9</v>
      </c>
      <c r="G82">
        <v>3.9</v>
      </c>
      <c r="H82">
        <v>3.9</v>
      </c>
      <c r="I82">
        <v>4</v>
      </c>
      <c r="J82">
        <v>4.0999999999999996</v>
      </c>
      <c r="K82">
        <v>4</v>
      </c>
      <c r="L82">
        <v>4.2</v>
      </c>
      <c r="M82">
        <v>4.2</v>
      </c>
      <c r="N82">
        <v>4.2</v>
      </c>
      <c r="O82">
        <v>4.4000000000000004</v>
      </c>
      <c r="P82">
        <v>4.0999999999999996</v>
      </c>
    </row>
    <row r="83" spans="3:16">
      <c r="C83">
        <v>1989</v>
      </c>
      <c r="D83">
        <v>4.7</v>
      </c>
      <c r="E83">
        <v>4.8</v>
      </c>
      <c r="F83">
        <v>5</v>
      </c>
      <c r="G83">
        <v>5.0999999999999996</v>
      </c>
      <c r="H83">
        <v>5.4</v>
      </c>
      <c r="I83">
        <v>5.2</v>
      </c>
      <c r="J83">
        <v>5</v>
      </c>
      <c r="K83">
        <v>4.7</v>
      </c>
      <c r="L83">
        <v>4.3</v>
      </c>
      <c r="M83">
        <v>4.5</v>
      </c>
      <c r="N83">
        <v>4.7</v>
      </c>
      <c r="O83">
        <v>4.5999999999999996</v>
      </c>
      <c r="P83">
        <v>4.8</v>
      </c>
    </row>
    <row r="84" spans="3:16">
      <c r="C84">
        <v>1990</v>
      </c>
      <c r="D84">
        <v>5.2</v>
      </c>
      <c r="E84">
        <v>5.3</v>
      </c>
      <c r="F84">
        <v>5.2</v>
      </c>
      <c r="G84">
        <v>4.7</v>
      </c>
      <c r="H84">
        <v>4.4000000000000004</v>
      </c>
      <c r="I84">
        <v>4.7</v>
      </c>
      <c r="J84">
        <v>4.8</v>
      </c>
      <c r="K84">
        <v>5.6</v>
      </c>
      <c r="L84">
        <v>6.2</v>
      </c>
      <c r="M84">
        <v>6.3</v>
      </c>
      <c r="N84">
        <v>6.3</v>
      </c>
      <c r="O84">
        <v>6.1</v>
      </c>
      <c r="P84">
        <v>5.4</v>
      </c>
    </row>
    <row r="85" spans="3:16">
      <c r="C85">
        <v>1991</v>
      </c>
      <c r="D85">
        <v>5.7</v>
      </c>
      <c r="E85">
        <v>5.3</v>
      </c>
      <c r="F85">
        <v>4.9000000000000004</v>
      </c>
      <c r="G85">
        <v>4.9000000000000004</v>
      </c>
      <c r="H85">
        <v>5</v>
      </c>
      <c r="I85">
        <v>4.7</v>
      </c>
      <c r="J85">
        <v>4.4000000000000004</v>
      </c>
      <c r="K85">
        <v>3.8</v>
      </c>
      <c r="L85">
        <v>3.4</v>
      </c>
      <c r="M85">
        <v>2.9</v>
      </c>
      <c r="N85">
        <v>3</v>
      </c>
      <c r="O85">
        <v>3.1</v>
      </c>
      <c r="P85">
        <v>4.2</v>
      </c>
    </row>
    <row r="86" spans="3:16">
      <c r="C86">
        <v>1992</v>
      </c>
      <c r="D86">
        <v>2.6</v>
      </c>
      <c r="E86">
        <v>2.8</v>
      </c>
      <c r="F86">
        <v>3.2</v>
      </c>
      <c r="G86">
        <v>3.2</v>
      </c>
      <c r="H86">
        <v>3</v>
      </c>
      <c r="I86">
        <v>3.1</v>
      </c>
      <c r="J86">
        <v>3.2</v>
      </c>
      <c r="K86">
        <v>3.1</v>
      </c>
      <c r="L86">
        <v>3</v>
      </c>
      <c r="M86">
        <v>3.2</v>
      </c>
      <c r="N86">
        <v>3</v>
      </c>
      <c r="O86">
        <v>2.9</v>
      </c>
      <c r="P86">
        <v>3</v>
      </c>
    </row>
    <row r="87" spans="3:16">
      <c r="C87">
        <v>1993</v>
      </c>
      <c r="D87">
        <v>3.3</v>
      </c>
      <c r="E87">
        <v>3.2</v>
      </c>
      <c r="F87">
        <v>3.1</v>
      </c>
      <c r="G87">
        <v>3.2</v>
      </c>
      <c r="H87">
        <v>3.2</v>
      </c>
      <c r="I87">
        <v>3</v>
      </c>
      <c r="J87">
        <v>2.8</v>
      </c>
      <c r="K87">
        <v>2.8</v>
      </c>
      <c r="L87">
        <v>2.7</v>
      </c>
      <c r="M87">
        <v>2.8</v>
      </c>
      <c r="N87">
        <v>2.7</v>
      </c>
      <c r="O87">
        <v>2.7</v>
      </c>
      <c r="P87">
        <v>3</v>
      </c>
    </row>
    <row r="88" spans="3:16">
      <c r="C88">
        <v>1994</v>
      </c>
      <c r="D88">
        <v>2.5</v>
      </c>
      <c r="E88">
        <v>2.5</v>
      </c>
      <c r="F88">
        <v>2.5</v>
      </c>
      <c r="G88">
        <v>2.4</v>
      </c>
      <c r="H88">
        <v>2.2999999999999998</v>
      </c>
      <c r="I88">
        <v>2.5</v>
      </c>
      <c r="J88">
        <v>2.8</v>
      </c>
      <c r="K88">
        <v>2.9</v>
      </c>
      <c r="L88">
        <v>3</v>
      </c>
      <c r="M88">
        <v>2.6</v>
      </c>
      <c r="N88">
        <v>2.7</v>
      </c>
      <c r="O88">
        <v>2.7</v>
      </c>
      <c r="P88">
        <v>2.6</v>
      </c>
    </row>
    <row r="89" spans="3:16">
      <c r="C89">
        <v>1995</v>
      </c>
      <c r="D89">
        <v>2.8</v>
      </c>
      <c r="E89">
        <v>2.9</v>
      </c>
      <c r="F89">
        <v>2.9</v>
      </c>
      <c r="G89">
        <v>3.1</v>
      </c>
      <c r="H89">
        <v>3.2</v>
      </c>
      <c r="I89">
        <v>3</v>
      </c>
      <c r="J89">
        <v>2.8</v>
      </c>
      <c r="K89">
        <v>2.6</v>
      </c>
      <c r="L89">
        <v>2.5</v>
      </c>
      <c r="M89">
        <v>2.8</v>
      </c>
      <c r="N89">
        <v>2.6</v>
      </c>
      <c r="O89">
        <v>2.5</v>
      </c>
      <c r="P89">
        <v>2.8</v>
      </c>
    </row>
    <row r="90" spans="3:16">
      <c r="C90">
        <v>1996</v>
      </c>
      <c r="D90">
        <v>2.7</v>
      </c>
      <c r="E90">
        <v>2.7</v>
      </c>
      <c r="F90">
        <v>2.8</v>
      </c>
      <c r="G90">
        <v>2.9</v>
      </c>
      <c r="H90">
        <v>2.9</v>
      </c>
      <c r="I90">
        <v>2.8</v>
      </c>
      <c r="J90">
        <v>3</v>
      </c>
      <c r="K90">
        <v>2.9</v>
      </c>
      <c r="L90">
        <v>3</v>
      </c>
      <c r="M90">
        <v>3</v>
      </c>
      <c r="N90">
        <v>3.3</v>
      </c>
      <c r="O90">
        <v>3.3</v>
      </c>
      <c r="P90">
        <v>3</v>
      </c>
    </row>
    <row r="91" spans="3:16">
      <c r="C91">
        <v>1997</v>
      </c>
      <c r="D91">
        <v>3</v>
      </c>
      <c r="E91">
        <v>3</v>
      </c>
      <c r="F91">
        <v>2.8</v>
      </c>
      <c r="G91">
        <v>2.5</v>
      </c>
      <c r="H91">
        <v>2.2000000000000002</v>
      </c>
      <c r="I91">
        <v>2.2999999999999998</v>
      </c>
      <c r="J91">
        <v>2.2000000000000002</v>
      </c>
      <c r="K91">
        <v>2.2000000000000002</v>
      </c>
      <c r="L91">
        <v>2.2000000000000002</v>
      </c>
      <c r="M91">
        <v>2.1</v>
      </c>
      <c r="N91">
        <v>1.8</v>
      </c>
      <c r="O91">
        <v>1.7</v>
      </c>
      <c r="P91">
        <v>2.2999999999999998</v>
      </c>
    </row>
    <row r="92" spans="3:16">
      <c r="C92">
        <v>1998</v>
      </c>
      <c r="D92">
        <v>1.6</v>
      </c>
      <c r="E92">
        <v>1.4</v>
      </c>
      <c r="F92">
        <v>1.4</v>
      </c>
      <c r="G92">
        <v>1.4</v>
      </c>
      <c r="H92">
        <v>1.7</v>
      </c>
      <c r="I92">
        <v>1.7</v>
      </c>
      <c r="J92">
        <v>1.7</v>
      </c>
      <c r="K92">
        <v>1.6</v>
      </c>
      <c r="L92">
        <v>1.5</v>
      </c>
      <c r="M92">
        <v>1.5</v>
      </c>
      <c r="N92">
        <v>1.5</v>
      </c>
      <c r="O92">
        <v>1.6</v>
      </c>
      <c r="P92">
        <v>1.6</v>
      </c>
    </row>
    <row r="93" spans="3:16">
      <c r="C93">
        <v>1999</v>
      </c>
      <c r="D93">
        <v>1.7</v>
      </c>
      <c r="E93">
        <v>1.6</v>
      </c>
      <c r="F93">
        <v>1.7</v>
      </c>
      <c r="G93">
        <v>2.2999999999999998</v>
      </c>
      <c r="H93">
        <v>2.1</v>
      </c>
      <c r="I93">
        <v>2</v>
      </c>
      <c r="J93">
        <v>2.1</v>
      </c>
      <c r="K93">
        <v>2.2999999999999998</v>
      </c>
      <c r="L93">
        <v>2.6</v>
      </c>
      <c r="M93">
        <v>2.6</v>
      </c>
      <c r="N93">
        <v>2.6</v>
      </c>
      <c r="O93">
        <v>2.7</v>
      </c>
      <c r="P93">
        <v>2.2000000000000002</v>
      </c>
    </row>
    <row r="94" spans="3:16">
      <c r="C94">
        <v>2000</v>
      </c>
      <c r="D94">
        <v>2.7</v>
      </c>
      <c r="E94">
        <v>3.2</v>
      </c>
      <c r="F94">
        <v>3.8</v>
      </c>
      <c r="G94">
        <v>3.1</v>
      </c>
      <c r="H94">
        <v>3.2</v>
      </c>
      <c r="I94">
        <v>3.7</v>
      </c>
      <c r="J94">
        <v>3.7</v>
      </c>
      <c r="K94">
        <v>3.4</v>
      </c>
      <c r="L94">
        <v>3.5</v>
      </c>
      <c r="M94">
        <v>3.4</v>
      </c>
      <c r="N94">
        <v>3.4</v>
      </c>
      <c r="O94">
        <v>3.4</v>
      </c>
      <c r="P94">
        <v>3.4</v>
      </c>
    </row>
    <row r="95" spans="3:16">
      <c r="C95">
        <v>2001</v>
      </c>
      <c r="D95">
        <v>3.7</v>
      </c>
      <c r="E95">
        <v>3.5</v>
      </c>
      <c r="F95">
        <v>2.9</v>
      </c>
      <c r="G95">
        <v>3.3</v>
      </c>
      <c r="H95">
        <v>3.6</v>
      </c>
      <c r="I95">
        <v>3.2</v>
      </c>
      <c r="J95">
        <v>2.7</v>
      </c>
      <c r="K95">
        <v>2.7</v>
      </c>
      <c r="L95">
        <v>2.6</v>
      </c>
      <c r="M95">
        <v>2.1</v>
      </c>
      <c r="N95">
        <v>1.9</v>
      </c>
      <c r="O95">
        <v>1.6</v>
      </c>
      <c r="P95">
        <v>2.8</v>
      </c>
    </row>
    <row r="96" spans="3:16">
      <c r="C96">
        <v>2002</v>
      </c>
      <c r="D96">
        <v>1.1000000000000001</v>
      </c>
      <c r="E96">
        <v>1.1000000000000001</v>
      </c>
      <c r="F96">
        <v>1.5</v>
      </c>
      <c r="G96">
        <v>1.6</v>
      </c>
      <c r="H96">
        <v>1.2</v>
      </c>
      <c r="I96">
        <v>1.1000000000000001</v>
      </c>
      <c r="J96">
        <v>1.5</v>
      </c>
      <c r="K96">
        <v>1.8</v>
      </c>
      <c r="L96">
        <v>1.5</v>
      </c>
      <c r="M96">
        <v>2</v>
      </c>
      <c r="N96">
        <v>2.2000000000000002</v>
      </c>
      <c r="O96">
        <v>2.4</v>
      </c>
      <c r="P96">
        <v>1.6</v>
      </c>
    </row>
    <row r="97" spans="3:16">
      <c r="C97">
        <v>2003</v>
      </c>
      <c r="D97">
        <v>2.6</v>
      </c>
      <c r="E97">
        <v>3</v>
      </c>
      <c r="F97">
        <v>3</v>
      </c>
      <c r="G97">
        <v>2.2000000000000002</v>
      </c>
      <c r="H97">
        <v>2.1</v>
      </c>
      <c r="I97">
        <v>2.1</v>
      </c>
      <c r="J97">
        <v>2.1</v>
      </c>
      <c r="K97">
        <v>2.2000000000000002</v>
      </c>
      <c r="L97">
        <v>2.2999999999999998</v>
      </c>
      <c r="M97">
        <v>2</v>
      </c>
      <c r="N97">
        <v>1.8</v>
      </c>
      <c r="O97">
        <v>1.9</v>
      </c>
      <c r="P97">
        <v>2.2999999999999998</v>
      </c>
    </row>
    <row r="98" spans="3:16">
      <c r="C98">
        <v>2004</v>
      </c>
      <c r="D98">
        <v>1.9</v>
      </c>
      <c r="E98">
        <v>1.7</v>
      </c>
      <c r="F98">
        <v>1.7</v>
      </c>
      <c r="G98">
        <v>2.2999999999999998</v>
      </c>
      <c r="H98">
        <v>3.1</v>
      </c>
      <c r="I98">
        <v>3.3</v>
      </c>
      <c r="J98">
        <v>3</v>
      </c>
      <c r="K98">
        <v>2.7</v>
      </c>
      <c r="L98">
        <v>2.5</v>
      </c>
      <c r="M98">
        <v>3.2</v>
      </c>
      <c r="N98">
        <v>3.5</v>
      </c>
      <c r="O98">
        <v>3.3</v>
      </c>
      <c r="P98">
        <v>2.7</v>
      </c>
    </row>
    <row r="99" spans="3:16">
      <c r="C99">
        <v>2005</v>
      </c>
      <c r="D99">
        <v>3</v>
      </c>
      <c r="E99">
        <v>3</v>
      </c>
      <c r="F99">
        <v>3.1</v>
      </c>
      <c r="G99">
        <v>3.5</v>
      </c>
      <c r="H99">
        <v>2.8</v>
      </c>
      <c r="I99">
        <v>2.5</v>
      </c>
      <c r="J99">
        <v>3.2</v>
      </c>
      <c r="K99">
        <v>3.6</v>
      </c>
      <c r="L99">
        <v>4.7</v>
      </c>
      <c r="M99">
        <v>4.3</v>
      </c>
      <c r="N99">
        <v>3.5</v>
      </c>
      <c r="O99">
        <v>3.4</v>
      </c>
      <c r="P99">
        <v>3.4</v>
      </c>
    </row>
    <row r="100" spans="3:16">
      <c r="C100">
        <v>2006</v>
      </c>
      <c r="D100">
        <v>4</v>
      </c>
      <c r="E100">
        <v>3.6</v>
      </c>
      <c r="F100">
        <v>3.4</v>
      </c>
      <c r="G100">
        <v>3.5</v>
      </c>
      <c r="H100">
        <v>4.2</v>
      </c>
      <c r="I100">
        <v>4.3</v>
      </c>
      <c r="J100">
        <v>4.0999999999999996</v>
      </c>
      <c r="K100">
        <v>3.8</v>
      </c>
      <c r="L100">
        <v>2.1</v>
      </c>
      <c r="M100">
        <v>1.3</v>
      </c>
      <c r="N100">
        <v>2</v>
      </c>
      <c r="O100">
        <v>2.5</v>
      </c>
      <c r="P100">
        <v>3.2</v>
      </c>
    </row>
    <row r="101" spans="3:16">
      <c r="C101">
        <v>2007</v>
      </c>
      <c r="D101">
        <v>2.1</v>
      </c>
      <c r="E101">
        <v>2.4</v>
      </c>
      <c r="F101">
        <v>2.8</v>
      </c>
      <c r="G101">
        <v>2.6</v>
      </c>
      <c r="H101">
        <v>2.7</v>
      </c>
      <c r="I101">
        <v>2.7</v>
      </c>
      <c r="J101">
        <v>2.4</v>
      </c>
      <c r="K101">
        <v>2</v>
      </c>
      <c r="L101">
        <v>2.8</v>
      </c>
      <c r="M101">
        <v>3.5</v>
      </c>
      <c r="N101">
        <v>4.3</v>
      </c>
      <c r="O101">
        <v>4.0999999999999996</v>
      </c>
      <c r="P101">
        <v>2.8</v>
      </c>
    </row>
    <row r="102" spans="3:16">
      <c r="C102">
        <v>2008</v>
      </c>
      <c r="D102">
        <v>4.3</v>
      </c>
      <c r="E102">
        <v>4</v>
      </c>
      <c r="F102">
        <v>4</v>
      </c>
      <c r="G102">
        <v>3.9</v>
      </c>
      <c r="H102">
        <v>4.2</v>
      </c>
      <c r="I102">
        <v>5</v>
      </c>
      <c r="J102">
        <v>5.6</v>
      </c>
      <c r="K102">
        <v>5.4</v>
      </c>
      <c r="L102">
        <v>4.9000000000000004</v>
      </c>
      <c r="M102">
        <v>3.7</v>
      </c>
      <c r="N102">
        <v>1.1000000000000001</v>
      </c>
      <c r="O102">
        <v>0.1</v>
      </c>
      <c r="P102">
        <v>3.8</v>
      </c>
    </row>
    <row r="103" spans="3:16">
      <c r="C103">
        <v>2009</v>
      </c>
      <c r="D103">
        <v>0</v>
      </c>
      <c r="E103">
        <v>0.2</v>
      </c>
      <c r="F103">
        <v>-0.4</v>
      </c>
      <c r="G103">
        <v>-0.7</v>
      </c>
      <c r="H103">
        <v>-1.3</v>
      </c>
      <c r="I103">
        <v>-1.4</v>
      </c>
      <c r="J103">
        <v>-2.1</v>
      </c>
      <c r="K103">
        <v>-1.5</v>
      </c>
      <c r="L103">
        <v>-1.3</v>
      </c>
      <c r="M103">
        <v>-0.2</v>
      </c>
      <c r="N103">
        <v>1.8</v>
      </c>
      <c r="O103">
        <v>2.7</v>
      </c>
      <c r="P103">
        <v>-0.4</v>
      </c>
    </row>
    <row r="104" spans="3:16">
      <c r="C104">
        <v>2010</v>
      </c>
      <c r="D104">
        <v>2.6</v>
      </c>
      <c r="E104">
        <v>2.1</v>
      </c>
      <c r="F104">
        <v>2.2999999999999998</v>
      </c>
      <c r="G104">
        <v>2.2000000000000002</v>
      </c>
      <c r="H104">
        <v>2</v>
      </c>
      <c r="I104">
        <v>1.1000000000000001</v>
      </c>
      <c r="J104">
        <v>1.2</v>
      </c>
      <c r="K104">
        <v>1.1000000000000001</v>
      </c>
      <c r="L104">
        <v>1.1000000000000001</v>
      </c>
      <c r="M104">
        <v>1.2</v>
      </c>
      <c r="N104">
        <v>1.1000000000000001</v>
      </c>
      <c r="O104">
        <v>1.5</v>
      </c>
      <c r="P104">
        <v>1.6</v>
      </c>
    </row>
    <row r="105" spans="3:16">
      <c r="C105">
        <v>2011</v>
      </c>
      <c r="D105">
        <v>1.6</v>
      </c>
      <c r="E105">
        <v>2.1</v>
      </c>
      <c r="F105">
        <v>2.7</v>
      </c>
      <c r="G105">
        <v>3.2</v>
      </c>
      <c r="H105">
        <v>3.6</v>
      </c>
      <c r="I105">
        <v>3.6</v>
      </c>
      <c r="J105">
        <v>3.6</v>
      </c>
      <c r="K105">
        <v>3.8</v>
      </c>
      <c r="L105">
        <v>3.9</v>
      </c>
      <c r="M105">
        <v>3.5</v>
      </c>
      <c r="N105">
        <v>3.4</v>
      </c>
      <c r="O105">
        <v>3</v>
      </c>
      <c r="P105">
        <v>3.2</v>
      </c>
    </row>
    <row r="106" spans="3:16">
      <c r="C106">
        <v>2012</v>
      </c>
      <c r="D106">
        <v>2.9</v>
      </c>
      <c r="E106">
        <v>2.9</v>
      </c>
      <c r="F106">
        <v>2.7</v>
      </c>
      <c r="G106">
        <v>2.2999999999999998</v>
      </c>
      <c r="H106">
        <v>1.7</v>
      </c>
      <c r="I106">
        <v>1.7</v>
      </c>
      <c r="J106">
        <v>1.4</v>
      </c>
      <c r="K106">
        <v>1.7</v>
      </c>
      <c r="L106">
        <v>2</v>
      </c>
      <c r="M106">
        <v>2.2000000000000002</v>
      </c>
      <c r="N106">
        <v>1.8</v>
      </c>
      <c r="O106">
        <v>1.7</v>
      </c>
      <c r="P106">
        <v>2.1</v>
      </c>
    </row>
    <row r="107" spans="3:16">
      <c r="C107">
        <v>2013</v>
      </c>
      <c r="D107">
        <v>1.6</v>
      </c>
      <c r="E107">
        <v>2</v>
      </c>
      <c r="F107">
        <v>1.5</v>
      </c>
      <c r="G107">
        <v>1.1000000000000001</v>
      </c>
      <c r="H107">
        <v>1.4</v>
      </c>
      <c r="I107">
        <v>1.8</v>
      </c>
      <c r="J107">
        <v>2</v>
      </c>
      <c r="K107">
        <v>1.5</v>
      </c>
      <c r="L107">
        <v>1.2</v>
      </c>
      <c r="M107">
        <v>1</v>
      </c>
      <c r="N107">
        <v>1.2</v>
      </c>
      <c r="O107">
        <v>1.5</v>
      </c>
      <c r="P107">
        <v>1.5</v>
      </c>
    </row>
    <row r="108" spans="3:16">
      <c r="C108">
        <v>2014</v>
      </c>
      <c r="D108">
        <v>1.6</v>
      </c>
      <c r="E108">
        <v>1.1000000000000001</v>
      </c>
      <c r="F108">
        <v>1.5</v>
      </c>
      <c r="G108">
        <v>2</v>
      </c>
      <c r="H108">
        <v>2.1</v>
      </c>
      <c r="I108">
        <v>2.1</v>
      </c>
      <c r="J108">
        <v>2</v>
      </c>
      <c r="K108">
        <v>1.7</v>
      </c>
      <c r="L108">
        <v>1.7</v>
      </c>
      <c r="M108">
        <v>1.7</v>
      </c>
      <c r="N108">
        <v>1.3</v>
      </c>
      <c r="O108">
        <v>0.8</v>
      </c>
      <c r="P108">
        <v>1.6</v>
      </c>
    </row>
    <row r="109" spans="3:16">
      <c r="C109">
        <v>2015</v>
      </c>
      <c r="D109">
        <v>-0.1</v>
      </c>
      <c r="E109">
        <v>0</v>
      </c>
      <c r="F109">
        <v>-0.1</v>
      </c>
      <c r="G109">
        <v>-0.2</v>
      </c>
      <c r="H109">
        <v>0</v>
      </c>
      <c r="I109">
        <v>0.1</v>
      </c>
      <c r="J109">
        <v>0.2</v>
      </c>
      <c r="K109">
        <v>0.2</v>
      </c>
      <c r="L109">
        <v>0</v>
      </c>
      <c r="M109">
        <v>0.2</v>
      </c>
      <c r="N109">
        <v>0.5</v>
      </c>
      <c r="O109">
        <v>0.7</v>
      </c>
      <c r="P109">
        <v>0.1</v>
      </c>
    </row>
    <row r="110" spans="3:16">
      <c r="C110">
        <v>2016</v>
      </c>
      <c r="D110">
        <v>1.4</v>
      </c>
      <c r="E110">
        <v>1</v>
      </c>
      <c r="F110">
        <v>0.9</v>
      </c>
      <c r="G110">
        <v>1.1000000000000001</v>
      </c>
      <c r="H110">
        <v>1</v>
      </c>
      <c r="I110">
        <v>1</v>
      </c>
      <c r="J110">
        <v>0.8</v>
      </c>
      <c r="K110">
        <v>1.1000000000000001</v>
      </c>
      <c r="L110">
        <v>1.5</v>
      </c>
      <c r="M110">
        <v>1.6</v>
      </c>
      <c r="N110">
        <v>1.7</v>
      </c>
      <c r="O110">
        <v>2.1</v>
      </c>
      <c r="P110">
        <v>1.3</v>
      </c>
    </row>
    <row r="111" spans="3:16">
      <c r="C111">
        <v>2017</v>
      </c>
      <c r="D111">
        <v>2.5</v>
      </c>
      <c r="E111">
        <v>2.7</v>
      </c>
      <c r="F111">
        <v>2.4</v>
      </c>
      <c r="G111">
        <v>2.2000000000000002</v>
      </c>
      <c r="H111">
        <v>1.9</v>
      </c>
      <c r="I111">
        <v>1.6</v>
      </c>
      <c r="J111">
        <v>1.7</v>
      </c>
      <c r="K111">
        <v>1.9</v>
      </c>
      <c r="L111">
        <v>2.2000000000000002</v>
      </c>
      <c r="M111">
        <v>2</v>
      </c>
      <c r="N111">
        <v>2.2000000000000002</v>
      </c>
      <c r="O111">
        <v>2.1</v>
      </c>
      <c r="P111">
        <v>2.1</v>
      </c>
    </row>
    <row r="112" spans="3:16">
      <c r="C112">
        <v>2018</v>
      </c>
      <c r="D112">
        <v>2.1</v>
      </c>
      <c r="E112">
        <v>2.2000000000000002</v>
      </c>
      <c r="F112">
        <v>2.4</v>
      </c>
      <c r="G112">
        <v>2.5</v>
      </c>
      <c r="H112">
        <v>2.8</v>
      </c>
      <c r="I112">
        <v>2.9</v>
      </c>
      <c r="J112">
        <v>2.9</v>
      </c>
      <c r="K112">
        <v>2.7</v>
      </c>
      <c r="L112">
        <v>2.2999999999999998</v>
      </c>
      <c r="M112">
        <v>2.5</v>
      </c>
      <c r="N112">
        <v>2.2000000000000002</v>
      </c>
      <c r="O112">
        <v>1.9</v>
      </c>
      <c r="P112">
        <v>2.4</v>
      </c>
    </row>
    <row r="113" spans="3:16">
      <c r="C113">
        <v>2019</v>
      </c>
      <c r="D113">
        <v>1.6</v>
      </c>
      <c r="E113">
        <v>1.5</v>
      </c>
      <c r="F113">
        <v>1.9</v>
      </c>
      <c r="G113">
        <v>2</v>
      </c>
      <c r="H113">
        <v>1.8</v>
      </c>
      <c r="I113">
        <v>1.6</v>
      </c>
      <c r="J113">
        <v>1.8</v>
      </c>
      <c r="K113">
        <v>1.7</v>
      </c>
      <c r="L113">
        <v>1.7</v>
      </c>
      <c r="M113">
        <v>1.8</v>
      </c>
      <c r="N113">
        <v>2.1</v>
      </c>
      <c r="O113">
        <v>2.2999999999999998</v>
      </c>
      <c r="P113">
        <v>1.8</v>
      </c>
    </row>
    <row r="114" spans="3:16">
      <c r="C114">
        <v>2020</v>
      </c>
      <c r="D114">
        <v>2.5</v>
      </c>
      <c r="E114">
        <v>2.2999999999999998</v>
      </c>
      <c r="F114">
        <v>1.5</v>
      </c>
      <c r="G114">
        <v>0.3</v>
      </c>
      <c r="H114">
        <v>0.1</v>
      </c>
      <c r="I114">
        <v>0.6</v>
      </c>
      <c r="J114">
        <v>1</v>
      </c>
      <c r="K114">
        <v>1.3</v>
      </c>
      <c r="L114">
        <v>1.4</v>
      </c>
      <c r="M114">
        <v>1.2</v>
      </c>
      <c r="N114">
        <v>1.2</v>
      </c>
      <c r="O114">
        <v>1.4</v>
      </c>
      <c r="P114">
        <v>1.2</v>
      </c>
    </row>
    <row r="115" spans="3:16">
      <c r="C115">
        <v>2021</v>
      </c>
      <c r="D115">
        <v>1.4</v>
      </c>
      <c r="E115">
        <v>1.7</v>
      </c>
      <c r="F115">
        <v>2.6</v>
      </c>
      <c r="G115">
        <v>4.2</v>
      </c>
      <c r="H115">
        <v>5</v>
      </c>
      <c r="I115">
        <v>5.4</v>
      </c>
      <c r="J115">
        <v>5.4</v>
      </c>
      <c r="K115">
        <v>5.3</v>
      </c>
      <c r="L115">
        <v>5.4</v>
      </c>
      <c r="M115">
        <v>6.2</v>
      </c>
      <c r="N115">
        <v>6.8</v>
      </c>
      <c r="O115">
        <v>7</v>
      </c>
      <c r="P115">
        <v>4.7</v>
      </c>
    </row>
    <row r="116" spans="3:16">
      <c r="C116">
        <v>2022</v>
      </c>
      <c r="D116">
        <v>7.5</v>
      </c>
      <c r="E116">
        <v>7.9</v>
      </c>
      <c r="F116">
        <v>8.5</v>
      </c>
      <c r="G116">
        <v>8.3000000000000007</v>
      </c>
      <c r="H116">
        <v>8.6</v>
      </c>
      <c r="I116">
        <v>9.1</v>
      </c>
      <c r="J116">
        <v>8.5</v>
      </c>
      <c r="K116">
        <v>8.3000000000000007</v>
      </c>
      <c r="L116">
        <v>8.1999999999999993</v>
      </c>
      <c r="M116">
        <v>7.7</v>
      </c>
      <c r="N116">
        <v>7.1</v>
      </c>
      <c r="O116">
        <v>6.5</v>
      </c>
      <c r="P116">
        <v>8</v>
      </c>
    </row>
    <row r="117" spans="3:16">
      <c r="C117">
        <v>2023</v>
      </c>
      <c r="D117">
        <v>6.4</v>
      </c>
      <c r="E117">
        <v>6</v>
      </c>
      <c r="F117">
        <v>5</v>
      </c>
      <c r="G117">
        <v>4.9000000000000004</v>
      </c>
      <c r="H117">
        <v>4</v>
      </c>
      <c r="I117">
        <v>3</v>
      </c>
      <c r="J117">
        <v>3.2</v>
      </c>
      <c r="K117">
        <v>3.7</v>
      </c>
      <c r="L117">
        <v>3.7</v>
      </c>
      <c r="M117">
        <v>3.2</v>
      </c>
      <c r="N117">
        <v>3.1</v>
      </c>
      <c r="O117">
        <v>3.4</v>
      </c>
      <c r="P117">
        <v>4.0999999999999996</v>
      </c>
    </row>
    <row r="118" spans="3:16">
      <c r="C118">
        <v>2024</v>
      </c>
      <c r="D118">
        <v>3.1</v>
      </c>
      <c r="E118">
        <v>3.2</v>
      </c>
      <c r="F118">
        <v>3.5</v>
      </c>
      <c r="G118">
        <v>3.4</v>
      </c>
      <c r="H118">
        <v>3.3</v>
      </c>
      <c r="I118">
        <v>3</v>
      </c>
      <c r="J118">
        <v>2.9</v>
      </c>
      <c r="K118">
        <v>2.5</v>
      </c>
      <c r="L118">
        <v>2.4</v>
      </c>
      <c r="M118">
        <v>2.6</v>
      </c>
      <c r="N118">
        <v>2.7</v>
      </c>
      <c r="O118">
        <v>2.9</v>
      </c>
      <c r="P118">
        <v>2.9</v>
      </c>
    </row>
    <row r="119" spans="3:16">
      <c r="C119">
        <v>2025</v>
      </c>
      <c r="D119">
        <v>3</v>
      </c>
      <c r="E119">
        <v>2.8</v>
      </c>
      <c r="F119">
        <v>2.4</v>
      </c>
      <c r="G119">
        <v>2.2999999999999998</v>
      </c>
      <c r="H119">
        <v>2.4</v>
      </c>
      <c r="I119">
        <v>2.7</v>
      </c>
      <c r="J119">
        <v>2.7</v>
      </c>
      <c r="K119">
        <v>2.9</v>
      </c>
      <c r="L119">
        <v>3</v>
      </c>
      <c r="M119" t="s">
        <v>172</v>
      </c>
      <c r="N119">
        <v>2.7</v>
      </c>
      <c r="O119" t="s">
        <v>173</v>
      </c>
    </row>
    <row r="120" spans="3:16">
      <c r="O120" t="s">
        <v>174</v>
      </c>
    </row>
    <row r="121" spans="3:16">
      <c r="O121">
        <v>13</v>
      </c>
    </row>
    <row r="123" spans="3:16">
      <c r="P123" s="1">
        <f>(SUM(P8:P118)/111)/100</f>
        <v>3.2639639639639652E-2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1DF26-3759-4CF6-9CAD-1A9069873235}">
  <dimension ref="B3:E9"/>
  <sheetViews>
    <sheetView workbookViewId="0">
      <selection activeCell="D7" sqref="D7"/>
    </sheetView>
  </sheetViews>
  <sheetFormatPr defaultRowHeight="14.4"/>
  <cols>
    <col min="2" max="2" width="12.109375" customWidth="1"/>
  </cols>
  <sheetData>
    <row r="3" spans="2:5">
      <c r="B3" t="s">
        <v>190</v>
      </c>
    </row>
    <row r="5" spans="2:5" ht="28.8">
      <c r="B5" t="s">
        <v>191</v>
      </c>
      <c r="C5" t="s">
        <v>192</v>
      </c>
      <c r="D5" s="127" t="s">
        <v>193</v>
      </c>
      <c r="E5" t="s">
        <v>194</v>
      </c>
    </row>
    <row r="6" spans="2:5">
      <c r="B6">
        <v>1000</v>
      </c>
      <c r="C6">
        <v>5</v>
      </c>
      <c r="D6" s="1">
        <v>3.2599999999999997E-2</v>
      </c>
      <c r="E6" s="2">
        <f>PV(D6,C6,B6,B6)</f>
        <v>-5397.7097921857458</v>
      </c>
    </row>
    <row r="9" spans="2:5">
      <c r="C9">
        <f>B6/(1+D6)^C6</f>
        <v>851.80345335408799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78DC1-A959-4ED5-ADA9-B2629135E3BF}">
  <dimension ref="A1"/>
  <sheetViews>
    <sheetView workbookViewId="0"/>
  </sheetViews>
  <sheetFormatPr defaultRowHeight="14.4"/>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9B089-4BC7-4BB8-99F9-931B8C639A33}">
  <dimension ref="A1:I4"/>
  <sheetViews>
    <sheetView workbookViewId="0">
      <selection activeCell="C4" sqref="C4"/>
    </sheetView>
  </sheetViews>
  <sheetFormatPr defaultRowHeight="14.4"/>
  <cols>
    <col min="8" max="8" width="13.6640625" customWidth="1"/>
  </cols>
  <sheetData>
    <row r="1" spans="1:9">
      <c r="A1" t="s">
        <v>5</v>
      </c>
    </row>
    <row r="3" spans="1:9">
      <c r="B3" t="s">
        <v>25</v>
      </c>
      <c r="C3" t="s">
        <v>26</v>
      </c>
      <c r="D3" t="s">
        <v>27</v>
      </c>
      <c r="E3" t="s">
        <v>28</v>
      </c>
      <c r="H3" t="s">
        <v>29</v>
      </c>
    </row>
    <row r="4" spans="1:9">
      <c r="B4">
        <f>Cpi_index_inflation_montly_1925!E1154</f>
        <v>261.58199999999999</v>
      </c>
      <c r="C4">
        <f>Cpi_index_inflation_montly_1925!E1166</f>
        <v>281.14800000000002</v>
      </c>
      <c r="D4">
        <f>B4/C4</f>
        <v>0.93040676085193552</v>
      </c>
      <c r="E4">
        <v>1000</v>
      </c>
      <c r="F4">
        <f>E4*D4</f>
        <v>930.40676085193547</v>
      </c>
      <c r="H4">
        <f>C4/B4</f>
        <v>1.0747987246828912</v>
      </c>
      <c r="I4">
        <f>E4*H4</f>
        <v>1074.7987246828911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4B5C3-ECE4-4F26-B485-C8D49E265BCF}">
  <dimension ref="C2:F54"/>
  <sheetViews>
    <sheetView workbookViewId="0">
      <selection activeCell="H53" sqref="H53"/>
    </sheetView>
  </sheetViews>
  <sheetFormatPr defaultRowHeight="14.4"/>
  <cols>
    <col min="3" max="3" width="16" customWidth="1"/>
    <col min="4" max="4" width="13.33203125" customWidth="1"/>
    <col min="5" max="5" width="22.109375" customWidth="1"/>
    <col min="6" max="6" width="12.109375" customWidth="1"/>
    <col min="8" max="8" width="8.88671875" customWidth="1"/>
  </cols>
  <sheetData>
    <row r="2" spans="3:6" ht="26.4">
      <c r="C2" s="6" t="s">
        <v>30</v>
      </c>
      <c r="D2" s="6" t="s">
        <v>31</v>
      </c>
      <c r="E2" s="6" t="s">
        <v>32</v>
      </c>
      <c r="F2" s="6" t="s">
        <v>136</v>
      </c>
    </row>
    <row r="3" spans="3:6">
      <c r="C3" s="7" t="s">
        <v>33</v>
      </c>
      <c r="D3" s="8">
        <v>53400</v>
      </c>
      <c r="E3" s="8">
        <v>41350</v>
      </c>
      <c r="F3" s="75" t="s">
        <v>137</v>
      </c>
    </row>
    <row r="4" spans="3:6">
      <c r="C4" s="9" t="s">
        <v>34</v>
      </c>
      <c r="D4" s="10">
        <v>69880</v>
      </c>
      <c r="E4" s="10">
        <v>56140</v>
      </c>
      <c r="F4" s="75" t="s">
        <v>137</v>
      </c>
    </row>
    <row r="5" spans="3:6">
      <c r="C5" s="7" t="s">
        <v>35</v>
      </c>
      <c r="D5" s="8">
        <v>63040</v>
      </c>
      <c r="E5" s="8">
        <v>47680</v>
      </c>
      <c r="F5" s="75" t="s">
        <v>137</v>
      </c>
    </row>
    <row r="6" spans="3:6">
      <c r="C6" s="9" t="s">
        <v>36</v>
      </c>
      <c r="D6" s="10">
        <v>51250</v>
      </c>
      <c r="E6" s="10">
        <v>39060</v>
      </c>
      <c r="F6" s="75" t="s">
        <v>137</v>
      </c>
    </row>
    <row r="7" spans="3:6">
      <c r="C7" s="7" t="s">
        <v>37</v>
      </c>
      <c r="D7" s="8">
        <v>76960</v>
      </c>
      <c r="E7" s="8">
        <v>54030</v>
      </c>
      <c r="F7" s="77" t="s">
        <v>138</v>
      </c>
    </row>
    <row r="8" spans="3:6">
      <c r="C8" s="9" t="s">
        <v>38</v>
      </c>
      <c r="D8" s="10">
        <v>71960</v>
      </c>
      <c r="E8" s="10">
        <v>54050</v>
      </c>
      <c r="F8" s="77" t="s">
        <v>138</v>
      </c>
    </row>
    <row r="9" spans="3:6">
      <c r="C9" s="7" t="s">
        <v>39</v>
      </c>
      <c r="D9" s="8">
        <v>73740</v>
      </c>
      <c r="E9" s="8">
        <v>56130</v>
      </c>
      <c r="F9" s="77" t="s">
        <v>138</v>
      </c>
    </row>
    <row r="10" spans="3:6">
      <c r="C10" s="9" t="s">
        <v>40</v>
      </c>
      <c r="D10" s="10">
        <v>65990</v>
      </c>
      <c r="E10" s="10">
        <v>49280</v>
      </c>
      <c r="F10" s="77" t="s">
        <v>138</v>
      </c>
    </row>
    <row r="11" spans="3:6">
      <c r="C11" s="7" t="s">
        <v>41</v>
      </c>
      <c r="D11" s="8">
        <v>60210</v>
      </c>
      <c r="E11" s="8">
        <v>45070</v>
      </c>
      <c r="F11" s="76" t="s">
        <v>137</v>
      </c>
    </row>
    <row r="12" spans="3:6">
      <c r="C12" s="9" t="s">
        <v>42</v>
      </c>
      <c r="D12" s="10">
        <v>61250</v>
      </c>
      <c r="E12" s="10">
        <v>45480</v>
      </c>
      <c r="F12" s="76" t="s">
        <v>137</v>
      </c>
    </row>
    <row r="13" spans="3:6">
      <c r="C13" s="7" t="s">
        <v>43</v>
      </c>
      <c r="D13" s="8">
        <v>65030</v>
      </c>
      <c r="E13" s="8">
        <v>50510</v>
      </c>
      <c r="F13" s="77" t="s">
        <v>138</v>
      </c>
    </row>
    <row r="14" spans="3:6">
      <c r="C14" s="9" t="s">
        <v>44</v>
      </c>
      <c r="D14" s="10">
        <v>55640</v>
      </c>
      <c r="E14" s="10">
        <v>44240</v>
      </c>
      <c r="F14" s="76" t="s">
        <v>137</v>
      </c>
    </row>
    <row r="15" spans="3:6">
      <c r="C15" s="7" t="s">
        <v>45</v>
      </c>
      <c r="D15" s="8">
        <v>67130</v>
      </c>
      <c r="E15" s="8">
        <v>48730</v>
      </c>
      <c r="F15" s="77" t="s">
        <v>138</v>
      </c>
    </row>
    <row r="16" spans="3:6">
      <c r="C16" s="9" t="s">
        <v>46</v>
      </c>
      <c r="D16" s="10">
        <v>56420</v>
      </c>
      <c r="E16" s="10">
        <v>45470</v>
      </c>
      <c r="F16" s="76" t="s">
        <v>137</v>
      </c>
    </row>
    <row r="17" spans="3:6">
      <c r="C17" s="7" t="s">
        <v>47</v>
      </c>
      <c r="D17" s="8">
        <v>56400</v>
      </c>
      <c r="E17" s="8">
        <v>46460</v>
      </c>
      <c r="F17" s="76" t="s">
        <v>137</v>
      </c>
    </row>
    <row r="18" spans="3:6">
      <c r="C18" s="9" t="s">
        <v>48</v>
      </c>
      <c r="D18" s="10">
        <v>56270</v>
      </c>
      <c r="E18" s="10">
        <v>45250</v>
      </c>
      <c r="F18" s="76" t="s">
        <v>137</v>
      </c>
    </row>
    <row r="19" spans="3:6">
      <c r="C19" s="7" t="s">
        <v>49</v>
      </c>
      <c r="D19" s="8">
        <v>54030</v>
      </c>
      <c r="E19" s="8">
        <v>43730</v>
      </c>
      <c r="F19" s="76" t="s">
        <v>137</v>
      </c>
    </row>
    <row r="20" spans="3:6">
      <c r="C20" s="9" t="s">
        <v>50</v>
      </c>
      <c r="D20" s="10">
        <v>53440</v>
      </c>
      <c r="E20" s="10">
        <v>41320</v>
      </c>
      <c r="F20" s="76" t="s">
        <v>137</v>
      </c>
    </row>
    <row r="21" spans="3:6">
      <c r="C21" s="7" t="s">
        <v>51</v>
      </c>
      <c r="D21" s="8">
        <v>60000</v>
      </c>
      <c r="E21" s="8">
        <v>47590</v>
      </c>
    </row>
    <row r="22" spans="3:6">
      <c r="C22" s="9" t="s">
        <v>52</v>
      </c>
      <c r="D22" s="10">
        <v>73620</v>
      </c>
      <c r="E22" s="10">
        <v>55810</v>
      </c>
    </row>
    <row r="23" spans="3:6">
      <c r="C23" s="7" t="s">
        <v>53</v>
      </c>
      <c r="D23" s="8">
        <v>80330</v>
      </c>
      <c r="E23" s="8">
        <v>60690</v>
      </c>
    </row>
    <row r="24" spans="3:6">
      <c r="C24" s="9" t="s">
        <v>54</v>
      </c>
      <c r="D24" s="10">
        <v>60600</v>
      </c>
      <c r="E24" s="10">
        <v>46940</v>
      </c>
      <c r="F24" s="76" t="s">
        <v>137</v>
      </c>
    </row>
    <row r="25" spans="3:6">
      <c r="C25" s="7" t="s">
        <v>55</v>
      </c>
      <c r="D25" s="8">
        <v>66700</v>
      </c>
      <c r="E25" s="8">
        <v>50880</v>
      </c>
    </row>
    <row r="26" spans="3:6">
      <c r="C26" s="9" t="s">
        <v>56</v>
      </c>
      <c r="D26" s="10">
        <v>47570</v>
      </c>
      <c r="E26" s="10">
        <v>37500</v>
      </c>
      <c r="F26" s="76" t="s">
        <v>137</v>
      </c>
    </row>
    <row r="27" spans="3:6">
      <c r="C27" s="7" t="s">
        <v>57</v>
      </c>
      <c r="D27" s="8">
        <v>57580</v>
      </c>
      <c r="E27" s="8">
        <v>45080</v>
      </c>
      <c r="F27" s="76" t="s">
        <v>137</v>
      </c>
    </row>
    <row r="28" spans="3:6">
      <c r="C28" s="9" t="s">
        <v>58</v>
      </c>
      <c r="D28" s="10">
        <v>55920</v>
      </c>
      <c r="E28" s="10">
        <v>45690</v>
      </c>
      <c r="F28" s="76" t="s">
        <v>137</v>
      </c>
    </row>
    <row r="29" spans="3:6">
      <c r="C29" s="7" t="s">
        <v>59</v>
      </c>
      <c r="D29" s="8">
        <v>58080</v>
      </c>
      <c r="E29" s="8">
        <v>46440</v>
      </c>
      <c r="F29" s="76" t="s">
        <v>137</v>
      </c>
    </row>
    <row r="30" spans="3:6">
      <c r="C30" s="9" t="s">
        <v>60</v>
      </c>
      <c r="D30" s="10">
        <v>58900</v>
      </c>
      <c r="E30" s="10">
        <v>44810</v>
      </c>
      <c r="F30" s="76" t="s">
        <v>137</v>
      </c>
    </row>
    <row r="31" spans="3:6">
      <c r="C31" s="7" t="s">
        <v>61</v>
      </c>
      <c r="D31" s="8">
        <v>66110</v>
      </c>
      <c r="E31" s="8">
        <v>49980</v>
      </c>
    </row>
    <row r="32" spans="3:6">
      <c r="C32" s="9" t="s">
        <v>62</v>
      </c>
      <c r="D32" s="10">
        <v>73980</v>
      </c>
      <c r="E32" s="10">
        <v>54860</v>
      </c>
    </row>
    <row r="33" spans="3:6">
      <c r="C33" s="7" t="s">
        <v>63</v>
      </c>
      <c r="D33" s="8">
        <v>57520</v>
      </c>
      <c r="E33" s="8">
        <v>43620</v>
      </c>
    </row>
    <row r="34" spans="3:6">
      <c r="C34" s="9" t="s">
        <v>64</v>
      </c>
      <c r="D34" s="10">
        <v>78620</v>
      </c>
      <c r="E34" s="10">
        <v>56840</v>
      </c>
    </row>
    <row r="35" spans="3:6">
      <c r="C35" s="7" t="s">
        <v>65</v>
      </c>
      <c r="D35" s="8">
        <v>59730</v>
      </c>
      <c r="E35" s="8">
        <v>45440</v>
      </c>
      <c r="F35" s="76" t="s">
        <v>137</v>
      </c>
    </row>
    <row r="36" spans="3:6">
      <c r="C36" s="9" t="s">
        <v>66</v>
      </c>
      <c r="D36" s="10">
        <v>59050</v>
      </c>
      <c r="E36" s="10">
        <v>48830</v>
      </c>
      <c r="F36" s="76" t="s">
        <v>137</v>
      </c>
    </row>
    <row r="37" spans="3:6">
      <c r="C37" s="7" t="s">
        <v>67</v>
      </c>
      <c r="D37" s="8">
        <v>59890</v>
      </c>
      <c r="E37" s="8">
        <v>46690</v>
      </c>
      <c r="F37" s="76" t="s">
        <v>137</v>
      </c>
    </row>
    <row r="38" spans="3:6">
      <c r="C38" s="9" t="s">
        <v>68</v>
      </c>
      <c r="D38" s="10">
        <v>53450</v>
      </c>
      <c r="E38" s="10">
        <v>41480</v>
      </c>
      <c r="F38" s="76" t="s">
        <v>137</v>
      </c>
    </row>
    <row r="39" spans="3:6">
      <c r="C39" s="7" t="s">
        <v>69</v>
      </c>
      <c r="D39" s="8">
        <v>66710</v>
      </c>
      <c r="E39" s="8">
        <v>50010</v>
      </c>
    </row>
    <row r="40" spans="3:6">
      <c r="C40" s="9" t="s">
        <v>70</v>
      </c>
      <c r="D40" s="10">
        <v>61920</v>
      </c>
      <c r="E40" s="10">
        <v>47430</v>
      </c>
      <c r="F40" s="76" t="s">
        <v>137</v>
      </c>
    </row>
    <row r="41" spans="3:6">
      <c r="C41" s="7" t="s">
        <v>71</v>
      </c>
      <c r="D41" s="8">
        <v>66610</v>
      </c>
      <c r="E41" s="8">
        <v>50970</v>
      </c>
    </row>
    <row r="42" spans="3:6">
      <c r="C42" s="9" t="s">
        <v>72</v>
      </c>
      <c r="D42" s="10">
        <v>54250</v>
      </c>
      <c r="E42" s="10">
        <v>42220</v>
      </c>
      <c r="F42" s="76" t="s">
        <v>137</v>
      </c>
    </row>
    <row r="43" spans="3:6">
      <c r="C43" s="7" t="s">
        <v>73</v>
      </c>
      <c r="D43" s="8">
        <v>53230</v>
      </c>
      <c r="E43" s="8">
        <v>43680</v>
      </c>
      <c r="F43" s="76" t="s">
        <v>137</v>
      </c>
    </row>
    <row r="44" spans="3:6">
      <c r="C44" s="9" t="s">
        <v>74</v>
      </c>
      <c r="D44" s="10">
        <v>56030</v>
      </c>
      <c r="E44" s="10">
        <v>43820</v>
      </c>
      <c r="F44" s="76" t="s">
        <v>137</v>
      </c>
    </row>
    <row r="45" spans="3:6">
      <c r="C45" s="7" t="s">
        <v>75</v>
      </c>
      <c r="D45" s="8">
        <v>61240</v>
      </c>
      <c r="E45" s="8">
        <v>45970</v>
      </c>
      <c r="F45" s="76" t="s">
        <v>137</v>
      </c>
    </row>
    <row r="46" spans="3:6">
      <c r="C46" s="9" t="s">
        <v>76</v>
      </c>
      <c r="D46" s="10">
        <v>61070</v>
      </c>
      <c r="E46" s="10">
        <v>47020</v>
      </c>
      <c r="F46" s="76" t="s">
        <v>137</v>
      </c>
    </row>
    <row r="47" spans="3:6">
      <c r="C47" s="7" t="s">
        <v>77</v>
      </c>
      <c r="D47" s="8">
        <v>62780</v>
      </c>
      <c r="E47" s="8">
        <v>49630</v>
      </c>
    </row>
    <row r="48" spans="3:6">
      <c r="C48" s="9" t="s">
        <v>78</v>
      </c>
      <c r="D48" s="10">
        <v>70050</v>
      </c>
      <c r="E48" s="10">
        <v>49920</v>
      </c>
    </row>
    <row r="49" spans="3:6">
      <c r="C49" s="7" t="s">
        <v>79</v>
      </c>
      <c r="D49" s="8">
        <v>78130</v>
      </c>
      <c r="E49" s="8">
        <v>59920</v>
      </c>
    </row>
    <row r="50" spans="3:6">
      <c r="C50" s="9" t="s">
        <v>80</v>
      </c>
      <c r="D50" s="10">
        <v>52200</v>
      </c>
      <c r="E50" s="10">
        <v>39770</v>
      </c>
      <c r="F50" s="76" t="s">
        <v>137</v>
      </c>
    </row>
    <row r="51" spans="3:6">
      <c r="C51" s="7" t="s">
        <v>81</v>
      </c>
      <c r="D51" s="8">
        <v>59500</v>
      </c>
      <c r="E51" s="8">
        <v>47590</v>
      </c>
      <c r="F51" s="76" t="s">
        <v>137</v>
      </c>
    </row>
    <row r="52" spans="3:6">
      <c r="C52" s="9" t="s">
        <v>82</v>
      </c>
      <c r="D52" s="10">
        <v>57930</v>
      </c>
      <c r="E52" s="10">
        <v>47250</v>
      </c>
      <c r="F52" s="76" t="s">
        <v>137</v>
      </c>
    </row>
    <row r="54" spans="3:6" ht="86.4">
      <c r="C54" s="11" t="s">
        <v>83</v>
      </c>
    </row>
  </sheetData>
  <sortState xmlns:xlrd2="http://schemas.microsoft.com/office/spreadsheetml/2017/richdata2" ref="C3:E52">
    <sortCondition ref="C3:C52"/>
  </sortState>
  <hyperlinks>
    <hyperlink ref="C54" r:id="rId1" display="https://www.bls.gov/oes/" xr:uid="{B0335E20-76A7-47C7-9DDA-1F7FB752EA53}"/>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5BB25-DEA2-4279-916C-005BD0AB7705}">
  <dimension ref="B1:C101"/>
  <sheetViews>
    <sheetView workbookViewId="0">
      <selection activeCell="C2" sqref="C2"/>
    </sheetView>
  </sheetViews>
  <sheetFormatPr defaultRowHeight="14.4"/>
  <cols>
    <col min="2" max="3" width="10.6640625" bestFit="1" customWidth="1"/>
  </cols>
  <sheetData>
    <row r="1" spans="2:3">
      <c r="B1" t="s">
        <v>7</v>
      </c>
      <c r="C1" t="s">
        <v>86</v>
      </c>
    </row>
    <row r="2" spans="2:3">
      <c r="B2" t="s">
        <v>84</v>
      </c>
      <c r="C2" t="s">
        <v>85</v>
      </c>
    </row>
    <row r="3" spans="2:3">
      <c r="B3">
        <v>2024</v>
      </c>
      <c r="C3">
        <v>25.02</v>
      </c>
    </row>
    <row r="4" spans="2:3">
      <c r="B4">
        <v>2023</v>
      </c>
      <c r="C4">
        <v>26.29</v>
      </c>
    </row>
    <row r="5" spans="2:3">
      <c r="B5">
        <v>2022</v>
      </c>
      <c r="C5">
        <v>-18.11</v>
      </c>
    </row>
    <row r="6" spans="2:3">
      <c r="B6">
        <v>2021</v>
      </c>
      <c r="C6">
        <v>28.71</v>
      </c>
    </row>
    <row r="7" spans="2:3">
      <c r="B7">
        <v>2020</v>
      </c>
      <c r="C7">
        <v>18.399999999999999</v>
      </c>
    </row>
    <row r="8" spans="2:3">
      <c r="B8">
        <v>2019</v>
      </c>
      <c r="C8">
        <v>31.49</v>
      </c>
    </row>
    <row r="9" spans="2:3">
      <c r="B9">
        <v>2018</v>
      </c>
      <c r="C9">
        <v>-4.38</v>
      </c>
    </row>
    <row r="10" spans="2:3">
      <c r="B10">
        <v>2017</v>
      </c>
      <c r="C10">
        <v>21.83</v>
      </c>
    </row>
    <row r="11" spans="2:3">
      <c r="B11">
        <v>2016</v>
      </c>
      <c r="C11">
        <v>11.96</v>
      </c>
    </row>
    <row r="12" spans="2:3">
      <c r="B12">
        <v>2015</v>
      </c>
      <c r="C12">
        <v>1.38</v>
      </c>
    </row>
    <row r="13" spans="2:3">
      <c r="B13">
        <v>2014</v>
      </c>
      <c r="C13">
        <v>13.69</v>
      </c>
    </row>
    <row r="14" spans="2:3">
      <c r="B14">
        <v>2013</v>
      </c>
      <c r="C14">
        <v>32.39</v>
      </c>
    </row>
    <row r="15" spans="2:3">
      <c r="B15">
        <v>2012</v>
      </c>
      <c r="C15">
        <v>16</v>
      </c>
    </row>
    <row r="16" spans="2:3">
      <c r="B16">
        <v>2011</v>
      </c>
      <c r="C16">
        <v>2.11</v>
      </c>
    </row>
    <row r="17" spans="2:3">
      <c r="B17">
        <v>2010</v>
      </c>
      <c r="C17">
        <v>15.06</v>
      </c>
    </row>
    <row r="18" spans="2:3">
      <c r="B18">
        <v>2009</v>
      </c>
      <c r="C18">
        <v>26.46</v>
      </c>
    </row>
    <row r="19" spans="2:3">
      <c r="B19">
        <v>2008</v>
      </c>
      <c r="C19">
        <v>-37</v>
      </c>
    </row>
    <row r="20" spans="2:3">
      <c r="B20">
        <v>2007</v>
      </c>
      <c r="C20">
        <v>5.49</v>
      </c>
    </row>
    <row r="21" spans="2:3">
      <c r="B21">
        <v>2006</v>
      </c>
      <c r="C21">
        <v>15.79</v>
      </c>
    </row>
    <row r="22" spans="2:3">
      <c r="B22">
        <v>2005</v>
      </c>
      <c r="C22">
        <v>4.91</v>
      </c>
    </row>
    <row r="23" spans="2:3">
      <c r="B23">
        <v>2004</v>
      </c>
      <c r="C23">
        <v>10.88</v>
      </c>
    </row>
    <row r="24" spans="2:3">
      <c r="B24">
        <v>2003</v>
      </c>
      <c r="C24">
        <v>28.68</v>
      </c>
    </row>
    <row r="25" spans="2:3">
      <c r="B25">
        <v>2002</v>
      </c>
      <c r="C25">
        <v>-22.1</v>
      </c>
    </row>
    <row r="26" spans="2:3">
      <c r="B26">
        <v>2001</v>
      </c>
      <c r="C26">
        <v>-11.89</v>
      </c>
    </row>
    <row r="27" spans="2:3">
      <c r="B27">
        <v>2000</v>
      </c>
      <c r="C27">
        <v>-9.1</v>
      </c>
    </row>
    <row r="28" spans="2:3">
      <c r="B28">
        <v>1999</v>
      </c>
      <c r="C28">
        <v>21.04</v>
      </c>
    </row>
    <row r="29" spans="2:3">
      <c r="B29">
        <v>1998</v>
      </c>
      <c r="C29">
        <v>28.58</v>
      </c>
    </row>
    <row r="30" spans="2:3">
      <c r="B30">
        <v>1997</v>
      </c>
      <c r="C30">
        <v>33.36</v>
      </c>
    </row>
    <row r="31" spans="2:3">
      <c r="B31">
        <v>1996</v>
      </c>
      <c r="C31">
        <v>22.96</v>
      </c>
    </row>
    <row r="32" spans="2:3">
      <c r="B32">
        <v>1995</v>
      </c>
      <c r="C32">
        <v>37.58</v>
      </c>
    </row>
    <row r="33" spans="2:3">
      <c r="B33">
        <v>1994</v>
      </c>
      <c r="C33">
        <v>1.32</v>
      </c>
    </row>
    <row r="34" spans="2:3">
      <c r="B34">
        <v>1993</v>
      </c>
      <c r="C34">
        <v>10.08</v>
      </c>
    </row>
    <row r="35" spans="2:3">
      <c r="B35">
        <v>1992</v>
      </c>
      <c r="C35">
        <v>7.62</v>
      </c>
    </row>
    <row r="36" spans="2:3">
      <c r="B36">
        <v>1991</v>
      </c>
      <c r="C36">
        <v>30.47</v>
      </c>
    </row>
    <row r="37" spans="2:3">
      <c r="B37">
        <v>1990</v>
      </c>
      <c r="C37">
        <v>-3.1</v>
      </c>
    </row>
    <row r="38" spans="2:3">
      <c r="B38">
        <v>1989</v>
      </c>
      <c r="C38">
        <v>31.69</v>
      </c>
    </row>
    <row r="39" spans="2:3">
      <c r="B39">
        <v>1988</v>
      </c>
      <c r="C39">
        <v>16.61</v>
      </c>
    </row>
    <row r="40" spans="2:3">
      <c r="B40">
        <v>1987</v>
      </c>
      <c r="C40">
        <v>5.25</v>
      </c>
    </row>
    <row r="41" spans="2:3">
      <c r="B41">
        <v>1986</v>
      </c>
      <c r="C41">
        <v>18.670000000000002</v>
      </c>
    </row>
    <row r="42" spans="2:3">
      <c r="B42">
        <v>1985</v>
      </c>
      <c r="C42">
        <v>31.73</v>
      </c>
    </row>
    <row r="43" spans="2:3">
      <c r="B43">
        <v>1984</v>
      </c>
      <c r="C43">
        <v>6.27</v>
      </c>
    </row>
    <row r="44" spans="2:3">
      <c r="B44">
        <v>1983</v>
      </c>
      <c r="C44">
        <v>22.56</v>
      </c>
    </row>
    <row r="45" spans="2:3">
      <c r="B45">
        <v>1982</v>
      </c>
      <c r="C45">
        <v>21.55</v>
      </c>
    </row>
    <row r="46" spans="2:3">
      <c r="B46">
        <v>1981</v>
      </c>
      <c r="C46">
        <v>-4.91</v>
      </c>
    </row>
    <row r="47" spans="2:3">
      <c r="B47">
        <v>1980</v>
      </c>
      <c r="C47">
        <v>32.42</v>
      </c>
    </row>
    <row r="48" spans="2:3">
      <c r="B48">
        <v>1979</v>
      </c>
      <c r="C48">
        <v>18.440000000000001</v>
      </c>
    </row>
    <row r="49" spans="2:3">
      <c r="B49">
        <v>1978</v>
      </c>
      <c r="C49">
        <v>6.56</v>
      </c>
    </row>
    <row r="50" spans="2:3">
      <c r="B50">
        <v>1977</v>
      </c>
      <c r="C50">
        <v>-7.18</v>
      </c>
    </row>
    <row r="51" spans="2:3">
      <c r="B51">
        <v>1976</v>
      </c>
      <c r="C51">
        <v>23.84</v>
      </c>
    </row>
    <row r="52" spans="2:3">
      <c r="B52">
        <v>1975</v>
      </c>
      <c r="C52">
        <v>37.200000000000003</v>
      </c>
    </row>
    <row r="53" spans="2:3">
      <c r="B53">
        <v>1974</v>
      </c>
      <c r="C53">
        <v>-26.47</v>
      </c>
    </row>
    <row r="54" spans="2:3">
      <c r="B54">
        <v>1973</v>
      </c>
      <c r="C54">
        <v>-14.66</v>
      </c>
    </row>
    <row r="55" spans="2:3">
      <c r="B55">
        <v>1972</v>
      </c>
      <c r="C55">
        <v>18.98</v>
      </c>
    </row>
    <row r="56" spans="2:3">
      <c r="B56">
        <v>1971</v>
      </c>
      <c r="C56">
        <v>14.31</v>
      </c>
    </row>
    <row r="57" spans="2:3">
      <c r="B57">
        <v>1970</v>
      </c>
      <c r="C57">
        <v>4.01</v>
      </c>
    </row>
    <row r="58" spans="2:3">
      <c r="B58">
        <v>1969</v>
      </c>
      <c r="C58">
        <v>-8.5</v>
      </c>
    </row>
    <row r="59" spans="2:3">
      <c r="B59">
        <v>1968</v>
      </c>
      <c r="C59">
        <v>11.06</v>
      </c>
    </row>
    <row r="60" spans="2:3">
      <c r="B60">
        <v>1967</v>
      </c>
      <c r="C60">
        <v>23.98</v>
      </c>
    </row>
    <row r="61" spans="2:3">
      <c r="B61">
        <v>1966</v>
      </c>
      <c r="C61">
        <v>-10.06</v>
      </c>
    </row>
    <row r="62" spans="2:3">
      <c r="B62">
        <v>1965</v>
      </c>
      <c r="C62">
        <v>12.45</v>
      </c>
    </row>
    <row r="63" spans="2:3">
      <c r="B63">
        <v>1964</v>
      </c>
      <c r="C63">
        <v>16.48</v>
      </c>
    </row>
    <row r="64" spans="2:3">
      <c r="B64">
        <v>1963</v>
      </c>
      <c r="C64">
        <v>22.8</v>
      </c>
    </row>
    <row r="65" spans="2:3">
      <c r="B65">
        <v>1962</v>
      </c>
      <c r="C65">
        <v>-8.73</v>
      </c>
    </row>
    <row r="66" spans="2:3">
      <c r="B66">
        <v>1961</v>
      </c>
      <c r="C66">
        <v>26.89</v>
      </c>
    </row>
    <row r="67" spans="2:3">
      <c r="B67">
        <v>1960</v>
      </c>
      <c r="C67">
        <v>0.47</v>
      </c>
    </row>
    <row r="68" spans="2:3">
      <c r="B68">
        <v>1959</v>
      </c>
      <c r="C68">
        <v>11.96</v>
      </c>
    </row>
    <row r="69" spans="2:3">
      <c r="B69">
        <v>1958</v>
      </c>
      <c r="C69">
        <v>43.36</v>
      </c>
    </row>
    <row r="70" spans="2:3">
      <c r="B70">
        <v>1957</v>
      </c>
      <c r="C70">
        <v>-10.78</v>
      </c>
    </row>
    <row r="71" spans="2:3">
      <c r="B71">
        <v>1956</v>
      </c>
      <c r="C71">
        <v>6.56</v>
      </c>
    </row>
    <row r="72" spans="2:3">
      <c r="B72">
        <v>1955</v>
      </c>
      <c r="C72">
        <v>31.56</v>
      </c>
    </row>
    <row r="73" spans="2:3">
      <c r="B73">
        <v>1954</v>
      </c>
      <c r="C73">
        <v>52.62</v>
      </c>
    </row>
    <row r="74" spans="2:3">
      <c r="B74">
        <v>1953</v>
      </c>
      <c r="C74">
        <v>-0.99</v>
      </c>
    </row>
    <row r="75" spans="2:3">
      <c r="B75">
        <v>1952</v>
      </c>
      <c r="C75">
        <v>18.37</v>
      </c>
    </row>
    <row r="76" spans="2:3">
      <c r="B76">
        <v>1951</v>
      </c>
      <c r="C76">
        <v>24.02</v>
      </c>
    </row>
    <row r="77" spans="2:3">
      <c r="B77">
        <v>1950</v>
      </c>
      <c r="C77">
        <v>31.71</v>
      </c>
    </row>
    <row r="78" spans="2:3">
      <c r="B78">
        <v>1949</v>
      </c>
      <c r="C78">
        <v>18.79</v>
      </c>
    </row>
    <row r="79" spans="2:3">
      <c r="B79">
        <v>1948</v>
      </c>
      <c r="C79">
        <v>5.5</v>
      </c>
    </row>
    <row r="80" spans="2:3">
      <c r="B80">
        <v>1947</v>
      </c>
      <c r="C80">
        <v>5.71</v>
      </c>
    </row>
    <row r="81" spans="2:3">
      <c r="B81">
        <v>1946</v>
      </c>
      <c r="C81">
        <v>-8.07</v>
      </c>
    </row>
    <row r="82" spans="2:3">
      <c r="B82">
        <v>1945</v>
      </c>
      <c r="C82">
        <v>36.44</v>
      </c>
    </row>
    <row r="83" spans="2:3">
      <c r="B83">
        <v>1944</v>
      </c>
      <c r="C83">
        <v>19.75</v>
      </c>
    </row>
    <row r="84" spans="2:3">
      <c r="B84">
        <v>1943</v>
      </c>
      <c r="C84">
        <v>25.9</v>
      </c>
    </row>
    <row r="85" spans="2:3">
      <c r="B85">
        <v>1942</v>
      </c>
      <c r="C85">
        <v>20.34</v>
      </c>
    </row>
    <row r="86" spans="2:3">
      <c r="B86">
        <v>1941</v>
      </c>
      <c r="C86">
        <v>-11.59</v>
      </c>
    </row>
    <row r="87" spans="2:3">
      <c r="B87">
        <v>1940</v>
      </c>
      <c r="C87">
        <v>-9.7799999999999994</v>
      </c>
    </row>
    <row r="88" spans="2:3">
      <c r="B88">
        <v>1939</v>
      </c>
      <c r="C88">
        <v>-0.41</v>
      </c>
    </row>
    <row r="89" spans="2:3">
      <c r="B89">
        <v>1938</v>
      </c>
      <c r="C89">
        <v>31.12</v>
      </c>
    </row>
    <row r="90" spans="2:3">
      <c r="B90">
        <v>1937</v>
      </c>
      <c r="C90">
        <v>-35.03</v>
      </c>
    </row>
    <row r="91" spans="2:3">
      <c r="B91">
        <v>1936</v>
      </c>
      <c r="C91">
        <v>33.92</v>
      </c>
    </row>
    <row r="92" spans="2:3">
      <c r="B92">
        <v>1935</v>
      </c>
      <c r="C92">
        <v>47.67</v>
      </c>
    </row>
    <row r="93" spans="2:3">
      <c r="B93">
        <v>1934</v>
      </c>
      <c r="C93">
        <v>-1.44</v>
      </c>
    </row>
    <row r="94" spans="2:3">
      <c r="B94">
        <v>1933</v>
      </c>
      <c r="C94">
        <v>53.99</v>
      </c>
    </row>
    <row r="95" spans="2:3">
      <c r="B95">
        <v>1932</v>
      </c>
      <c r="C95">
        <v>-8.19</v>
      </c>
    </row>
    <row r="96" spans="2:3">
      <c r="B96">
        <v>1931</v>
      </c>
      <c r="C96">
        <v>-43.34</v>
      </c>
    </row>
    <row r="97" spans="2:3">
      <c r="B97">
        <v>1930</v>
      </c>
      <c r="C97">
        <v>-24.9</v>
      </c>
    </row>
    <row r="98" spans="2:3">
      <c r="B98">
        <v>1929</v>
      </c>
      <c r="C98">
        <v>-8.42</v>
      </c>
    </row>
    <row r="99" spans="2:3">
      <c r="B99">
        <v>1928</v>
      </c>
      <c r="C99">
        <v>43.61</v>
      </c>
    </row>
    <row r="100" spans="2:3">
      <c r="B100">
        <v>1927</v>
      </c>
      <c r="C100">
        <v>37.49</v>
      </c>
    </row>
    <row r="101" spans="2:3">
      <c r="B101">
        <v>1926</v>
      </c>
      <c r="C101">
        <v>11.62</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19EFC-AB10-4589-81AF-8E9DA6F3BFC1}">
  <dimension ref="B3:G55"/>
  <sheetViews>
    <sheetView workbookViewId="0">
      <selection activeCell="R12" sqref="R12"/>
    </sheetView>
  </sheetViews>
  <sheetFormatPr defaultRowHeight="14.4"/>
  <cols>
    <col min="6" max="6" width="18.44140625" customWidth="1"/>
  </cols>
  <sheetData>
    <row r="3" spans="2:7" ht="15" thickBot="1">
      <c r="B3" s="156" t="s">
        <v>107</v>
      </c>
      <c r="C3" s="157"/>
      <c r="D3" s="157"/>
      <c r="E3" s="157"/>
      <c r="F3" s="157"/>
      <c r="G3" s="157"/>
    </row>
    <row r="4" spans="2:7">
      <c r="B4" s="15" t="s">
        <v>7</v>
      </c>
      <c r="C4" s="16" t="s">
        <v>108</v>
      </c>
      <c r="D4" s="15"/>
      <c r="E4" s="16"/>
      <c r="F4" s="15"/>
      <c r="G4" s="16"/>
    </row>
    <row r="5" spans="2:7">
      <c r="B5" s="17">
        <v>1975</v>
      </c>
      <c r="C5" s="18">
        <v>8</v>
      </c>
      <c r="E5" s="14" t="s">
        <v>110</v>
      </c>
      <c r="F5" s="12">
        <f>SUM(C5:C55)/((B55-B5)+1)</f>
        <v>3.7294117647058829</v>
      </c>
    </row>
    <row r="6" spans="2:7">
      <c r="B6" s="17">
        <v>1976</v>
      </c>
      <c r="C6" s="18">
        <v>6.4</v>
      </c>
    </row>
    <row r="7" spans="2:7">
      <c r="B7" s="17">
        <v>1977</v>
      </c>
      <c r="C7" s="18">
        <v>5.9</v>
      </c>
    </row>
    <row r="8" spans="2:7">
      <c r="B8" s="17">
        <v>1978</v>
      </c>
      <c r="C8" s="18">
        <v>6.5</v>
      </c>
    </row>
    <row r="9" spans="2:7">
      <c r="B9" s="17">
        <v>1979</v>
      </c>
      <c r="C9" s="18">
        <v>9.9</v>
      </c>
    </row>
    <row r="10" spans="2:7">
      <c r="B10" s="17">
        <v>1980</v>
      </c>
      <c r="C10" s="18">
        <v>14.3</v>
      </c>
    </row>
    <row r="11" spans="2:7">
      <c r="B11" s="17">
        <v>1981</v>
      </c>
      <c r="C11" s="18">
        <v>11.2</v>
      </c>
    </row>
    <row r="12" spans="2:7">
      <c r="B12" s="17">
        <v>1982</v>
      </c>
      <c r="C12" s="18">
        <v>7.4</v>
      </c>
    </row>
    <row r="13" spans="2:7">
      <c r="B13" s="17">
        <v>1983</v>
      </c>
      <c r="C13" s="18">
        <v>3.5</v>
      </c>
    </row>
    <row r="14" spans="2:7">
      <c r="B14" s="17">
        <v>1984</v>
      </c>
      <c r="C14" s="18">
        <v>3.5</v>
      </c>
    </row>
    <row r="15" spans="2:7">
      <c r="B15" s="17">
        <v>1985</v>
      </c>
      <c r="C15" s="18">
        <v>3.1</v>
      </c>
    </row>
    <row r="16" spans="2:7">
      <c r="B16" s="17">
        <v>1986</v>
      </c>
      <c r="C16" s="18">
        <v>1.3</v>
      </c>
      <c r="F16" s="158"/>
      <c r="G16" s="159"/>
    </row>
    <row r="17" spans="2:7">
      <c r="B17" s="17">
        <v>1987</v>
      </c>
      <c r="C17" s="18">
        <v>4.2</v>
      </c>
      <c r="F17" s="158"/>
      <c r="G17" s="159"/>
    </row>
    <row r="18" spans="2:7" ht="15" thickBot="1">
      <c r="B18" s="17">
        <v>1988</v>
      </c>
      <c r="C18" s="18">
        <v>4</v>
      </c>
      <c r="F18" s="160"/>
      <c r="G18" s="161"/>
    </row>
    <row r="19" spans="2:7" ht="15" thickBot="1">
      <c r="B19" s="17">
        <v>1989</v>
      </c>
      <c r="C19" s="18">
        <v>4.7</v>
      </c>
      <c r="F19" s="160"/>
      <c r="G19" s="161"/>
    </row>
    <row r="20" spans="2:7" ht="15" thickBot="1">
      <c r="B20" s="17">
        <v>1990</v>
      </c>
      <c r="C20" s="18">
        <v>5.4</v>
      </c>
      <c r="F20" s="160"/>
      <c r="G20" s="161"/>
    </row>
    <row r="21" spans="2:7" ht="15" thickBot="1">
      <c r="B21" s="17">
        <v>1991</v>
      </c>
      <c r="C21" s="18">
        <v>3.7</v>
      </c>
      <c r="F21" s="160"/>
      <c r="G21" s="161"/>
    </row>
    <row r="22" spans="2:7" ht="15" thickBot="1">
      <c r="B22" s="17">
        <v>1992</v>
      </c>
      <c r="C22" s="18">
        <v>3</v>
      </c>
      <c r="F22" s="160"/>
      <c r="G22" s="161"/>
    </row>
    <row r="23" spans="2:7" ht="15" thickBot="1">
      <c r="B23" s="17">
        <v>1993</v>
      </c>
      <c r="C23" s="18">
        <v>2.6</v>
      </c>
      <c r="F23" s="160"/>
      <c r="G23" s="161"/>
    </row>
    <row r="24" spans="2:7" ht="15" thickBot="1">
      <c r="B24" s="19">
        <v>1994</v>
      </c>
      <c r="C24" s="20">
        <v>2.8</v>
      </c>
      <c r="F24" s="160"/>
      <c r="G24" s="161"/>
    </row>
    <row r="25" spans="2:7">
      <c r="B25" s="17">
        <v>1995</v>
      </c>
      <c r="C25" s="18">
        <v>2.6</v>
      </c>
    </row>
    <row r="26" spans="2:7">
      <c r="B26" s="17">
        <v>1996</v>
      </c>
      <c r="C26" s="18">
        <v>2.9</v>
      </c>
    </row>
    <row r="27" spans="2:7">
      <c r="B27" s="17">
        <v>1997</v>
      </c>
      <c r="C27" s="18">
        <v>2.1</v>
      </c>
    </row>
    <row r="28" spans="2:7">
      <c r="B28" s="17">
        <v>1998</v>
      </c>
      <c r="C28" s="18">
        <v>1.3</v>
      </c>
    </row>
    <row r="29" spans="2:7">
      <c r="B29" s="17" t="s">
        <v>109</v>
      </c>
      <c r="C29" s="18">
        <v>2.5</v>
      </c>
    </row>
    <row r="30" spans="2:7">
      <c r="B30" s="17">
        <v>2000</v>
      </c>
      <c r="C30" s="18">
        <v>3.5</v>
      </c>
    </row>
    <row r="31" spans="2:7">
      <c r="B31" s="17">
        <v>2001</v>
      </c>
      <c r="C31" s="18">
        <v>2.6</v>
      </c>
    </row>
    <row r="32" spans="2:7">
      <c r="B32" s="17">
        <v>2002</v>
      </c>
      <c r="C32" s="18">
        <v>1.4</v>
      </c>
    </row>
    <row r="33" spans="2:3">
      <c r="B33" s="17">
        <v>2003</v>
      </c>
      <c r="C33" s="18">
        <v>2.1</v>
      </c>
    </row>
    <row r="34" spans="2:3">
      <c r="B34" s="17">
        <v>2004</v>
      </c>
      <c r="C34" s="18">
        <v>2.7</v>
      </c>
    </row>
    <row r="35" spans="2:3">
      <c r="B35" s="17">
        <v>2005</v>
      </c>
      <c r="C35" s="18">
        <v>4.0999999999999996</v>
      </c>
    </row>
    <row r="36" spans="2:3">
      <c r="B36" s="17">
        <v>2006</v>
      </c>
      <c r="C36" s="18">
        <v>3.3</v>
      </c>
    </row>
    <row r="37" spans="2:3">
      <c r="B37" s="17">
        <v>2007</v>
      </c>
      <c r="C37" s="18">
        <v>2.2999999999999998</v>
      </c>
    </row>
    <row r="38" spans="2:3">
      <c r="B38" s="17">
        <v>2008</v>
      </c>
      <c r="C38" s="18">
        <v>5.8</v>
      </c>
    </row>
    <row r="39" spans="2:3">
      <c r="B39" s="17">
        <v>2009</v>
      </c>
      <c r="C39" s="18">
        <v>0</v>
      </c>
    </row>
    <row r="40" spans="2:3">
      <c r="B40" s="17">
        <v>2010</v>
      </c>
      <c r="C40" s="18">
        <v>0</v>
      </c>
    </row>
    <row r="41" spans="2:3">
      <c r="B41" s="17">
        <v>2011</v>
      </c>
      <c r="C41" s="18">
        <v>3.6</v>
      </c>
    </row>
    <row r="42" spans="2:3">
      <c r="B42" s="17">
        <v>2012</v>
      </c>
      <c r="C42" s="18">
        <v>1.7</v>
      </c>
    </row>
    <row r="43" spans="2:3">
      <c r="B43" s="17">
        <v>2013</v>
      </c>
      <c r="C43" s="18">
        <v>1.5</v>
      </c>
    </row>
    <row r="44" spans="2:3" ht="15" thickBot="1">
      <c r="B44" s="19">
        <v>2014</v>
      </c>
      <c r="C44" s="20">
        <v>1.7</v>
      </c>
    </row>
    <row r="45" spans="2:3">
      <c r="B45" s="17">
        <v>2015</v>
      </c>
      <c r="C45" s="18">
        <v>0</v>
      </c>
    </row>
    <row r="46" spans="2:3">
      <c r="B46" s="17">
        <v>2016</v>
      </c>
      <c r="C46" s="18">
        <v>0.3</v>
      </c>
    </row>
    <row r="47" spans="2:3">
      <c r="B47" s="17">
        <v>2017</v>
      </c>
      <c r="C47" s="18">
        <v>2</v>
      </c>
    </row>
    <row r="48" spans="2:3">
      <c r="B48" s="17">
        <v>2018</v>
      </c>
      <c r="C48" s="18">
        <v>2.8</v>
      </c>
    </row>
    <row r="49" spans="2:3">
      <c r="B49" s="17">
        <v>2019</v>
      </c>
      <c r="C49" s="18">
        <v>1.6</v>
      </c>
    </row>
    <row r="50" spans="2:3">
      <c r="B50" s="17">
        <v>2020</v>
      </c>
      <c r="C50" s="18">
        <v>1.3</v>
      </c>
    </row>
    <row r="51" spans="2:3">
      <c r="B51" s="17">
        <v>2021</v>
      </c>
      <c r="C51" s="18">
        <v>5.9</v>
      </c>
    </row>
    <row r="52" spans="2:3">
      <c r="B52" s="17">
        <v>2022</v>
      </c>
      <c r="C52" s="18">
        <v>8.6999999999999993</v>
      </c>
    </row>
    <row r="53" spans="2:3">
      <c r="B53" s="17">
        <v>2023</v>
      </c>
      <c r="C53" s="18">
        <v>3.2</v>
      </c>
    </row>
    <row r="54" spans="2:3">
      <c r="B54" s="17">
        <v>2024</v>
      </c>
      <c r="C54" s="18">
        <v>2.5</v>
      </c>
    </row>
    <row r="55" spans="2:3">
      <c r="B55" s="17">
        <v>2025</v>
      </c>
      <c r="C55" s="18">
        <v>2.8</v>
      </c>
    </row>
  </sheetData>
  <mergeCells count="10">
    <mergeCell ref="F20:G20"/>
    <mergeCell ref="F21:G21"/>
    <mergeCell ref="F22:G22"/>
    <mergeCell ref="F23:G23"/>
    <mergeCell ref="F24:G24"/>
    <mergeCell ref="B3:G3"/>
    <mergeCell ref="F16:G16"/>
    <mergeCell ref="F17:G17"/>
    <mergeCell ref="F18:G18"/>
    <mergeCell ref="F19:G19"/>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82B6CF2-EA93-4133-893A-CA0A02454EC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Portfolio Drawdown</vt:lpstr>
      <vt:lpstr>Main</vt:lpstr>
      <vt:lpstr>Frank and Bill</vt:lpstr>
      <vt:lpstr>SS Benefit Cal</vt:lpstr>
      <vt:lpstr>RMD Tables 2025</vt:lpstr>
      <vt:lpstr>Cpi_index_inflation_montly_1925</vt:lpstr>
      <vt:lpstr>Inflation</vt:lpstr>
      <vt:lpstr>Sheet1</vt:lpstr>
      <vt:lpstr>Sheet2</vt:lpstr>
      <vt:lpstr>index test</vt:lpstr>
      <vt:lpstr>Salarys 2024</vt:lpstr>
      <vt:lpstr>s&amp;p_returns</vt:lpstr>
      <vt:lpstr>SSI cola for the year</vt:lpstr>
      <vt:lpstr>'SSI cola for the year'!TimeSeries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 Gindlesperger</dc:creator>
  <cp:lastModifiedBy>Matt Gindlesperger</cp:lastModifiedBy>
  <cp:lastPrinted>2026-01-06T00:38:43Z</cp:lastPrinted>
  <dcterms:created xsi:type="dcterms:W3CDTF">2025-11-13T03:47:37Z</dcterms:created>
  <dcterms:modified xsi:type="dcterms:W3CDTF">2026-05-19T01:49:57Z</dcterms:modified>
</cp:coreProperties>
</file>