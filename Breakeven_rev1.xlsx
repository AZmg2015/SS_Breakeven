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\Documents\"/>
    </mc:Choice>
  </mc:AlternateContent>
  <xr:revisionPtr revIDLastSave="0" documentId="13_ncr:1_{D446F356-11D0-4649-AE87-9ABD68C1971A}" xr6:coauthVersionLast="47" xr6:coauthVersionMax="47" xr10:uidLastSave="{00000000-0000-0000-0000-000000000000}"/>
  <bookViews>
    <workbookView xWindow="34155" yWindow="1515" windowWidth="21600" windowHeight="12735" xr2:uid="{968878B6-1759-417F-9DAA-0D36F08B5DD0}"/>
  </bookViews>
  <sheets>
    <sheet name="Main" sheetId="8" r:id="rId1"/>
    <sheet name="SS Benefit Cal" sheetId="2" r:id="rId2"/>
    <sheet name="Frank and Bill" sheetId="10" r:id="rId3"/>
    <sheet name="RMD Tables 2025" sheetId="9" r:id="rId4"/>
    <sheet name="Cpi_index_inflation_montly_1925" sheetId="4" r:id="rId5"/>
    <sheet name="Inflation" sheetId="11" r:id="rId6"/>
    <sheet name="Sheet1" sheetId="12" r:id="rId7"/>
    <sheet name="Sheet2" sheetId="13" r:id="rId8"/>
    <sheet name="index test" sheetId="3" r:id="rId9"/>
    <sheet name="Salarys 2024" sheetId="5" r:id="rId10"/>
    <sheet name="s&amp;p_returns" sheetId="7" r:id="rId11"/>
    <sheet name="SSI cola for the year" sheetId="6" r:id="rId12"/>
  </sheets>
  <definedNames>
    <definedName name="ExternalData_1" localSheetId="4" hidden="1">Cpi_index_inflation_montly_1925!$A$1:$F$1210</definedName>
    <definedName name="ExternalData_1" localSheetId="10" hidden="1">'s&amp;p_returns'!$B$2:$C$101</definedName>
    <definedName name="TimeSeries" localSheetId="11">'SSI cola for the year'!$B$3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9" i="8" l="1"/>
  <c r="D204" i="8"/>
  <c r="C204" i="8"/>
  <c r="B204" i="8"/>
  <c r="K107" i="8"/>
  <c r="L107" i="8"/>
  <c r="L108" i="8"/>
  <c r="L114" i="8" s="1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10" i="8"/>
  <c r="K109" i="8"/>
  <c r="L111" i="8"/>
  <c r="L112" i="8"/>
  <c r="L113" i="8"/>
  <c r="L119" i="8"/>
  <c r="L120" i="8"/>
  <c r="L121" i="8"/>
  <c r="L125" i="8"/>
  <c r="L127" i="8"/>
  <c r="L128" i="8"/>
  <c r="L129" i="8"/>
  <c r="L133" i="8"/>
  <c r="L135" i="8"/>
  <c r="L136" i="8"/>
  <c r="L137" i="8"/>
  <c r="L141" i="8"/>
  <c r="L143" i="8"/>
  <c r="L144" i="8"/>
  <c r="L145" i="8"/>
  <c r="J116" i="8"/>
  <c r="I109" i="8"/>
  <c r="I110" i="8"/>
  <c r="I111" i="8"/>
  <c r="I112" i="8"/>
  <c r="I108" i="8"/>
  <c r="C9" i="12"/>
  <c r="E6" i="12"/>
  <c r="K104" i="8"/>
  <c r="G17" i="10"/>
  <c r="B6" i="10"/>
  <c r="M67" i="8"/>
  <c r="B2" i="10"/>
  <c r="B18" i="10" s="1"/>
  <c r="B3" i="10"/>
  <c r="B4" i="10"/>
  <c r="N127" i="10" s="1"/>
  <c r="G16" i="8"/>
  <c r="D203" i="8"/>
  <c r="C203" i="8"/>
  <c r="L148" i="8"/>
  <c r="C6" i="2"/>
  <c r="E6" i="8"/>
  <c r="E5" i="10" s="1"/>
  <c r="P123" i="11"/>
  <c r="F1213" i="4"/>
  <c r="Q125" i="10"/>
  <c r="M132" i="10"/>
  <c r="M131" i="10"/>
  <c r="M130" i="10"/>
  <c r="M129" i="10"/>
  <c r="M128" i="10"/>
  <c r="M127" i="10"/>
  <c r="M126" i="10"/>
  <c r="M125" i="10"/>
  <c r="G125" i="10"/>
  <c r="O76" i="10"/>
  <c r="F76" i="10"/>
  <c r="J25" i="10"/>
  <c r="D25" i="10"/>
  <c r="G19" i="10"/>
  <c r="G20" i="10"/>
  <c r="G18" i="10"/>
  <c r="G13" i="10"/>
  <c r="G14" i="10"/>
  <c r="G15" i="10"/>
  <c r="E125" i="10" s="1"/>
  <c r="F125" i="10" s="1"/>
  <c r="G16" i="10"/>
  <c r="G12" i="10"/>
  <c r="L83" i="10"/>
  <c r="L82" i="10"/>
  <c r="L81" i="10"/>
  <c r="L80" i="10"/>
  <c r="L79" i="10"/>
  <c r="L78" i="10"/>
  <c r="L77" i="10"/>
  <c r="L76" i="10"/>
  <c r="G67" i="8"/>
  <c r="G68" i="8"/>
  <c r="G69" i="8"/>
  <c r="G70" i="8"/>
  <c r="G66" i="8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38" i="9"/>
  <c r="I39" i="9"/>
  <c r="I40" i="9"/>
  <c r="I41" i="9"/>
  <c r="I42" i="9"/>
  <c r="I43" i="9"/>
  <c r="I44" i="9"/>
  <c r="I45" i="9"/>
  <c r="I37" i="9"/>
  <c r="H6" i="9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K41" i="9" s="1"/>
  <c r="K42" i="9" s="1"/>
  <c r="K43" i="9" s="1"/>
  <c r="K44" i="9" s="1"/>
  <c r="K45" i="9" s="1"/>
  <c r="K46" i="9" s="1"/>
  <c r="K47" i="9" s="1"/>
  <c r="K48" i="9" s="1"/>
  <c r="K49" i="9" s="1"/>
  <c r="K50" i="9" s="1"/>
  <c r="K51" i="9" s="1"/>
  <c r="K52" i="9" s="1"/>
  <c r="K53" i="9" s="1"/>
  <c r="K54" i="9" s="1"/>
  <c r="K55" i="9" s="1"/>
  <c r="K56" i="9" s="1"/>
  <c r="K57" i="9" s="1"/>
  <c r="K58" i="9" s="1"/>
  <c r="K59" i="9" s="1"/>
  <c r="K60" i="9" s="1"/>
  <c r="H12" i="9"/>
  <c r="I12" i="9"/>
  <c r="J12" i="9" s="1"/>
  <c r="M12" i="9" s="1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H4" i="9"/>
  <c r="B17" i="8"/>
  <c r="B18" i="8"/>
  <c r="B19" i="8"/>
  <c r="D32" i="8" s="1"/>
  <c r="B11" i="8"/>
  <c r="B24" i="8" s="1"/>
  <c r="B12" i="8"/>
  <c r="D12" i="8" s="1"/>
  <c r="B13" i="8"/>
  <c r="B14" i="8"/>
  <c r="B15" i="8"/>
  <c r="B16" i="8"/>
  <c r="C29" i="8" s="1"/>
  <c r="C3" i="2"/>
  <c r="C5" i="2"/>
  <c r="C4" i="2"/>
  <c r="C2" i="2"/>
  <c r="C17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V16" i="2"/>
  <c r="V9" i="2"/>
  <c r="V10" i="2"/>
  <c r="V11" i="2"/>
  <c r="V12" i="2"/>
  <c r="V13" i="2"/>
  <c r="V14" i="2"/>
  <c r="V15" i="2"/>
  <c r="U9" i="2"/>
  <c r="U10" i="2"/>
  <c r="U11" i="2"/>
  <c r="U12" i="2"/>
  <c r="U13" i="2"/>
  <c r="F3" i="2"/>
  <c r="E5" i="8" s="1"/>
  <c r="F5" i="6"/>
  <c r="H4" i="3"/>
  <c r="I4" i="3" s="1"/>
  <c r="D4" i="3"/>
  <c r="F4" i="3" s="1"/>
  <c r="C4" i="3"/>
  <c r="B4" i="3"/>
  <c r="L142" i="8" l="1"/>
  <c r="L134" i="8"/>
  <c r="L126" i="8"/>
  <c r="L118" i="8"/>
  <c r="L117" i="8"/>
  <c r="L132" i="8"/>
  <c r="L116" i="8"/>
  <c r="L110" i="8"/>
  <c r="L139" i="8"/>
  <c r="L131" i="8"/>
  <c r="L123" i="8"/>
  <c r="L115" i="8"/>
  <c r="L109" i="8"/>
  <c r="L140" i="8"/>
  <c r="L124" i="8"/>
  <c r="L146" i="8"/>
  <c r="L138" i="8"/>
  <c r="L130" i="8"/>
  <c r="L122" i="8"/>
  <c r="N129" i="10"/>
  <c r="N126" i="10"/>
  <c r="E4" i="10"/>
  <c r="N125" i="10"/>
  <c r="R125" i="10" s="1"/>
  <c r="N132" i="10"/>
  <c r="N131" i="10"/>
  <c r="N130" i="10"/>
  <c r="N128" i="10"/>
  <c r="Y137" i="10"/>
  <c r="B16" i="10"/>
  <c r="B15" i="10"/>
  <c r="X76" i="10"/>
  <c r="D76" i="10"/>
  <c r="M76" i="10" s="1"/>
  <c r="D26" i="10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  <c r="D58" i="10" s="1"/>
  <c r="D59" i="10" s="1"/>
  <c r="D60" i="10" s="1"/>
  <c r="D61" i="10" s="1"/>
  <c r="D62" i="10" s="1"/>
  <c r="D63" i="10" s="1"/>
  <c r="Q126" i="10"/>
  <c r="Q127" i="10" s="1"/>
  <c r="Q128" i="10" s="1"/>
  <c r="Q129" i="10" s="1"/>
  <c r="Q130" i="10" s="1"/>
  <c r="Q131" i="10" s="1"/>
  <c r="Q132" i="10" s="1"/>
  <c r="Q133" i="10" s="1"/>
  <c r="Q134" i="10" s="1"/>
  <c r="Q135" i="10" s="1"/>
  <c r="Q136" i="10" s="1"/>
  <c r="Q137" i="10" s="1"/>
  <c r="Q138" i="10" s="1"/>
  <c r="Q139" i="10" s="1"/>
  <c r="Q140" i="10" s="1"/>
  <c r="Q141" i="10" s="1"/>
  <c r="Q142" i="10" s="1"/>
  <c r="Q143" i="10" s="1"/>
  <c r="Q144" i="10" s="1"/>
  <c r="Q145" i="10" s="1"/>
  <c r="Q146" i="10" s="1"/>
  <c r="Q147" i="10" s="1"/>
  <c r="Q148" i="10" s="1"/>
  <c r="Q149" i="10" s="1"/>
  <c r="Q150" i="10" s="1"/>
  <c r="Q151" i="10" s="1"/>
  <c r="Q152" i="10" s="1"/>
  <c r="Q153" i="10" s="1"/>
  <c r="Q154" i="10" s="1"/>
  <c r="Q155" i="10" s="1"/>
  <c r="Q156" i="10" s="1"/>
  <c r="Q157" i="10" s="1"/>
  <c r="Q158" i="10" s="1"/>
  <c r="Q159" i="10" s="1"/>
  <c r="Q160" i="10" s="1"/>
  <c r="Q161" i="10" s="1"/>
  <c r="Q162" i="10" s="1"/>
  <c r="Q163" i="10" s="1"/>
  <c r="F77" i="10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F98" i="10" s="1"/>
  <c r="F99" i="10" s="1"/>
  <c r="F100" i="10" s="1"/>
  <c r="F101" i="10" s="1"/>
  <c r="F102" i="10" s="1"/>
  <c r="F103" i="10" s="1"/>
  <c r="F104" i="10" s="1"/>
  <c r="F105" i="10" s="1"/>
  <c r="F106" i="10" s="1"/>
  <c r="F107" i="10" s="1"/>
  <c r="F108" i="10" s="1"/>
  <c r="F109" i="10" s="1"/>
  <c r="F110" i="10" s="1"/>
  <c r="F111" i="10" s="1"/>
  <c r="F112" i="10" s="1"/>
  <c r="F113" i="10" s="1"/>
  <c r="F114" i="10" s="1"/>
  <c r="O77" i="10"/>
  <c r="O78" i="10" s="1"/>
  <c r="O79" i="10" s="1"/>
  <c r="O80" i="10" s="1"/>
  <c r="O81" i="10" s="1"/>
  <c r="O82" i="10" s="1"/>
  <c r="O83" i="10" s="1"/>
  <c r="O84" i="10" s="1"/>
  <c r="O85" i="10" s="1"/>
  <c r="O86" i="10" s="1"/>
  <c r="O87" i="10" s="1"/>
  <c r="O88" i="10" s="1"/>
  <c r="O89" i="10" s="1"/>
  <c r="O90" i="10" s="1"/>
  <c r="O91" i="10" s="1"/>
  <c r="O92" i="10" s="1"/>
  <c r="O93" i="10" s="1"/>
  <c r="O94" i="10" s="1"/>
  <c r="O95" i="10" s="1"/>
  <c r="O96" i="10" s="1"/>
  <c r="O97" i="10" s="1"/>
  <c r="O98" i="10" s="1"/>
  <c r="O99" i="10" s="1"/>
  <c r="O100" i="10" s="1"/>
  <c r="O101" i="10" s="1"/>
  <c r="O102" i="10" s="1"/>
  <c r="O103" i="10" s="1"/>
  <c r="O104" i="10" s="1"/>
  <c r="O105" i="10" s="1"/>
  <c r="O106" i="10" s="1"/>
  <c r="O107" i="10" s="1"/>
  <c r="O108" i="10" s="1"/>
  <c r="O109" i="10" s="1"/>
  <c r="O110" i="10" s="1"/>
  <c r="O111" i="10" s="1"/>
  <c r="O112" i="10" s="1"/>
  <c r="O113" i="10" s="1"/>
  <c r="O114" i="10" s="1"/>
  <c r="G126" i="10"/>
  <c r="G127" i="10" s="1"/>
  <c r="G128" i="10" s="1"/>
  <c r="G129" i="10" s="1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 s="1"/>
  <c r="G145" i="10" s="1"/>
  <c r="G146" i="10" s="1"/>
  <c r="G147" i="10" s="1"/>
  <c r="G148" i="10" s="1"/>
  <c r="G149" i="10" s="1"/>
  <c r="G150" i="10" s="1"/>
  <c r="G151" i="10" s="1"/>
  <c r="G152" i="10" s="1"/>
  <c r="G153" i="10" s="1"/>
  <c r="G154" i="10" s="1"/>
  <c r="G155" i="10" s="1"/>
  <c r="G156" i="10" s="1"/>
  <c r="G157" i="10" s="1"/>
  <c r="G158" i="10" s="1"/>
  <c r="G159" i="10" s="1"/>
  <c r="G160" i="10" s="1"/>
  <c r="G161" i="10" s="1"/>
  <c r="G162" i="10" s="1"/>
  <c r="G163" i="10" s="1"/>
  <c r="F5" i="2"/>
  <c r="B14" i="10"/>
  <c r="B13" i="10"/>
  <c r="B12" i="10"/>
  <c r="B25" i="10" s="1"/>
  <c r="B26" i="10" s="1"/>
  <c r="C77" i="10" s="1"/>
  <c r="B20" i="10"/>
  <c r="H33" i="10" s="1"/>
  <c r="B19" i="10"/>
  <c r="B17" i="10"/>
  <c r="F25" i="10"/>
  <c r="N25" i="10" s="1"/>
  <c r="I20" i="10"/>
  <c r="E126" i="10"/>
  <c r="F126" i="10" s="1"/>
  <c r="O125" i="10"/>
  <c r="J26" i="10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I15" i="10"/>
  <c r="I16" i="10"/>
  <c r="I14" i="10"/>
  <c r="I19" i="10"/>
  <c r="I18" i="10"/>
  <c r="I13" i="10"/>
  <c r="I17" i="10"/>
  <c r="I26" i="10"/>
  <c r="I25" i="10"/>
  <c r="K25" i="10" s="1"/>
  <c r="L25" i="10" s="1"/>
  <c r="O25" i="10" s="1"/>
  <c r="D19" i="8"/>
  <c r="H13" i="9"/>
  <c r="J13" i="9" s="1"/>
  <c r="I17" i="2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D15" i="8"/>
  <c r="D18" i="8"/>
  <c r="C30" i="8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71" i="8"/>
  <c r="G71" i="8" s="1"/>
  <c r="B66" i="8"/>
  <c r="F66" i="8" s="1"/>
  <c r="B25" i="8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D33" i="8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74" i="8"/>
  <c r="H74" i="8" s="1"/>
  <c r="D14" i="8"/>
  <c r="D17" i="8"/>
  <c r="D16" i="8"/>
  <c r="D13" i="8"/>
  <c r="C12" i="2"/>
  <c r="C14" i="2"/>
  <c r="C15" i="2"/>
  <c r="C16" i="2"/>
  <c r="E17" i="2" s="1"/>
  <c r="C10" i="2"/>
  <c r="C11" i="2"/>
  <c r="C13" i="2"/>
  <c r="C9" i="2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AB9" i="2"/>
  <c r="R17" i="2"/>
  <c r="X17" i="2" s="1"/>
  <c r="S17" i="2"/>
  <c r="D17" i="10" l="1"/>
  <c r="D16" i="10"/>
  <c r="D20" i="10"/>
  <c r="L133" i="10"/>
  <c r="L134" i="10" s="1"/>
  <c r="L135" i="10" s="1"/>
  <c r="M135" i="10" s="1"/>
  <c r="C26" i="10"/>
  <c r="E26" i="10" s="1"/>
  <c r="F26" i="10" s="1"/>
  <c r="N26" i="10" s="1"/>
  <c r="B125" i="10"/>
  <c r="B126" i="10" s="1"/>
  <c r="K84" i="10"/>
  <c r="L84" i="10" s="1"/>
  <c r="C76" i="10"/>
  <c r="E127" i="10"/>
  <c r="E128" i="10" s="1"/>
  <c r="B27" i="10"/>
  <c r="C78" i="10" s="1"/>
  <c r="B76" i="10"/>
  <c r="B77" i="10" s="1"/>
  <c r="B78" i="10" s="1"/>
  <c r="B79" i="10" s="1"/>
  <c r="B80" i="10" s="1"/>
  <c r="D18" i="10"/>
  <c r="G72" i="8"/>
  <c r="D19" i="10"/>
  <c r="D13" i="10"/>
  <c r="C25" i="10"/>
  <c r="E25" i="10" s="1"/>
  <c r="D14" i="10"/>
  <c r="D15" i="10"/>
  <c r="M134" i="10"/>
  <c r="P125" i="10"/>
  <c r="O126" i="10"/>
  <c r="K26" i="10"/>
  <c r="L26" i="10" s="1"/>
  <c r="O26" i="10" s="1"/>
  <c r="N76" i="10"/>
  <c r="M77" i="10"/>
  <c r="D77" i="10"/>
  <c r="E76" i="10"/>
  <c r="I27" i="10"/>
  <c r="K27" i="10" s="1"/>
  <c r="F67" i="8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103" i="8" s="1"/>
  <c r="F104" i="8" s="1"/>
  <c r="H75" i="8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M13" i="9"/>
  <c r="H14" i="9"/>
  <c r="J14" i="9" s="1"/>
  <c r="E11" i="2"/>
  <c r="E10" i="2"/>
  <c r="E16" i="2"/>
  <c r="E12" i="2"/>
  <c r="E15" i="2"/>
  <c r="D75" i="8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G116" i="8"/>
  <c r="G161" i="8" s="1"/>
  <c r="F116" i="8"/>
  <c r="L14" i="2"/>
  <c r="H14" i="2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E13" i="2"/>
  <c r="B108" i="8"/>
  <c r="B67" i="8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D113" i="8"/>
  <c r="C72" i="8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K9" i="2"/>
  <c r="Z9" i="2" s="1"/>
  <c r="E14" i="2"/>
  <c r="N134" i="10" l="1"/>
  <c r="N135" i="10"/>
  <c r="G76" i="10"/>
  <c r="H76" i="10" s="1"/>
  <c r="C27" i="10"/>
  <c r="E27" i="10" s="1"/>
  <c r="F27" i="10" s="1"/>
  <c r="N27" i="10" s="1"/>
  <c r="C125" i="10"/>
  <c r="D125" i="10" s="1"/>
  <c r="M133" i="10"/>
  <c r="F127" i="10"/>
  <c r="L136" i="10"/>
  <c r="K85" i="10"/>
  <c r="K86" i="10" s="1"/>
  <c r="L86" i="10" s="1"/>
  <c r="B28" i="10"/>
  <c r="C79" i="10" s="1"/>
  <c r="B201" i="8"/>
  <c r="G73" i="8"/>
  <c r="O127" i="10"/>
  <c r="P126" i="10"/>
  <c r="R126" i="10" s="1"/>
  <c r="L27" i="10"/>
  <c r="O27" i="10" s="1"/>
  <c r="B127" i="10"/>
  <c r="C126" i="10"/>
  <c r="H126" i="10" s="1"/>
  <c r="P76" i="10"/>
  <c r="Q76" i="10" s="1"/>
  <c r="F128" i="10"/>
  <c r="E129" i="10"/>
  <c r="N77" i="10"/>
  <c r="M78" i="10"/>
  <c r="E77" i="10"/>
  <c r="G77" i="10" s="1"/>
  <c r="D78" i="10"/>
  <c r="B81" i="10"/>
  <c r="I28" i="10"/>
  <c r="K28" i="10" s="1"/>
  <c r="D201" i="8"/>
  <c r="B153" i="8"/>
  <c r="F117" i="8"/>
  <c r="F118" i="8" s="1"/>
  <c r="F119" i="8" s="1"/>
  <c r="F120" i="8" s="1"/>
  <c r="F121" i="8" s="1"/>
  <c r="F122" i="8" s="1"/>
  <c r="F123" i="8" s="1"/>
  <c r="F124" i="8" s="1"/>
  <c r="F125" i="8" s="1"/>
  <c r="F126" i="8" s="1"/>
  <c r="F127" i="8" s="1"/>
  <c r="F128" i="8" s="1"/>
  <c r="F129" i="8" s="1"/>
  <c r="F130" i="8" s="1"/>
  <c r="F131" i="8" s="1"/>
  <c r="F132" i="8" s="1"/>
  <c r="F133" i="8" s="1"/>
  <c r="F134" i="8" s="1"/>
  <c r="F135" i="8" s="1"/>
  <c r="F136" i="8" s="1"/>
  <c r="F137" i="8" s="1"/>
  <c r="F138" i="8" s="1"/>
  <c r="F139" i="8" s="1"/>
  <c r="F140" i="8" s="1"/>
  <c r="F141" i="8" s="1"/>
  <c r="F142" i="8" s="1"/>
  <c r="F143" i="8" s="1"/>
  <c r="F144" i="8" s="1"/>
  <c r="F145" i="8" s="1"/>
  <c r="F146" i="8" s="1"/>
  <c r="G162" i="8"/>
  <c r="G163" i="8" s="1"/>
  <c r="G164" i="8" s="1"/>
  <c r="G165" i="8" s="1"/>
  <c r="G166" i="8" s="1"/>
  <c r="G167" i="8" s="1"/>
  <c r="G168" i="8" s="1"/>
  <c r="G169" i="8" s="1"/>
  <c r="G170" i="8" s="1"/>
  <c r="G171" i="8" s="1"/>
  <c r="G172" i="8" s="1"/>
  <c r="G173" i="8" s="1"/>
  <c r="G174" i="8" s="1"/>
  <c r="G175" i="8" s="1"/>
  <c r="G176" i="8" s="1"/>
  <c r="G177" i="8" s="1"/>
  <c r="G178" i="8" s="1"/>
  <c r="G179" i="8" s="1"/>
  <c r="G180" i="8" s="1"/>
  <c r="G181" i="8" s="1"/>
  <c r="G182" i="8" s="1"/>
  <c r="G183" i="8" s="1"/>
  <c r="G184" i="8" s="1"/>
  <c r="G185" i="8" s="1"/>
  <c r="G186" i="8" s="1"/>
  <c r="G187" i="8" s="1"/>
  <c r="G188" i="8" s="1"/>
  <c r="G189" i="8" s="1"/>
  <c r="G190" i="8" s="1"/>
  <c r="G191" i="8" s="1"/>
  <c r="M14" i="9"/>
  <c r="H15" i="9"/>
  <c r="J15" i="9" s="1"/>
  <c r="N9" i="2"/>
  <c r="N10" i="2" s="1"/>
  <c r="D114" i="8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E158" i="8"/>
  <c r="E113" i="8"/>
  <c r="I113" i="8" s="1"/>
  <c r="C108" i="8"/>
  <c r="H108" i="8" s="1"/>
  <c r="B109" i="8"/>
  <c r="B154" i="8" s="1"/>
  <c r="C153" i="8"/>
  <c r="P14" i="2"/>
  <c r="P15" i="2" s="1"/>
  <c r="Q14" i="2"/>
  <c r="L15" i="2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AA9" i="2"/>
  <c r="O9" i="2"/>
  <c r="T9" i="2" s="1"/>
  <c r="W9" i="2" s="1"/>
  <c r="K10" i="2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R18" i="2"/>
  <c r="N133" i="10" l="1"/>
  <c r="H77" i="10"/>
  <c r="H125" i="10"/>
  <c r="I125" i="10" s="1"/>
  <c r="I126" i="10" s="1"/>
  <c r="S125" i="10"/>
  <c r="S126" i="10" s="1"/>
  <c r="C28" i="10"/>
  <c r="E28" i="10" s="1"/>
  <c r="F28" i="10" s="1"/>
  <c r="N28" i="10" s="1"/>
  <c r="D126" i="10"/>
  <c r="M136" i="10"/>
  <c r="L137" i="10"/>
  <c r="K87" i="10"/>
  <c r="K88" i="10" s="1"/>
  <c r="B29" i="10"/>
  <c r="C80" i="10" s="1"/>
  <c r="L85" i="10"/>
  <c r="G117" i="8"/>
  <c r="D198" i="8"/>
  <c r="E159" i="8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G74" i="8"/>
  <c r="L28" i="10"/>
  <c r="O28" i="10" s="1"/>
  <c r="P127" i="10"/>
  <c r="R127" i="10" s="1"/>
  <c r="O128" i="10"/>
  <c r="B128" i="10"/>
  <c r="C127" i="10"/>
  <c r="H127" i="10" s="1"/>
  <c r="P77" i="10"/>
  <c r="Q77" i="10" s="1"/>
  <c r="E130" i="10"/>
  <c r="F129" i="10"/>
  <c r="M79" i="10"/>
  <c r="N78" i="10"/>
  <c r="E78" i="10"/>
  <c r="G78" i="10" s="1"/>
  <c r="H78" i="10" s="1"/>
  <c r="D79" i="10"/>
  <c r="B82" i="10"/>
  <c r="I29" i="10"/>
  <c r="K29" i="10" s="1"/>
  <c r="C198" i="8"/>
  <c r="H16" i="9"/>
  <c r="J16" i="9" s="1"/>
  <c r="M15" i="9"/>
  <c r="D153" i="8"/>
  <c r="O10" i="2"/>
  <c r="U14" i="2"/>
  <c r="U15" i="2" s="1"/>
  <c r="Q15" i="2"/>
  <c r="B110" i="8"/>
  <c r="B155" i="8" s="1"/>
  <c r="C154" i="8"/>
  <c r="C109" i="8"/>
  <c r="H109" i="8" s="1"/>
  <c r="E114" i="8"/>
  <c r="I114" i="8" s="1"/>
  <c r="X18" i="2"/>
  <c r="S18" i="2"/>
  <c r="K40" i="2"/>
  <c r="N11" i="2"/>
  <c r="T10" i="2"/>
  <c r="W10" i="2" s="1"/>
  <c r="R19" i="2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G118" i="8" l="1"/>
  <c r="J118" i="8" s="1"/>
  <c r="J117" i="8"/>
  <c r="N117" i="8"/>
  <c r="E115" i="8"/>
  <c r="N136" i="10"/>
  <c r="B30" i="10"/>
  <c r="C81" i="10" s="1"/>
  <c r="C29" i="10"/>
  <c r="E29" i="10" s="1"/>
  <c r="F29" i="10" s="1"/>
  <c r="N29" i="10" s="1"/>
  <c r="L87" i="10"/>
  <c r="I127" i="10"/>
  <c r="D127" i="10"/>
  <c r="M137" i="10"/>
  <c r="L138" i="10"/>
  <c r="S127" i="10"/>
  <c r="G75" i="8"/>
  <c r="L29" i="10"/>
  <c r="O29" i="10" s="1"/>
  <c r="O129" i="10"/>
  <c r="P128" i="10"/>
  <c r="R128" i="10" s="1"/>
  <c r="B129" i="10"/>
  <c r="C128" i="10"/>
  <c r="H128" i="10" s="1"/>
  <c r="P78" i="10"/>
  <c r="Q78" i="10" s="1"/>
  <c r="E131" i="10"/>
  <c r="F130" i="10"/>
  <c r="M80" i="10"/>
  <c r="N79" i="10"/>
  <c r="D80" i="10"/>
  <c r="E79" i="10"/>
  <c r="G79" i="10" s="1"/>
  <c r="H79" i="10" s="1"/>
  <c r="B83" i="10"/>
  <c r="K89" i="10"/>
  <c r="L88" i="10"/>
  <c r="C30" i="10"/>
  <c r="E30" i="10" s="1"/>
  <c r="I30" i="10"/>
  <c r="K30" i="10" s="1"/>
  <c r="M16" i="9"/>
  <c r="H17" i="9"/>
  <c r="J17" i="9" s="1"/>
  <c r="G119" i="8"/>
  <c r="J119" i="8" s="1"/>
  <c r="D154" i="8"/>
  <c r="C110" i="8"/>
  <c r="H110" i="8" s="1"/>
  <c r="O11" i="2"/>
  <c r="T11" i="2"/>
  <c r="W11" i="2" s="1"/>
  <c r="B111" i="8"/>
  <c r="B156" i="8" s="1"/>
  <c r="C155" i="8"/>
  <c r="X19" i="2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K41" i="2"/>
  <c r="S19" i="2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AE9" i="2"/>
  <c r="N12" i="2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E116" i="8" l="1"/>
  <c r="I115" i="8"/>
  <c r="N137" i="10"/>
  <c r="B31" i="10"/>
  <c r="C82" i="10" s="1"/>
  <c r="D128" i="10"/>
  <c r="M138" i="10"/>
  <c r="L139" i="10"/>
  <c r="F30" i="10"/>
  <c r="N30" i="10" s="1"/>
  <c r="S128" i="10"/>
  <c r="I128" i="10"/>
  <c r="L30" i="10"/>
  <c r="O30" i="10" s="1"/>
  <c r="G76" i="8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O130" i="10"/>
  <c r="P129" i="10"/>
  <c r="R129" i="10" s="1"/>
  <c r="B130" i="10"/>
  <c r="C129" i="10"/>
  <c r="H129" i="10" s="1"/>
  <c r="P79" i="10"/>
  <c r="Q79" i="10" s="1"/>
  <c r="F131" i="10"/>
  <c r="E132" i="10"/>
  <c r="M81" i="10"/>
  <c r="N80" i="10"/>
  <c r="D81" i="10"/>
  <c r="E80" i="10"/>
  <c r="G80" i="10" s="1"/>
  <c r="H80" i="10" s="1"/>
  <c r="K90" i="10"/>
  <c r="L89" i="10"/>
  <c r="B84" i="10"/>
  <c r="I31" i="10"/>
  <c r="K31" i="10" s="1"/>
  <c r="H18" i="9"/>
  <c r="J18" i="9" s="1"/>
  <c r="M17" i="9"/>
  <c r="G120" i="8"/>
  <c r="J120" i="8" s="1"/>
  <c r="D155" i="8"/>
  <c r="B112" i="8"/>
  <c r="B157" i="8" s="1"/>
  <c r="C156" i="8"/>
  <c r="C111" i="8"/>
  <c r="H111" i="8" s="1"/>
  <c r="K42" i="2"/>
  <c r="O12" i="2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AC9" i="2"/>
  <c r="T12" i="2"/>
  <c r="P16" i="2"/>
  <c r="E117" i="8" l="1"/>
  <c r="I116" i="8"/>
  <c r="N138" i="10"/>
  <c r="C31" i="10"/>
  <c r="E31" i="10" s="1"/>
  <c r="F31" i="10" s="1"/>
  <c r="N31" i="10" s="1"/>
  <c r="B32" i="10"/>
  <c r="C83" i="10" s="1"/>
  <c r="D129" i="10"/>
  <c r="M139" i="10"/>
  <c r="L140" i="10"/>
  <c r="S129" i="10"/>
  <c r="I129" i="10"/>
  <c r="C201" i="8"/>
  <c r="L31" i="10"/>
  <c r="O31" i="10" s="1"/>
  <c r="O131" i="10"/>
  <c r="P130" i="10"/>
  <c r="R130" i="10" s="1"/>
  <c r="B131" i="10"/>
  <c r="C130" i="10"/>
  <c r="H130" i="10" s="1"/>
  <c r="P80" i="10"/>
  <c r="Q80" i="10" s="1"/>
  <c r="F132" i="10"/>
  <c r="E133" i="10"/>
  <c r="M82" i="10"/>
  <c r="N81" i="10"/>
  <c r="D82" i="10"/>
  <c r="E81" i="10"/>
  <c r="G81" i="10" s="1"/>
  <c r="H81" i="10" s="1"/>
  <c r="L90" i="10"/>
  <c r="K91" i="10"/>
  <c r="B85" i="10"/>
  <c r="I32" i="10"/>
  <c r="K32" i="10" s="1"/>
  <c r="H19" i="9"/>
  <c r="J19" i="9" s="1"/>
  <c r="M19" i="9" s="1"/>
  <c r="M18" i="9"/>
  <c r="G121" i="8"/>
  <c r="J121" i="8" s="1"/>
  <c r="D156" i="8"/>
  <c r="B113" i="8"/>
  <c r="C157" i="8"/>
  <c r="D157" i="8" s="1"/>
  <c r="C112" i="8"/>
  <c r="H112" i="8" s="1"/>
  <c r="T13" i="2"/>
  <c r="W12" i="2"/>
  <c r="K43" i="2"/>
  <c r="U16" i="2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P17" i="2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Q16" i="2"/>
  <c r="E118" i="8" l="1"/>
  <c r="I117" i="8"/>
  <c r="C32" i="10"/>
  <c r="E32" i="10" s="1"/>
  <c r="F32" i="10" s="1"/>
  <c r="N32" i="10" s="1"/>
  <c r="N139" i="10"/>
  <c r="B33" i="10"/>
  <c r="C84" i="10" s="1"/>
  <c r="D130" i="10"/>
  <c r="M140" i="10"/>
  <c r="L141" i="10"/>
  <c r="S130" i="10"/>
  <c r="I130" i="10"/>
  <c r="L32" i="10"/>
  <c r="O32" i="10" s="1"/>
  <c r="O132" i="10"/>
  <c r="P131" i="10"/>
  <c r="R131" i="10" s="1"/>
  <c r="B132" i="10"/>
  <c r="C131" i="10"/>
  <c r="H131" i="10" s="1"/>
  <c r="P81" i="10"/>
  <c r="Q81" i="10" s="1"/>
  <c r="F133" i="10"/>
  <c r="E134" i="10"/>
  <c r="M83" i="10"/>
  <c r="N82" i="10"/>
  <c r="D83" i="10"/>
  <c r="E82" i="10"/>
  <c r="G82" i="10" s="1"/>
  <c r="H82" i="10" s="1"/>
  <c r="B86" i="10"/>
  <c r="L91" i="10"/>
  <c r="K92" i="10"/>
  <c r="H34" i="10"/>
  <c r="I33" i="10"/>
  <c r="K33" i="10" s="1"/>
  <c r="H20" i="9"/>
  <c r="J20" i="9" s="1"/>
  <c r="M20" i="9" s="1"/>
  <c r="B114" i="8"/>
  <c r="B158" i="8"/>
  <c r="G122" i="8"/>
  <c r="J122" i="8" s="1"/>
  <c r="C113" i="8"/>
  <c r="H113" i="8" s="1"/>
  <c r="C158" i="8"/>
  <c r="D158" i="8" s="1"/>
  <c r="T14" i="2"/>
  <c r="W13" i="2"/>
  <c r="K44" i="2"/>
  <c r="AD9" i="2"/>
  <c r="Q17" i="2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E119" i="8" l="1"/>
  <c r="I118" i="8"/>
  <c r="C33" i="10"/>
  <c r="E33" i="10" s="1"/>
  <c r="F33" i="10" s="1"/>
  <c r="N33" i="10" s="1"/>
  <c r="B34" i="10"/>
  <c r="C85" i="10" s="1"/>
  <c r="N140" i="10"/>
  <c r="D131" i="10"/>
  <c r="L142" i="10"/>
  <c r="M141" i="10"/>
  <c r="S131" i="10"/>
  <c r="I131" i="10"/>
  <c r="L33" i="10"/>
  <c r="O33" i="10" s="1"/>
  <c r="P132" i="10"/>
  <c r="R132" i="10" s="1"/>
  <c r="O133" i="10"/>
  <c r="B133" i="10"/>
  <c r="C132" i="10"/>
  <c r="H132" i="10" s="1"/>
  <c r="P82" i="10"/>
  <c r="Q82" i="10" s="1"/>
  <c r="E135" i="10"/>
  <c r="F134" i="10"/>
  <c r="N83" i="10"/>
  <c r="P83" i="10" s="1"/>
  <c r="M84" i="10"/>
  <c r="D84" i="10"/>
  <c r="E83" i="10"/>
  <c r="G83" i="10" s="1"/>
  <c r="H83" i="10" s="1"/>
  <c r="L92" i="10"/>
  <c r="K93" i="10"/>
  <c r="B87" i="10"/>
  <c r="I34" i="10"/>
  <c r="K34" i="10" s="1"/>
  <c r="H35" i="10"/>
  <c r="H21" i="9"/>
  <c r="J21" i="9" s="1"/>
  <c r="M21" i="9" s="1"/>
  <c r="B115" i="8"/>
  <c r="B159" i="8"/>
  <c r="C114" i="8"/>
  <c r="H114" i="8" s="1"/>
  <c r="G123" i="8"/>
  <c r="J123" i="8" s="1"/>
  <c r="C159" i="8"/>
  <c r="D159" i="8" s="1"/>
  <c r="AG9" i="2"/>
  <c r="AI9" i="2" s="1"/>
  <c r="AI12" i="2" s="1"/>
  <c r="W14" i="2"/>
  <c r="T15" i="2"/>
  <c r="K45" i="2"/>
  <c r="E120" i="8" l="1"/>
  <c r="I119" i="8"/>
  <c r="C34" i="10"/>
  <c r="E34" i="10" s="1"/>
  <c r="F34" i="10" s="1"/>
  <c r="N34" i="10" s="1"/>
  <c r="B35" i="10"/>
  <c r="C86" i="10" s="1"/>
  <c r="N141" i="10"/>
  <c r="D132" i="10"/>
  <c r="L143" i="10"/>
  <c r="M142" i="10"/>
  <c r="S132" i="10"/>
  <c r="I132" i="10"/>
  <c r="L34" i="10"/>
  <c r="O34" i="10" s="1"/>
  <c r="P133" i="10"/>
  <c r="R133" i="10" s="1"/>
  <c r="O134" i="10"/>
  <c r="Q83" i="10"/>
  <c r="B134" i="10"/>
  <c r="C133" i="10"/>
  <c r="H133" i="10" s="1"/>
  <c r="E136" i="10"/>
  <c r="F135" i="10"/>
  <c r="M85" i="10"/>
  <c r="N84" i="10"/>
  <c r="P84" i="10" s="1"/>
  <c r="D85" i="10"/>
  <c r="E84" i="10"/>
  <c r="G84" i="10" s="1"/>
  <c r="H84" i="10" s="1"/>
  <c r="B88" i="10"/>
  <c r="L93" i="10"/>
  <c r="K94" i="10"/>
  <c r="H36" i="10"/>
  <c r="I35" i="10"/>
  <c r="K35" i="10" s="1"/>
  <c r="H22" i="9"/>
  <c r="J22" i="9" s="1"/>
  <c r="M22" i="9" s="1"/>
  <c r="C115" i="8"/>
  <c r="H115" i="8" s="1"/>
  <c r="B116" i="8"/>
  <c r="B160" i="8"/>
  <c r="G124" i="8"/>
  <c r="J124" i="8" s="1"/>
  <c r="C160" i="8"/>
  <c r="D160" i="8" s="1"/>
  <c r="T16" i="2"/>
  <c r="W15" i="2"/>
  <c r="K46" i="2"/>
  <c r="E121" i="8" l="1"/>
  <c r="I120" i="8"/>
  <c r="C35" i="10"/>
  <c r="E35" i="10" s="1"/>
  <c r="F35" i="10" s="1"/>
  <c r="N35" i="10" s="1"/>
  <c r="B36" i="10"/>
  <c r="C87" i="10" s="1"/>
  <c r="N142" i="10"/>
  <c r="D133" i="10"/>
  <c r="M143" i="10"/>
  <c r="L144" i="10"/>
  <c r="S133" i="10"/>
  <c r="I133" i="10"/>
  <c r="L35" i="10"/>
  <c r="O35" i="10" s="1"/>
  <c r="Q84" i="10"/>
  <c r="O135" i="10"/>
  <c r="P134" i="10"/>
  <c r="R134" i="10" s="1"/>
  <c r="B135" i="10"/>
  <c r="C134" i="10"/>
  <c r="H134" i="10" s="1"/>
  <c r="F136" i="10"/>
  <c r="E137" i="10"/>
  <c r="M86" i="10"/>
  <c r="N85" i="10"/>
  <c r="D86" i="10"/>
  <c r="E85" i="10"/>
  <c r="G85" i="10" s="1"/>
  <c r="H85" i="10" s="1"/>
  <c r="K95" i="10"/>
  <c r="L94" i="10"/>
  <c r="B89" i="10"/>
  <c r="I36" i="10"/>
  <c r="K36" i="10" s="1"/>
  <c r="H37" i="10"/>
  <c r="H23" i="9"/>
  <c r="J23" i="9" s="1"/>
  <c r="M23" i="9" s="1"/>
  <c r="B161" i="8"/>
  <c r="D161" i="8" s="1"/>
  <c r="B117" i="8"/>
  <c r="C116" i="8"/>
  <c r="H116" i="8" s="1"/>
  <c r="G125" i="8"/>
  <c r="J125" i="8" s="1"/>
  <c r="C161" i="8"/>
  <c r="T17" i="2"/>
  <c r="W16" i="2"/>
  <c r="K47" i="2"/>
  <c r="E122" i="8" l="1"/>
  <c r="I121" i="8"/>
  <c r="C36" i="10"/>
  <c r="E36" i="10" s="1"/>
  <c r="B37" i="10"/>
  <c r="C88" i="10" s="1"/>
  <c r="N143" i="10"/>
  <c r="D134" i="10"/>
  <c r="M144" i="10"/>
  <c r="N144" i="10" s="1"/>
  <c r="L145" i="10"/>
  <c r="S134" i="10"/>
  <c r="I134" i="10"/>
  <c r="F36" i="10"/>
  <c r="N36" i="10" s="1"/>
  <c r="C117" i="8"/>
  <c r="H117" i="8" s="1"/>
  <c r="L36" i="10"/>
  <c r="O36" i="10" s="1"/>
  <c r="O136" i="10"/>
  <c r="P135" i="10"/>
  <c r="R135" i="10" s="1"/>
  <c r="B136" i="10"/>
  <c r="C135" i="10"/>
  <c r="H135" i="10" s="1"/>
  <c r="P85" i="10"/>
  <c r="Q85" i="10" s="1"/>
  <c r="E138" i="10"/>
  <c r="F137" i="10"/>
  <c r="M87" i="10"/>
  <c r="N86" i="10"/>
  <c r="D87" i="10"/>
  <c r="E86" i="10"/>
  <c r="G86" i="10" s="1"/>
  <c r="H86" i="10" s="1"/>
  <c r="L95" i="10"/>
  <c r="K96" i="10"/>
  <c r="B90" i="10"/>
  <c r="B38" i="10"/>
  <c r="C89" i="10" s="1"/>
  <c r="I37" i="10"/>
  <c r="K37" i="10" s="1"/>
  <c r="H38" i="10"/>
  <c r="H24" i="9"/>
  <c r="J24" i="9" s="1"/>
  <c r="M24" i="9" s="1"/>
  <c r="B118" i="8"/>
  <c r="B162" i="8"/>
  <c r="D162" i="8" s="1"/>
  <c r="G126" i="8"/>
  <c r="J126" i="8" s="1"/>
  <c r="C162" i="8"/>
  <c r="AF9" i="2"/>
  <c r="AH9" i="2" s="1"/>
  <c r="AH12" i="2" s="1"/>
  <c r="W17" i="2"/>
  <c r="T18" i="2"/>
  <c r="E123" i="8" l="1"/>
  <c r="I122" i="8"/>
  <c r="C37" i="10"/>
  <c r="E37" i="10" s="1"/>
  <c r="D135" i="10"/>
  <c r="M145" i="10"/>
  <c r="N145" i="10" s="1"/>
  <c r="L146" i="10"/>
  <c r="F37" i="10"/>
  <c r="N37" i="10" s="1"/>
  <c r="I135" i="10"/>
  <c r="S135" i="10"/>
  <c r="L37" i="10"/>
  <c r="O37" i="10" s="1"/>
  <c r="P136" i="10"/>
  <c r="R136" i="10" s="1"/>
  <c r="O137" i="10"/>
  <c r="B137" i="10"/>
  <c r="C136" i="10"/>
  <c r="H136" i="10" s="1"/>
  <c r="P86" i="10"/>
  <c r="Q86" i="10" s="1"/>
  <c r="E139" i="10"/>
  <c r="F138" i="10"/>
  <c r="M88" i="10"/>
  <c r="N87" i="10"/>
  <c r="D88" i="10"/>
  <c r="E87" i="10"/>
  <c r="G87" i="10" s="1"/>
  <c r="H87" i="10" s="1"/>
  <c r="B91" i="10"/>
  <c r="L96" i="10"/>
  <c r="K97" i="10"/>
  <c r="B39" i="10"/>
  <c r="C90" i="10" s="1"/>
  <c r="C38" i="10"/>
  <c r="E38" i="10" s="1"/>
  <c r="H39" i="10"/>
  <c r="I38" i="10"/>
  <c r="K38" i="10" s="1"/>
  <c r="H25" i="9"/>
  <c r="J25" i="9" s="1"/>
  <c r="M25" i="9" s="1"/>
  <c r="B119" i="8"/>
  <c r="B163" i="8"/>
  <c r="D163" i="8" s="1"/>
  <c r="C118" i="8"/>
  <c r="H118" i="8" s="1"/>
  <c r="G127" i="8"/>
  <c r="J127" i="8" s="1"/>
  <c r="C163" i="8"/>
  <c r="T19" i="2"/>
  <c r="W18" i="2"/>
  <c r="E124" i="8" l="1"/>
  <c r="I123" i="8"/>
  <c r="D136" i="10"/>
  <c r="M146" i="10"/>
  <c r="N146" i="10" s="1"/>
  <c r="L147" i="10"/>
  <c r="I136" i="10"/>
  <c r="F38" i="10"/>
  <c r="N38" i="10" s="1"/>
  <c r="S136" i="10"/>
  <c r="L38" i="10"/>
  <c r="O38" i="10" s="1"/>
  <c r="O138" i="10"/>
  <c r="P137" i="10"/>
  <c r="R137" i="10" s="1"/>
  <c r="B138" i="10"/>
  <c r="C137" i="10"/>
  <c r="H137" i="10" s="1"/>
  <c r="P87" i="10"/>
  <c r="Q87" i="10" s="1"/>
  <c r="F139" i="10"/>
  <c r="E140" i="10"/>
  <c r="M89" i="10"/>
  <c r="N88" i="10"/>
  <c r="D89" i="10"/>
  <c r="E88" i="10"/>
  <c r="G88" i="10" s="1"/>
  <c r="H88" i="10" s="1"/>
  <c r="K98" i="10"/>
  <c r="L97" i="10"/>
  <c r="B92" i="10"/>
  <c r="B40" i="10"/>
  <c r="C91" i="10" s="1"/>
  <c r="C39" i="10"/>
  <c r="E39" i="10" s="1"/>
  <c r="I39" i="10"/>
  <c r="K39" i="10" s="1"/>
  <c r="H40" i="10"/>
  <c r="H26" i="9"/>
  <c r="J26" i="9" s="1"/>
  <c r="M26" i="9" s="1"/>
  <c r="B120" i="8"/>
  <c r="B164" i="8"/>
  <c r="D164" i="8" s="1"/>
  <c r="C119" i="8"/>
  <c r="H119" i="8" s="1"/>
  <c r="G128" i="8"/>
  <c r="J128" i="8" s="1"/>
  <c r="C164" i="8"/>
  <c r="T20" i="2"/>
  <c r="W19" i="2"/>
  <c r="E125" i="8" l="1"/>
  <c r="I124" i="8"/>
  <c r="D137" i="10"/>
  <c r="O147" i="10"/>
  <c r="M147" i="10"/>
  <c r="N147" i="10" s="1"/>
  <c r="L148" i="10"/>
  <c r="I137" i="10"/>
  <c r="F39" i="10"/>
  <c r="N39" i="10" s="1"/>
  <c r="S137" i="10"/>
  <c r="L39" i="10"/>
  <c r="O39" i="10" s="1"/>
  <c r="P138" i="10"/>
  <c r="R138" i="10" s="1"/>
  <c r="O139" i="10"/>
  <c r="B139" i="10"/>
  <c r="C138" i="10"/>
  <c r="H138" i="10" s="1"/>
  <c r="H27" i="9"/>
  <c r="J27" i="9" s="1"/>
  <c r="M27" i="9" s="1"/>
  <c r="P88" i="10"/>
  <c r="Q88" i="10" s="1"/>
  <c r="F140" i="10"/>
  <c r="E141" i="10"/>
  <c r="M90" i="10"/>
  <c r="N89" i="10"/>
  <c r="D90" i="10"/>
  <c r="E89" i="10"/>
  <c r="G89" i="10" s="1"/>
  <c r="H89" i="10" s="1"/>
  <c r="L98" i="10"/>
  <c r="K99" i="10"/>
  <c r="B93" i="10"/>
  <c r="B41" i="10"/>
  <c r="C92" i="10" s="1"/>
  <c r="C40" i="10"/>
  <c r="E40" i="10" s="1"/>
  <c r="H41" i="10"/>
  <c r="I40" i="10"/>
  <c r="K40" i="10" s="1"/>
  <c r="B121" i="8"/>
  <c r="B165" i="8"/>
  <c r="D165" i="8" s="1"/>
  <c r="C120" i="8"/>
  <c r="H120" i="8" s="1"/>
  <c r="G129" i="8"/>
  <c r="J129" i="8" s="1"/>
  <c r="C165" i="8"/>
  <c r="T21" i="2"/>
  <c r="W20" i="2"/>
  <c r="E126" i="8" l="1"/>
  <c r="I125" i="8"/>
  <c r="D138" i="10"/>
  <c r="O148" i="10"/>
  <c r="L149" i="10"/>
  <c r="M148" i="10"/>
  <c r="N148" i="10" s="1"/>
  <c r="I138" i="10"/>
  <c r="F40" i="10"/>
  <c r="N40" i="10" s="1"/>
  <c r="S138" i="10"/>
  <c r="L40" i="10"/>
  <c r="O40" i="10" s="1"/>
  <c r="H28" i="9"/>
  <c r="J28" i="9" s="1"/>
  <c r="M28" i="9" s="1"/>
  <c r="O140" i="10"/>
  <c r="P139" i="10"/>
  <c r="R139" i="10" s="1"/>
  <c r="B140" i="10"/>
  <c r="C139" i="10"/>
  <c r="H139" i="10" s="1"/>
  <c r="P89" i="10"/>
  <c r="Q89" i="10" s="1"/>
  <c r="F141" i="10"/>
  <c r="E142" i="10"/>
  <c r="M91" i="10"/>
  <c r="N90" i="10"/>
  <c r="P90" i="10" s="1"/>
  <c r="D91" i="10"/>
  <c r="E90" i="10"/>
  <c r="G90" i="10" s="1"/>
  <c r="H90" i="10" s="1"/>
  <c r="B94" i="10"/>
  <c r="L99" i="10"/>
  <c r="K100" i="10"/>
  <c r="B42" i="10"/>
  <c r="C93" i="10" s="1"/>
  <c r="C41" i="10"/>
  <c r="E41" i="10" s="1"/>
  <c r="H42" i="10"/>
  <c r="I41" i="10"/>
  <c r="K41" i="10" s="1"/>
  <c r="B122" i="8"/>
  <c r="B166" i="8"/>
  <c r="D166" i="8" s="1"/>
  <c r="C121" i="8"/>
  <c r="H121" i="8" s="1"/>
  <c r="G130" i="8"/>
  <c r="J130" i="8" s="1"/>
  <c r="C166" i="8"/>
  <c r="T22" i="2"/>
  <c r="W21" i="2"/>
  <c r="E127" i="8" l="1"/>
  <c r="I126" i="8"/>
  <c r="D139" i="10"/>
  <c r="O149" i="10"/>
  <c r="M149" i="10"/>
  <c r="N149" i="10" s="1"/>
  <c r="L150" i="10"/>
  <c r="I139" i="10"/>
  <c r="H29" i="9"/>
  <c r="J29" i="9" s="1"/>
  <c r="M29" i="9" s="1"/>
  <c r="F41" i="10"/>
  <c r="N41" i="10" s="1"/>
  <c r="S139" i="10"/>
  <c r="L41" i="10"/>
  <c r="O41" i="10" s="1"/>
  <c r="P140" i="10"/>
  <c r="R140" i="10" s="1"/>
  <c r="O141" i="10"/>
  <c r="B141" i="10"/>
  <c r="C140" i="10"/>
  <c r="H140" i="10" s="1"/>
  <c r="Q90" i="10"/>
  <c r="E143" i="10"/>
  <c r="F142" i="10"/>
  <c r="M92" i="10"/>
  <c r="N91" i="10"/>
  <c r="D92" i="10"/>
  <c r="E91" i="10"/>
  <c r="G91" i="10" s="1"/>
  <c r="H91" i="10" s="1"/>
  <c r="L100" i="10"/>
  <c r="K101" i="10"/>
  <c r="B95" i="10"/>
  <c r="B43" i="10"/>
  <c r="C94" i="10" s="1"/>
  <c r="C42" i="10"/>
  <c r="E42" i="10" s="1"/>
  <c r="I42" i="10"/>
  <c r="K42" i="10" s="1"/>
  <c r="H43" i="10"/>
  <c r="C122" i="8"/>
  <c r="H122" i="8" s="1"/>
  <c r="B123" i="8"/>
  <c r="B167" i="8"/>
  <c r="D167" i="8" s="1"/>
  <c r="G131" i="8"/>
  <c r="J131" i="8" s="1"/>
  <c r="C167" i="8"/>
  <c r="T23" i="2"/>
  <c r="W22" i="2"/>
  <c r="E128" i="8" l="1"/>
  <c r="I127" i="8"/>
  <c r="H30" i="9"/>
  <c r="J30" i="9" s="1"/>
  <c r="M30" i="9" s="1"/>
  <c r="D140" i="10"/>
  <c r="O150" i="10"/>
  <c r="L151" i="10"/>
  <c r="M150" i="10"/>
  <c r="N150" i="10" s="1"/>
  <c r="I140" i="10"/>
  <c r="F42" i="10"/>
  <c r="N42" i="10" s="1"/>
  <c r="S140" i="10"/>
  <c r="L42" i="10"/>
  <c r="O42" i="10" s="1"/>
  <c r="O142" i="10"/>
  <c r="P141" i="10"/>
  <c r="R141" i="10" s="1"/>
  <c r="B142" i="10"/>
  <c r="C141" i="10"/>
  <c r="H141" i="10" s="1"/>
  <c r="P91" i="10"/>
  <c r="Q91" i="10" s="1"/>
  <c r="E144" i="10"/>
  <c r="F143" i="10"/>
  <c r="M93" i="10"/>
  <c r="N92" i="10"/>
  <c r="D93" i="10"/>
  <c r="E92" i="10"/>
  <c r="G92" i="10" s="1"/>
  <c r="H92" i="10" s="1"/>
  <c r="L101" i="10"/>
  <c r="K102" i="10"/>
  <c r="B96" i="10"/>
  <c r="B44" i="10"/>
  <c r="C95" i="10" s="1"/>
  <c r="C43" i="10"/>
  <c r="E43" i="10" s="1"/>
  <c r="H44" i="10"/>
  <c r="I43" i="10"/>
  <c r="K43" i="10" s="1"/>
  <c r="B124" i="8"/>
  <c r="B168" i="8"/>
  <c r="D168" i="8" s="1"/>
  <c r="C123" i="8"/>
  <c r="H123" i="8" s="1"/>
  <c r="G132" i="8"/>
  <c r="J132" i="8" s="1"/>
  <c r="C168" i="8"/>
  <c r="T24" i="2"/>
  <c r="W23" i="2"/>
  <c r="E129" i="8" l="1"/>
  <c r="I128" i="8"/>
  <c r="H31" i="9"/>
  <c r="J31" i="9" s="1"/>
  <c r="M31" i="9" s="1"/>
  <c r="D141" i="10"/>
  <c r="O151" i="10"/>
  <c r="L152" i="10"/>
  <c r="M151" i="10"/>
  <c r="N151" i="10" s="1"/>
  <c r="S141" i="10"/>
  <c r="I141" i="10"/>
  <c r="F43" i="10"/>
  <c r="N43" i="10" s="1"/>
  <c r="L43" i="10"/>
  <c r="O43" i="10" s="1"/>
  <c r="P142" i="10"/>
  <c r="R142" i="10" s="1"/>
  <c r="O143" i="10"/>
  <c r="B143" i="10"/>
  <c r="C142" i="10"/>
  <c r="H142" i="10" s="1"/>
  <c r="P92" i="10"/>
  <c r="Q92" i="10" s="1"/>
  <c r="F144" i="10"/>
  <c r="E145" i="10"/>
  <c r="M94" i="10"/>
  <c r="N93" i="10"/>
  <c r="D94" i="10"/>
  <c r="E93" i="10"/>
  <c r="G93" i="10" s="1"/>
  <c r="H93" i="10" s="1"/>
  <c r="K103" i="10"/>
  <c r="L102" i="10"/>
  <c r="B97" i="10"/>
  <c r="B45" i="10"/>
  <c r="C96" i="10" s="1"/>
  <c r="C44" i="10"/>
  <c r="E44" i="10" s="1"/>
  <c r="I44" i="10"/>
  <c r="K44" i="10" s="1"/>
  <c r="H45" i="10"/>
  <c r="C124" i="8"/>
  <c r="H124" i="8" s="1"/>
  <c r="B125" i="8"/>
  <c r="B169" i="8"/>
  <c r="D169" i="8" s="1"/>
  <c r="G133" i="8"/>
  <c r="J133" i="8" s="1"/>
  <c r="C169" i="8"/>
  <c r="T25" i="2"/>
  <c r="W24" i="2"/>
  <c r="E130" i="8" l="1"/>
  <c r="I129" i="8"/>
  <c r="H32" i="9"/>
  <c r="J32" i="9" s="1"/>
  <c r="M32" i="9" s="1"/>
  <c r="I142" i="10"/>
  <c r="D142" i="10"/>
  <c r="O152" i="10"/>
  <c r="M152" i="10"/>
  <c r="N152" i="10" s="1"/>
  <c r="L153" i="10"/>
  <c r="F44" i="10"/>
  <c r="N44" i="10" s="1"/>
  <c r="S142" i="10"/>
  <c r="L44" i="10"/>
  <c r="O44" i="10" s="1"/>
  <c r="O144" i="10"/>
  <c r="P143" i="10"/>
  <c r="R143" i="10" s="1"/>
  <c r="B144" i="10"/>
  <c r="C143" i="10"/>
  <c r="H143" i="10" s="1"/>
  <c r="P93" i="10"/>
  <c r="Q93" i="10" s="1"/>
  <c r="E146" i="10"/>
  <c r="F145" i="10"/>
  <c r="M95" i="10"/>
  <c r="N94" i="10"/>
  <c r="D95" i="10"/>
  <c r="E94" i="10"/>
  <c r="G94" i="10" s="1"/>
  <c r="H94" i="10" s="1"/>
  <c r="B98" i="10"/>
  <c r="L103" i="10"/>
  <c r="K104" i="10"/>
  <c r="B46" i="10"/>
  <c r="C97" i="10" s="1"/>
  <c r="C45" i="10"/>
  <c r="E45" i="10" s="1"/>
  <c r="I45" i="10"/>
  <c r="K45" i="10" s="1"/>
  <c r="H46" i="10"/>
  <c r="B126" i="8"/>
  <c r="B170" i="8"/>
  <c r="D170" i="8" s="1"/>
  <c r="C125" i="8"/>
  <c r="G134" i="8"/>
  <c r="J134" i="8" s="1"/>
  <c r="C170" i="8"/>
  <c r="T26" i="2"/>
  <c r="W25" i="2"/>
  <c r="E131" i="8" l="1"/>
  <c r="I130" i="8"/>
  <c r="C126" i="8"/>
  <c r="H126" i="8" s="1"/>
  <c r="H125" i="8"/>
  <c r="H33" i="9"/>
  <c r="J33" i="9" s="1"/>
  <c r="M33" i="9" s="1"/>
  <c r="D143" i="10"/>
  <c r="O153" i="10"/>
  <c r="L154" i="10"/>
  <c r="M153" i="10"/>
  <c r="N153" i="10" s="1"/>
  <c r="F45" i="10"/>
  <c r="N45" i="10" s="1"/>
  <c r="S143" i="10"/>
  <c r="I143" i="10"/>
  <c r="L45" i="10"/>
  <c r="O45" i="10" s="1"/>
  <c r="O145" i="10"/>
  <c r="P144" i="10"/>
  <c r="R144" i="10" s="1"/>
  <c r="B145" i="10"/>
  <c r="C144" i="10"/>
  <c r="P147" i="10"/>
  <c r="R147" i="10" s="1"/>
  <c r="P94" i="10"/>
  <c r="Q94" i="10" s="1"/>
  <c r="E147" i="10"/>
  <c r="F146" i="10"/>
  <c r="M96" i="10"/>
  <c r="N95" i="10"/>
  <c r="D96" i="10"/>
  <c r="E95" i="10"/>
  <c r="G95" i="10" s="1"/>
  <c r="H95" i="10" s="1"/>
  <c r="L104" i="10"/>
  <c r="K105" i="10"/>
  <c r="B99" i="10"/>
  <c r="B47" i="10"/>
  <c r="C98" i="10" s="1"/>
  <c r="C46" i="10"/>
  <c r="E46" i="10" s="1"/>
  <c r="H47" i="10"/>
  <c r="I46" i="10"/>
  <c r="K46" i="10" s="1"/>
  <c r="B127" i="8"/>
  <c r="B171" i="8"/>
  <c r="D171" i="8" s="1"/>
  <c r="G135" i="8"/>
  <c r="J135" i="8" s="1"/>
  <c r="C171" i="8"/>
  <c r="T27" i="2"/>
  <c r="W26" i="2"/>
  <c r="C127" i="8" l="1"/>
  <c r="H127" i="8" s="1"/>
  <c r="E132" i="8"/>
  <c r="I131" i="8"/>
  <c r="H34" i="9"/>
  <c r="J34" i="9" s="1"/>
  <c r="M34" i="9" s="1"/>
  <c r="D144" i="10"/>
  <c r="H144" i="10" s="1"/>
  <c r="I144" i="10" s="1"/>
  <c r="F46" i="10"/>
  <c r="N46" i="10" s="1"/>
  <c r="O154" i="10"/>
  <c r="M154" i="10"/>
  <c r="N154" i="10" s="1"/>
  <c r="L155" i="10"/>
  <c r="S144" i="10"/>
  <c r="L46" i="10"/>
  <c r="O46" i="10" s="1"/>
  <c r="O146" i="10"/>
  <c r="P146" i="10" s="1"/>
  <c r="R146" i="10" s="1"/>
  <c r="P145" i="10"/>
  <c r="R145" i="10" s="1"/>
  <c r="B146" i="10"/>
  <c r="B147" i="10" s="1"/>
  <c r="C145" i="10"/>
  <c r="P148" i="10"/>
  <c r="R148" i="10" s="1"/>
  <c r="P95" i="10"/>
  <c r="Q95" i="10" s="1"/>
  <c r="F147" i="10"/>
  <c r="E148" i="10"/>
  <c r="M97" i="10"/>
  <c r="N96" i="10"/>
  <c r="D97" i="10"/>
  <c r="E96" i="10"/>
  <c r="G96" i="10" s="1"/>
  <c r="H96" i="10" s="1"/>
  <c r="B100" i="10"/>
  <c r="K106" i="10"/>
  <c r="L105" i="10"/>
  <c r="B48" i="10"/>
  <c r="C99" i="10" s="1"/>
  <c r="C47" i="10"/>
  <c r="E47" i="10" s="1"/>
  <c r="I47" i="10"/>
  <c r="K47" i="10" s="1"/>
  <c r="H48" i="10"/>
  <c r="B128" i="8"/>
  <c r="C128" i="8" s="1"/>
  <c r="H128" i="8" s="1"/>
  <c r="B172" i="8"/>
  <c r="D172" i="8" s="1"/>
  <c r="G136" i="8"/>
  <c r="J136" i="8" s="1"/>
  <c r="C172" i="8"/>
  <c r="T28" i="2"/>
  <c r="W27" i="2"/>
  <c r="E133" i="8" l="1"/>
  <c r="I132" i="8"/>
  <c r="F47" i="10"/>
  <c r="N47" i="10" s="1"/>
  <c r="H35" i="9"/>
  <c r="J35" i="9" s="1"/>
  <c r="M35" i="9" s="1"/>
  <c r="B148" i="10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C147" i="10"/>
  <c r="D147" i="10" s="1"/>
  <c r="H147" i="10" s="1"/>
  <c r="D145" i="10"/>
  <c r="H145" i="10" s="1"/>
  <c r="I145" i="10" s="1"/>
  <c r="O155" i="10"/>
  <c r="M155" i="10"/>
  <c r="N155" i="10" s="1"/>
  <c r="L156" i="10"/>
  <c r="S145" i="10"/>
  <c r="L47" i="10"/>
  <c r="O47" i="10" s="1"/>
  <c r="C146" i="10"/>
  <c r="P149" i="10"/>
  <c r="R149" i="10" s="1"/>
  <c r="P96" i="10"/>
  <c r="Q96" i="10" s="1"/>
  <c r="F148" i="10"/>
  <c r="E149" i="10"/>
  <c r="M98" i="10"/>
  <c r="N97" i="10"/>
  <c r="D98" i="10"/>
  <c r="E97" i="10"/>
  <c r="G97" i="10" s="1"/>
  <c r="H97" i="10" s="1"/>
  <c r="B101" i="10"/>
  <c r="L106" i="10"/>
  <c r="K107" i="10"/>
  <c r="B49" i="10"/>
  <c r="C100" i="10" s="1"/>
  <c r="C48" i="10"/>
  <c r="E48" i="10" s="1"/>
  <c r="H49" i="10"/>
  <c r="I48" i="10"/>
  <c r="K48" i="10" s="1"/>
  <c r="B129" i="8"/>
  <c r="C129" i="8" s="1"/>
  <c r="H129" i="8" s="1"/>
  <c r="B173" i="8"/>
  <c r="D173" i="8" s="1"/>
  <c r="G137" i="8"/>
  <c r="J137" i="8" s="1"/>
  <c r="C173" i="8"/>
  <c r="T29" i="2"/>
  <c r="W28" i="2"/>
  <c r="E134" i="8" l="1"/>
  <c r="I133" i="8"/>
  <c r="F48" i="10"/>
  <c r="N48" i="10" s="1"/>
  <c r="H36" i="9"/>
  <c r="J36" i="9" s="1"/>
  <c r="M36" i="9" s="1"/>
  <c r="D146" i="10"/>
  <c r="H146" i="10" s="1"/>
  <c r="I146" i="10" s="1"/>
  <c r="I147" i="10" s="1"/>
  <c r="O156" i="10"/>
  <c r="L157" i="10"/>
  <c r="M156" i="10"/>
  <c r="N156" i="10" s="1"/>
  <c r="S146" i="10"/>
  <c r="S147" i="10" s="1"/>
  <c r="S148" i="10" s="1"/>
  <c r="S149" i="10" s="1"/>
  <c r="L48" i="10"/>
  <c r="O48" i="10" s="1"/>
  <c r="C148" i="10"/>
  <c r="D148" i="10" s="1"/>
  <c r="H148" i="10" s="1"/>
  <c r="P150" i="10"/>
  <c r="R150" i="10" s="1"/>
  <c r="P97" i="10"/>
  <c r="Q97" i="10" s="1"/>
  <c r="F149" i="10"/>
  <c r="E150" i="10"/>
  <c r="M99" i="10"/>
  <c r="N98" i="10"/>
  <c r="D99" i="10"/>
  <c r="E98" i="10"/>
  <c r="G98" i="10" s="1"/>
  <c r="H98" i="10" s="1"/>
  <c r="B102" i="10"/>
  <c r="L107" i="10"/>
  <c r="K108" i="10"/>
  <c r="B50" i="10"/>
  <c r="C101" i="10" s="1"/>
  <c r="C49" i="10"/>
  <c r="E49" i="10" s="1"/>
  <c r="F49" i="10" s="1"/>
  <c r="N49" i="10" s="1"/>
  <c r="H50" i="10"/>
  <c r="I49" i="10"/>
  <c r="K49" i="10" s="1"/>
  <c r="B130" i="8"/>
  <c r="C130" i="8" s="1"/>
  <c r="H130" i="8" s="1"/>
  <c r="B174" i="8"/>
  <c r="D174" i="8" s="1"/>
  <c r="G138" i="8"/>
  <c r="J138" i="8" s="1"/>
  <c r="C174" i="8"/>
  <c r="T30" i="2"/>
  <c r="W29" i="2"/>
  <c r="E135" i="8" l="1"/>
  <c r="I134" i="8"/>
  <c r="H37" i="9"/>
  <c r="J37" i="9" s="1"/>
  <c r="M37" i="9" s="1"/>
  <c r="O157" i="10"/>
  <c r="M157" i="10"/>
  <c r="N157" i="10" s="1"/>
  <c r="L158" i="10"/>
  <c r="I148" i="10"/>
  <c r="L49" i="10"/>
  <c r="O49" i="10" s="1"/>
  <c r="C149" i="10"/>
  <c r="D149" i="10" s="1"/>
  <c r="H149" i="10" s="1"/>
  <c r="S150" i="10"/>
  <c r="P151" i="10"/>
  <c r="R151" i="10" s="1"/>
  <c r="P98" i="10"/>
  <c r="Q98" i="10" s="1"/>
  <c r="E151" i="10"/>
  <c r="F150" i="10"/>
  <c r="M100" i="10"/>
  <c r="N99" i="10"/>
  <c r="D100" i="10"/>
  <c r="E99" i="10"/>
  <c r="G99" i="10" s="1"/>
  <c r="H99" i="10" s="1"/>
  <c r="L108" i="10"/>
  <c r="K109" i="10"/>
  <c r="B103" i="10"/>
  <c r="B51" i="10"/>
  <c r="C102" i="10" s="1"/>
  <c r="C50" i="10"/>
  <c r="E50" i="10" s="1"/>
  <c r="F50" i="10" s="1"/>
  <c r="N50" i="10" s="1"/>
  <c r="I50" i="10"/>
  <c r="K50" i="10" s="1"/>
  <c r="H51" i="10"/>
  <c r="B131" i="8"/>
  <c r="B175" i="8"/>
  <c r="D175" i="8" s="1"/>
  <c r="B198" i="8"/>
  <c r="G139" i="8"/>
  <c r="J139" i="8" s="1"/>
  <c r="C175" i="8"/>
  <c r="T31" i="2"/>
  <c r="W30" i="2"/>
  <c r="E136" i="8" l="1"/>
  <c r="I135" i="8"/>
  <c r="H38" i="9"/>
  <c r="J38" i="9" s="1"/>
  <c r="M38" i="9" s="1"/>
  <c r="O158" i="10"/>
  <c r="M158" i="10"/>
  <c r="N158" i="10" s="1"/>
  <c r="L159" i="10"/>
  <c r="I149" i="10"/>
  <c r="L50" i="10"/>
  <c r="O50" i="10" s="1"/>
  <c r="C150" i="10"/>
  <c r="D150" i="10" s="1"/>
  <c r="H150" i="10" s="1"/>
  <c r="S151" i="10"/>
  <c r="P152" i="10"/>
  <c r="R152" i="10" s="1"/>
  <c r="P99" i="10"/>
  <c r="Q99" i="10" s="1"/>
  <c r="E152" i="10"/>
  <c r="F151" i="10"/>
  <c r="M101" i="10"/>
  <c r="N100" i="10"/>
  <c r="D101" i="10"/>
  <c r="E100" i="10"/>
  <c r="G100" i="10" s="1"/>
  <c r="H100" i="10" s="1"/>
  <c r="L109" i="10"/>
  <c r="K110" i="10"/>
  <c r="B104" i="10"/>
  <c r="B52" i="10"/>
  <c r="C103" i="10" s="1"/>
  <c r="C51" i="10"/>
  <c r="E51" i="10" s="1"/>
  <c r="F51" i="10" s="1"/>
  <c r="N51" i="10" s="1"/>
  <c r="H52" i="10"/>
  <c r="I51" i="10"/>
  <c r="K51" i="10" s="1"/>
  <c r="B132" i="8"/>
  <c r="B176" i="8"/>
  <c r="D176" i="8" s="1"/>
  <c r="C131" i="8"/>
  <c r="G140" i="8"/>
  <c r="J140" i="8" s="1"/>
  <c r="C176" i="8"/>
  <c r="T32" i="2"/>
  <c r="W31" i="2"/>
  <c r="E137" i="8" l="1"/>
  <c r="I136" i="8"/>
  <c r="C132" i="8"/>
  <c r="H132" i="8" s="1"/>
  <c r="H131" i="8"/>
  <c r="H39" i="9"/>
  <c r="J39" i="9" s="1"/>
  <c r="M39" i="9" s="1"/>
  <c r="O159" i="10"/>
  <c r="L160" i="10"/>
  <c r="M159" i="10"/>
  <c r="N159" i="10" s="1"/>
  <c r="I150" i="10"/>
  <c r="L51" i="10"/>
  <c r="O51" i="10" s="1"/>
  <c r="C151" i="10"/>
  <c r="D151" i="10" s="1"/>
  <c r="H151" i="10" s="1"/>
  <c r="S152" i="10"/>
  <c r="P153" i="10"/>
  <c r="R153" i="10" s="1"/>
  <c r="P100" i="10"/>
  <c r="Q100" i="10" s="1"/>
  <c r="F152" i="10"/>
  <c r="E153" i="10"/>
  <c r="M102" i="10"/>
  <c r="N101" i="10"/>
  <c r="D102" i="10"/>
  <c r="E101" i="10"/>
  <c r="G101" i="10" s="1"/>
  <c r="H101" i="10" s="1"/>
  <c r="K111" i="10"/>
  <c r="L110" i="10"/>
  <c r="B105" i="10"/>
  <c r="B53" i="10"/>
  <c r="C104" i="10" s="1"/>
  <c r="C52" i="10"/>
  <c r="E52" i="10" s="1"/>
  <c r="F52" i="10" s="1"/>
  <c r="N52" i="10" s="1"/>
  <c r="H53" i="10"/>
  <c r="I52" i="10"/>
  <c r="K52" i="10" s="1"/>
  <c r="B133" i="8"/>
  <c r="B177" i="8"/>
  <c r="D177" i="8" s="1"/>
  <c r="G141" i="8"/>
  <c r="J141" i="8" s="1"/>
  <c r="C177" i="8"/>
  <c r="T33" i="2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W32" i="2"/>
  <c r="C133" i="8" l="1"/>
  <c r="H133" i="8" s="1"/>
  <c r="E138" i="8"/>
  <c r="I137" i="8"/>
  <c r="H40" i="9"/>
  <c r="J40" i="9" s="1"/>
  <c r="M40" i="9" s="1"/>
  <c r="O160" i="10"/>
  <c r="M160" i="10"/>
  <c r="N160" i="10" s="1"/>
  <c r="L161" i="10"/>
  <c r="I151" i="10"/>
  <c r="L52" i="10"/>
  <c r="O52" i="10" s="1"/>
  <c r="C152" i="10"/>
  <c r="D152" i="10" s="1"/>
  <c r="H152" i="10" s="1"/>
  <c r="S153" i="10"/>
  <c r="P154" i="10"/>
  <c r="R154" i="10" s="1"/>
  <c r="P101" i="10"/>
  <c r="Q101" i="10" s="1"/>
  <c r="E154" i="10"/>
  <c r="F153" i="10"/>
  <c r="M103" i="10"/>
  <c r="N102" i="10"/>
  <c r="D103" i="10"/>
  <c r="E102" i="10"/>
  <c r="G102" i="10" s="1"/>
  <c r="H102" i="10" s="1"/>
  <c r="B106" i="10"/>
  <c r="K112" i="10"/>
  <c r="L111" i="10"/>
  <c r="B54" i="10"/>
  <c r="C105" i="10" s="1"/>
  <c r="C53" i="10"/>
  <c r="E53" i="10" s="1"/>
  <c r="F53" i="10" s="1"/>
  <c r="N53" i="10" s="1"/>
  <c r="H54" i="10"/>
  <c r="I53" i="10"/>
  <c r="K53" i="10" s="1"/>
  <c r="B134" i="8"/>
  <c r="C134" i="8" s="1"/>
  <c r="H134" i="8" s="1"/>
  <c r="B178" i="8"/>
  <c r="D178" i="8" s="1"/>
  <c r="G142" i="8"/>
  <c r="J142" i="8" s="1"/>
  <c r="C178" i="8"/>
  <c r="W33" i="2"/>
  <c r="E139" i="8" l="1"/>
  <c r="I138" i="8"/>
  <c r="H41" i="9"/>
  <c r="J41" i="9" s="1"/>
  <c r="M41" i="9" s="1"/>
  <c r="O161" i="10"/>
  <c r="M161" i="10"/>
  <c r="N161" i="10" s="1"/>
  <c r="L162" i="10"/>
  <c r="I152" i="10"/>
  <c r="L53" i="10"/>
  <c r="O53" i="10" s="1"/>
  <c r="C153" i="10"/>
  <c r="D153" i="10" s="1"/>
  <c r="H153" i="10" s="1"/>
  <c r="S154" i="10"/>
  <c r="P155" i="10"/>
  <c r="R155" i="10" s="1"/>
  <c r="P102" i="10"/>
  <c r="Q102" i="10" s="1"/>
  <c r="E155" i="10"/>
  <c r="F154" i="10"/>
  <c r="M104" i="10"/>
  <c r="N103" i="10"/>
  <c r="D104" i="10"/>
  <c r="E103" i="10"/>
  <c r="G103" i="10" s="1"/>
  <c r="H103" i="10" s="1"/>
  <c r="L112" i="10"/>
  <c r="K113" i="10"/>
  <c r="B107" i="10"/>
  <c r="B55" i="10"/>
  <c r="C106" i="10" s="1"/>
  <c r="C54" i="10"/>
  <c r="E54" i="10" s="1"/>
  <c r="F54" i="10" s="1"/>
  <c r="N54" i="10" s="1"/>
  <c r="H55" i="10"/>
  <c r="I54" i="10"/>
  <c r="K54" i="10" s="1"/>
  <c r="B135" i="8"/>
  <c r="B179" i="8"/>
  <c r="D179" i="8" s="1"/>
  <c r="G143" i="8"/>
  <c r="J143" i="8" s="1"/>
  <c r="C179" i="8"/>
  <c r="W34" i="2"/>
  <c r="E140" i="8" l="1"/>
  <c r="I139" i="8"/>
  <c r="H42" i="9"/>
  <c r="J42" i="9" s="1"/>
  <c r="M42" i="9" s="1"/>
  <c r="O162" i="10"/>
  <c r="M162" i="10"/>
  <c r="N162" i="10" s="1"/>
  <c r="L163" i="10"/>
  <c r="I153" i="10"/>
  <c r="L54" i="10"/>
  <c r="O54" i="10" s="1"/>
  <c r="C154" i="10"/>
  <c r="D154" i="10" s="1"/>
  <c r="H154" i="10" s="1"/>
  <c r="S155" i="10"/>
  <c r="P156" i="10"/>
  <c r="R156" i="10" s="1"/>
  <c r="P103" i="10"/>
  <c r="Q103" i="10" s="1"/>
  <c r="F155" i="10"/>
  <c r="E156" i="10"/>
  <c r="M105" i="10"/>
  <c r="N104" i="10"/>
  <c r="D105" i="10"/>
  <c r="E104" i="10"/>
  <c r="G104" i="10" s="1"/>
  <c r="H104" i="10" s="1"/>
  <c r="B108" i="10"/>
  <c r="K114" i="10"/>
  <c r="L114" i="10" s="1"/>
  <c r="L113" i="10"/>
  <c r="B56" i="10"/>
  <c r="C107" i="10" s="1"/>
  <c r="C55" i="10"/>
  <c r="E55" i="10" s="1"/>
  <c r="F55" i="10" s="1"/>
  <c r="N55" i="10" s="1"/>
  <c r="I55" i="10"/>
  <c r="K55" i="10" s="1"/>
  <c r="H56" i="10"/>
  <c r="B136" i="8"/>
  <c r="B180" i="8"/>
  <c r="D180" i="8" s="1"/>
  <c r="C135" i="8"/>
  <c r="H135" i="8" s="1"/>
  <c r="G144" i="8"/>
  <c r="J144" i="8" s="1"/>
  <c r="C180" i="8"/>
  <c r="W35" i="2"/>
  <c r="E141" i="8" l="1"/>
  <c r="I140" i="8"/>
  <c r="M163" i="10"/>
  <c r="N163" i="10" s="1"/>
  <c r="O163" i="10"/>
  <c r="L55" i="10"/>
  <c r="O55" i="10" s="1"/>
  <c r="I154" i="10"/>
  <c r="C155" i="10"/>
  <c r="D155" i="10" s="1"/>
  <c r="H155" i="10" s="1"/>
  <c r="S156" i="10"/>
  <c r="P157" i="10"/>
  <c r="R157" i="10" s="1"/>
  <c r="P104" i="10"/>
  <c r="Q104" i="10" s="1"/>
  <c r="F156" i="10"/>
  <c r="E157" i="10"/>
  <c r="M106" i="10"/>
  <c r="N105" i="10"/>
  <c r="D106" i="10"/>
  <c r="E105" i="10"/>
  <c r="G105" i="10" s="1"/>
  <c r="H105" i="10" s="1"/>
  <c r="B109" i="10"/>
  <c r="B57" i="10"/>
  <c r="C108" i="10" s="1"/>
  <c r="C56" i="10"/>
  <c r="E56" i="10" s="1"/>
  <c r="F56" i="10" s="1"/>
  <c r="N56" i="10" s="1"/>
  <c r="H57" i="10"/>
  <c r="I56" i="10"/>
  <c r="K56" i="10" s="1"/>
  <c r="C136" i="8"/>
  <c r="H136" i="8" s="1"/>
  <c r="B137" i="8"/>
  <c r="B181" i="8"/>
  <c r="D181" i="8" s="1"/>
  <c r="H43" i="9"/>
  <c r="J43" i="9" s="1"/>
  <c r="M43" i="9" s="1"/>
  <c r="G145" i="8"/>
  <c r="J145" i="8" s="1"/>
  <c r="C181" i="8"/>
  <c r="W36" i="2"/>
  <c r="E142" i="8" l="1"/>
  <c r="I141" i="8"/>
  <c r="L56" i="10"/>
  <c r="O56" i="10" s="1"/>
  <c r="I155" i="10"/>
  <c r="C156" i="10"/>
  <c r="D156" i="10" s="1"/>
  <c r="H156" i="10" s="1"/>
  <c r="S157" i="10"/>
  <c r="P158" i="10"/>
  <c r="R158" i="10" s="1"/>
  <c r="P105" i="10"/>
  <c r="Q105" i="10" s="1"/>
  <c r="F157" i="10"/>
  <c r="E158" i="10"/>
  <c r="M107" i="10"/>
  <c r="N106" i="10"/>
  <c r="D107" i="10"/>
  <c r="E106" i="10"/>
  <c r="G106" i="10" s="1"/>
  <c r="H106" i="10" s="1"/>
  <c r="B110" i="10"/>
  <c r="B58" i="10"/>
  <c r="C109" i="10" s="1"/>
  <c r="C57" i="10"/>
  <c r="E57" i="10" s="1"/>
  <c r="F57" i="10" s="1"/>
  <c r="N57" i="10" s="1"/>
  <c r="H58" i="10"/>
  <c r="I57" i="10"/>
  <c r="K57" i="10" s="1"/>
  <c r="L57" i="10" s="1"/>
  <c r="O57" i="10" s="1"/>
  <c r="B138" i="8"/>
  <c r="B182" i="8"/>
  <c r="D182" i="8" s="1"/>
  <c r="C137" i="8"/>
  <c r="H137" i="8" s="1"/>
  <c r="H44" i="9"/>
  <c r="J44" i="9" s="1"/>
  <c r="M44" i="9" s="1"/>
  <c r="G146" i="8"/>
  <c r="J146" i="8" s="1"/>
  <c r="C182" i="8"/>
  <c r="W37" i="2"/>
  <c r="E143" i="8" l="1"/>
  <c r="I142" i="8"/>
  <c r="I156" i="10"/>
  <c r="C157" i="10"/>
  <c r="D157" i="10" s="1"/>
  <c r="H157" i="10" s="1"/>
  <c r="S158" i="10"/>
  <c r="P159" i="10"/>
  <c r="R159" i="10" s="1"/>
  <c r="P106" i="10"/>
  <c r="Q106" i="10" s="1"/>
  <c r="E159" i="10"/>
  <c r="F158" i="10"/>
  <c r="M108" i="10"/>
  <c r="N107" i="10"/>
  <c r="D108" i="10"/>
  <c r="E107" i="10"/>
  <c r="G107" i="10" s="1"/>
  <c r="H107" i="10" s="1"/>
  <c r="B111" i="10"/>
  <c r="B59" i="10"/>
  <c r="C110" i="10" s="1"/>
  <c r="C58" i="10"/>
  <c r="E58" i="10" s="1"/>
  <c r="F58" i="10" s="1"/>
  <c r="N58" i="10" s="1"/>
  <c r="I58" i="10"/>
  <c r="K58" i="10" s="1"/>
  <c r="L58" i="10" s="1"/>
  <c r="O58" i="10" s="1"/>
  <c r="H59" i="10"/>
  <c r="H45" i="9"/>
  <c r="J45" i="9" s="1"/>
  <c r="M45" i="9" s="1"/>
  <c r="C138" i="8"/>
  <c r="H138" i="8" s="1"/>
  <c r="B139" i="8"/>
  <c r="B183" i="8"/>
  <c r="D183" i="8" s="1"/>
  <c r="C183" i="8"/>
  <c r="W38" i="2"/>
  <c r="E144" i="8" l="1"/>
  <c r="I143" i="8"/>
  <c r="I157" i="10"/>
  <c r="C158" i="10"/>
  <c r="D158" i="10" s="1"/>
  <c r="H158" i="10" s="1"/>
  <c r="S159" i="10"/>
  <c r="P160" i="10"/>
  <c r="R160" i="10" s="1"/>
  <c r="P107" i="10"/>
  <c r="Q107" i="10" s="1"/>
  <c r="E160" i="10"/>
  <c r="F159" i="10"/>
  <c r="M109" i="10"/>
  <c r="N108" i="10"/>
  <c r="D109" i="10"/>
  <c r="E108" i="10"/>
  <c r="G108" i="10" s="1"/>
  <c r="H108" i="10" s="1"/>
  <c r="B112" i="10"/>
  <c r="B60" i="10"/>
  <c r="C111" i="10" s="1"/>
  <c r="C59" i="10"/>
  <c r="E59" i="10" s="1"/>
  <c r="F59" i="10" s="1"/>
  <c r="N59" i="10" s="1"/>
  <c r="H60" i="10"/>
  <c r="I59" i="10"/>
  <c r="K59" i="10" s="1"/>
  <c r="L59" i="10" s="1"/>
  <c r="O59" i="10" s="1"/>
  <c r="B140" i="8"/>
  <c r="B184" i="8"/>
  <c r="D184" i="8" s="1"/>
  <c r="C139" i="8"/>
  <c r="H139" i="8" s="1"/>
  <c r="H46" i="9"/>
  <c r="J46" i="9" s="1"/>
  <c r="M46" i="9" s="1"/>
  <c r="C184" i="8"/>
  <c r="W39" i="2"/>
  <c r="E145" i="8" l="1"/>
  <c r="I144" i="8"/>
  <c r="I158" i="10"/>
  <c r="C159" i="10"/>
  <c r="D159" i="10" s="1"/>
  <c r="H159" i="10" s="1"/>
  <c r="S160" i="10"/>
  <c r="P161" i="10"/>
  <c r="R161" i="10" s="1"/>
  <c r="P108" i="10"/>
  <c r="Q108" i="10" s="1"/>
  <c r="F160" i="10"/>
  <c r="E161" i="10"/>
  <c r="M110" i="10"/>
  <c r="N109" i="10"/>
  <c r="D110" i="10"/>
  <c r="E109" i="10"/>
  <c r="G109" i="10" s="1"/>
  <c r="H109" i="10" s="1"/>
  <c r="B113" i="10"/>
  <c r="B61" i="10"/>
  <c r="C112" i="10" s="1"/>
  <c r="C60" i="10"/>
  <c r="E60" i="10" s="1"/>
  <c r="F60" i="10" s="1"/>
  <c r="N60" i="10" s="1"/>
  <c r="H61" i="10"/>
  <c r="I60" i="10"/>
  <c r="K60" i="10" s="1"/>
  <c r="L60" i="10" s="1"/>
  <c r="O60" i="10" s="1"/>
  <c r="B141" i="8"/>
  <c r="B185" i="8"/>
  <c r="D185" i="8" s="1"/>
  <c r="C140" i="8"/>
  <c r="H140" i="8" s="1"/>
  <c r="H47" i="9"/>
  <c r="C185" i="8"/>
  <c r="W40" i="2"/>
  <c r="E146" i="8" l="1"/>
  <c r="I146" i="8" s="1"/>
  <c r="I145" i="8"/>
  <c r="I159" i="10"/>
  <c r="C160" i="10"/>
  <c r="D160" i="10" s="1"/>
  <c r="H160" i="10" s="1"/>
  <c r="S161" i="10"/>
  <c r="P162" i="10"/>
  <c r="R162" i="10" s="1"/>
  <c r="P163" i="10"/>
  <c r="R163" i="10" s="1"/>
  <c r="P109" i="10"/>
  <c r="Q109" i="10" s="1"/>
  <c r="E162" i="10"/>
  <c r="F161" i="10"/>
  <c r="M111" i="10"/>
  <c r="N110" i="10"/>
  <c r="D111" i="10"/>
  <c r="E110" i="10"/>
  <c r="G110" i="10" s="1"/>
  <c r="H110" i="10" s="1"/>
  <c r="B114" i="10"/>
  <c r="B62" i="10"/>
  <c r="C113" i="10" s="1"/>
  <c r="C61" i="10"/>
  <c r="E61" i="10" s="1"/>
  <c r="F61" i="10" s="1"/>
  <c r="N61" i="10" s="1"/>
  <c r="I61" i="10"/>
  <c r="K61" i="10" s="1"/>
  <c r="L61" i="10" s="1"/>
  <c r="O61" i="10" s="1"/>
  <c r="H62" i="10"/>
  <c r="B142" i="8"/>
  <c r="B186" i="8"/>
  <c r="D186" i="8" s="1"/>
  <c r="C141" i="8"/>
  <c r="H141" i="8" s="1"/>
  <c r="J47" i="9"/>
  <c r="M47" i="9" s="1"/>
  <c r="C186" i="8"/>
  <c r="W41" i="2"/>
  <c r="I160" i="10" l="1"/>
  <c r="C161" i="10"/>
  <c r="D161" i="10" s="1"/>
  <c r="H161" i="10" s="1"/>
  <c r="S162" i="10"/>
  <c r="S163" i="10" s="1"/>
  <c r="P110" i="10"/>
  <c r="Q110" i="10" s="1"/>
  <c r="E163" i="10"/>
  <c r="F163" i="10" s="1"/>
  <c r="F162" i="10"/>
  <c r="M112" i="10"/>
  <c r="N111" i="10"/>
  <c r="D112" i="10"/>
  <c r="E111" i="10"/>
  <c r="G111" i="10" s="1"/>
  <c r="H111" i="10" s="1"/>
  <c r="B63" i="10"/>
  <c r="C62" i="10"/>
  <c r="E62" i="10" s="1"/>
  <c r="F62" i="10" s="1"/>
  <c r="N62" i="10" s="1"/>
  <c r="H63" i="10"/>
  <c r="I63" i="10" s="1"/>
  <c r="K63" i="10" s="1"/>
  <c r="I62" i="10"/>
  <c r="K62" i="10" s="1"/>
  <c r="L62" i="10" s="1"/>
  <c r="O62" i="10" s="1"/>
  <c r="C142" i="8"/>
  <c r="H142" i="8" s="1"/>
  <c r="B143" i="8"/>
  <c r="B187" i="8"/>
  <c r="D187" i="8" s="1"/>
  <c r="H48" i="9"/>
  <c r="C187" i="8"/>
  <c r="W42" i="2"/>
  <c r="I161" i="10" l="1"/>
  <c r="C163" i="10"/>
  <c r="D163" i="10" s="1"/>
  <c r="H163" i="10" s="1"/>
  <c r="C162" i="10"/>
  <c r="D162" i="10" s="1"/>
  <c r="H162" i="10" s="1"/>
  <c r="L63" i="10"/>
  <c r="O63" i="10" s="1"/>
  <c r="P111" i="10"/>
  <c r="Q111" i="10" s="1"/>
  <c r="M113" i="10"/>
  <c r="N112" i="10"/>
  <c r="D113" i="10"/>
  <c r="E112" i="10"/>
  <c r="G112" i="10" s="1"/>
  <c r="H112" i="10" s="1"/>
  <c r="C63" i="10"/>
  <c r="E63" i="10" s="1"/>
  <c r="F63" i="10" s="1"/>
  <c r="N63" i="10" s="1"/>
  <c r="C114" i="10"/>
  <c r="B144" i="8"/>
  <c r="B188" i="8"/>
  <c r="D188" i="8" s="1"/>
  <c r="C143" i="8"/>
  <c r="H143" i="8" s="1"/>
  <c r="J48" i="9"/>
  <c r="M48" i="9" s="1"/>
  <c r="C188" i="8"/>
  <c r="W43" i="2"/>
  <c r="I162" i="10" l="1"/>
  <c r="I163" i="10" s="1"/>
  <c r="P112" i="10"/>
  <c r="Q112" i="10" s="1"/>
  <c r="M114" i="10"/>
  <c r="N114" i="10" s="1"/>
  <c r="P114" i="10" s="1"/>
  <c r="N113" i="10"/>
  <c r="D114" i="10"/>
  <c r="E114" i="10" s="1"/>
  <c r="G114" i="10" s="1"/>
  <c r="E113" i="10"/>
  <c r="G113" i="10" s="1"/>
  <c r="H113" i="10" s="1"/>
  <c r="C144" i="8"/>
  <c r="H144" i="8" s="1"/>
  <c r="B145" i="8"/>
  <c r="B189" i="8"/>
  <c r="D189" i="8" s="1"/>
  <c r="H49" i="9"/>
  <c r="C189" i="8"/>
  <c r="W44" i="2"/>
  <c r="H114" i="10" l="1"/>
  <c r="P113" i="10"/>
  <c r="Q113" i="10" s="1"/>
  <c r="Q114" i="10" s="1"/>
  <c r="B146" i="8"/>
  <c r="B191" i="8" s="1"/>
  <c r="B190" i="8"/>
  <c r="D190" i="8" s="1"/>
  <c r="C145" i="8"/>
  <c r="H145" i="8" s="1"/>
  <c r="J49" i="9"/>
  <c r="M49" i="9" s="1"/>
  <c r="C190" i="8"/>
  <c r="W45" i="2"/>
  <c r="D191" i="8" l="1"/>
  <c r="C146" i="8"/>
  <c r="H146" i="8" s="1"/>
  <c r="H50" i="9"/>
  <c r="C191" i="8"/>
  <c r="W47" i="2"/>
  <c r="W46" i="2"/>
  <c r="J50" i="9" l="1"/>
  <c r="M50" i="9" s="1"/>
  <c r="H51" i="9" l="1"/>
  <c r="J51" i="9" l="1"/>
  <c r="M51" i="9" s="1"/>
  <c r="H52" i="9" l="1"/>
  <c r="J52" i="9" s="1"/>
  <c r="M52" i="9" s="1"/>
  <c r="H53" i="9" l="1"/>
  <c r="J53" i="9" s="1"/>
  <c r="M53" i="9" s="1"/>
  <c r="H54" i="9" l="1"/>
  <c r="J54" i="9" l="1"/>
  <c r="M54" i="9" s="1"/>
  <c r="H55" i="9" l="1"/>
  <c r="J55" i="9" s="1"/>
  <c r="M55" i="9" s="1"/>
  <c r="H56" i="9" l="1"/>
  <c r="J56" i="9" l="1"/>
  <c r="M56" i="9" s="1"/>
  <c r="H57" i="9" l="1"/>
  <c r="J57" i="9" s="1"/>
  <c r="M57" i="9" s="1"/>
  <c r="H58" i="9" l="1"/>
  <c r="J58" i="9" l="1"/>
  <c r="M58" i="9" s="1"/>
  <c r="H59" i="9" l="1"/>
  <c r="J59" i="9" s="1"/>
  <c r="M59" i="9" l="1"/>
  <c r="H60" i="9"/>
  <c r="J60" i="9" s="1"/>
  <c r="M60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18FB4C-BD9B-4DA5-ADB2-05C354A83DE6}" keepAlive="1" name="Query - Cpi_index_inflation_montly_1925-2025" description="Connection to the 'Cpi_index_inflation_montly_1925-2025' query in the workbook." type="5" refreshedVersion="8" background="1" saveData="1">
    <dbPr connection="Provider=Microsoft.Mashup.OleDb.1;Data Source=$Workbook$;Location=Cpi_index_inflation_montly_1925-2025;Extended Properties=&quot;&quot;" command="SELECT * FROM [Cpi_index_inflation_montly_1925-2025]"/>
  </connection>
  <connection id="2" xr16:uid="{14CEE2DD-E54A-47CF-ADAB-FAC05135D3B8}" keepAlive="1" name="Query - s&amp;p_returns" description="Connection to the 's&amp;p_returns' query in the workbook." type="5" refreshedVersion="8" background="1" saveData="1">
    <dbPr connection="Provider=Microsoft.Mashup.OleDb.1;Data Source=$Workbook$;Location=s&amp;p_returns;Extended Properties=&quot;&quot;" command="SELECT * FROM [s&amp;p_returns]"/>
  </connection>
</connections>
</file>

<file path=xl/sharedStrings.xml><?xml version="1.0" encoding="utf-8"?>
<sst xmlns="http://schemas.openxmlformats.org/spreadsheetml/2006/main" count="2739" uniqueCount="216">
  <si>
    <t>Social Security payout</t>
  </si>
  <si>
    <t>FRA</t>
  </si>
  <si>
    <t>AGE</t>
  </si>
  <si>
    <t>Monthy benefit</t>
  </si>
  <si>
    <t>year2year change</t>
  </si>
  <si>
    <t>CPI</t>
  </si>
  <si>
    <t>Series ID</t>
  </si>
  <si>
    <t>Year</t>
  </si>
  <si>
    <t>Period</t>
  </si>
  <si>
    <t>Label</t>
  </si>
  <si>
    <t>Value</t>
  </si>
  <si>
    <t>12-Month % Change</t>
  </si>
  <si>
    <t>CUUR0000SA0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</si>
  <si>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</si>
  <si>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</si>
  <si>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</si>
  <si>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</si>
  <si>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</si>
  <si>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</si>
  <si>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</si>
  <si>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</si>
  <si>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</si>
  <si>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</si>
  <si>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</si>
  <si>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</si>
  <si>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Base year</t>
  </si>
  <si>
    <t>Test Year</t>
  </si>
  <si>
    <t>Factor</t>
  </si>
  <si>
    <t>base price</t>
  </si>
  <si>
    <t>Equivalent cost</t>
  </si>
  <si>
    <t>State</t>
  </si>
  <si>
    <t>Average Salary</t>
  </si>
  <si>
    <t>Median Salary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</si>
  <si>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</si>
  <si>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</si>
  <si>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</si>
  <si>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</si>
  <si>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</si>
  <si>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</si>
  <si>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</si>
  <si>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</si>
  <si>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</si>
  <si>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</si>
  <si>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</si>
  <si>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</si>
  <si>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</si>
  <si>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</si>
  <si>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</si>
  <si>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</si>
  <si>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</si>
  <si>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</si>
  <si>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</si>
  <si>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</si>
  <si>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</si>
  <si>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</si>
  <si>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</si>
  <si>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</si>
  <si>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</si>
  <si>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</si>
  <si>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</si>
  <si>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</si>
  <si>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</si>
  <si>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</si>
  <si>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</si>
  <si>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</si>
  <si>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</si>
  <si>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</si>
  <si>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</si>
  <si>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</si>
  <si>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</si>
  <si>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</si>
  <si>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</si>
  <si>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</si>
  <si>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</si>
  <si>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</si>
  <si>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</si>
  <si>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</si>
  <si>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</si>
  <si>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</si>
  <si>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</si>
  <si>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</si>
  <si>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</si>
  <si>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</si>
  <si>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Source: Bureau of Labor Statistics, “Occupational Employment and Wage Statistics,” May 2023.</t>
  </si>
  <si>
    <t>Column1</t>
  </si>
  <si>
    <t>Column2</t>
  </si>
  <si>
    <t>Return  in %</t>
  </si>
  <si>
    <t>70 total No Cola</t>
  </si>
  <si>
    <t>62 total with Cola</t>
  </si>
  <si>
    <t>62 yearly benefit</t>
  </si>
  <si>
    <t>67 total with Cola</t>
  </si>
  <si>
    <t>67 yearly benefit w Cola</t>
  </si>
  <si>
    <t>70 total w cola</t>
  </si>
  <si>
    <t>70 yearly benefit w Cola</t>
  </si>
  <si>
    <t>Discount Rate</t>
  </si>
  <si>
    <t>62,cola, invest,total</t>
  </si>
  <si>
    <t>67, cola, invest total</t>
  </si>
  <si>
    <t>70, cola, invest total</t>
  </si>
  <si>
    <t>PV take at 62, No Cola</t>
  </si>
  <si>
    <t>PV take at 67, No Cola</t>
  </si>
  <si>
    <t>PV take at 70, no cola</t>
  </si>
  <si>
    <t>Years for PV, NPV</t>
  </si>
  <si>
    <t>NPV take at 62, with Cola</t>
  </si>
  <si>
    <t>Monthy Benefit taken at 62 (Cola)</t>
  </si>
  <si>
    <t>Monthly Benefit taken at 67 (cola)</t>
  </si>
  <si>
    <t>Total take at 62. No Cola</t>
  </si>
  <si>
    <t>Total take at 67  No cola</t>
  </si>
  <si>
    <t>Monthly Benefit taken at 70 (cola)</t>
  </si>
  <si>
    <t>%  change</t>
  </si>
  <si>
    <t>Social Security Cost-Of-Living Adjustments</t>
  </si>
  <si>
    <t>COLA</t>
  </si>
  <si>
    <r>
      <t>1999</t>
    </r>
    <r>
      <rPr>
        <vertAlign val="superscript"/>
        <sz val="7.5"/>
        <color theme="1"/>
        <rFont val="Aptos Narrow"/>
        <family val="2"/>
        <scheme val="minor"/>
      </rPr>
      <t> a</t>
    </r>
  </si>
  <si>
    <t>Average</t>
  </si>
  <si>
    <t xml:space="preserve">Cola </t>
  </si>
  <si>
    <t>NPV take at , 67 with Cola</t>
  </si>
  <si>
    <t>NPV take at 70, with Cola</t>
  </si>
  <si>
    <t>Take at 67, Loss of future gains/losses</t>
  </si>
  <si>
    <t>Take at 70, Loss of future gains/losses.</t>
  </si>
  <si>
    <t>How is this normalized to compare.</t>
  </si>
  <si>
    <t>PV of loss at 70</t>
  </si>
  <si>
    <t>PV of Loss at 67</t>
  </si>
  <si>
    <t>Full Retirment Age Benefit</t>
  </si>
  <si>
    <t>Life Expectancy</t>
  </si>
  <si>
    <t>Cola</t>
  </si>
  <si>
    <t>Average since 1975 =</t>
  </si>
  <si>
    <t>62-69 benefits, discount rate</t>
  </si>
  <si>
    <t>62, invest + benefit-&gt;total</t>
  </si>
  <si>
    <t>Table III</t>
  </si>
  <si>
    <t>(Uniform Lifetime)</t>
  </si>
  <si>
    <t>(For Use by:</t>
  </si>
  <si>
    <t>Unmarried Owners,</t>
  </si>
  <si>
    <t>Married Owners Whose Spouses Aren't More Than 10 Years Younger, and</t>
  </si>
  <si>
    <t>Married Owners Whose Spouses Aren't the Sole Beneficiaries of Their IRAs)</t>
  </si>
  <si>
    <t>Age</t>
  </si>
  <si>
    <t>Distribution Period</t>
  </si>
  <si>
    <t>120 and over</t>
  </si>
  <si>
    <t>Balance at 72</t>
  </si>
  <si>
    <t>RMD</t>
  </si>
  <si>
    <t>Cola Adjusted Initial RMD</t>
  </si>
  <si>
    <t>Balance/RMD  %</t>
  </si>
  <si>
    <t>color</t>
  </si>
  <si>
    <t>R</t>
  </si>
  <si>
    <t>B</t>
  </si>
  <si>
    <t>62, yearly benefit with cola</t>
  </si>
  <si>
    <t>NPV 22yrs (84)</t>
  </si>
  <si>
    <t>Yearly payment no Cola take@62</t>
  </si>
  <si>
    <t>Yearly payment no Cola take@67</t>
  </si>
  <si>
    <t>Yearly payment no Cola take@70</t>
  </si>
  <si>
    <t>Take at 62 w/cola</t>
  </si>
  <si>
    <t>Take at 67 w/cola</t>
  </si>
  <si>
    <t>Take at 70 w/cola</t>
  </si>
  <si>
    <t>Take at 62  no cola</t>
  </si>
  <si>
    <t>Take at 67 no cola</t>
  </si>
  <si>
    <t>Take at 70 no cola</t>
  </si>
  <si>
    <t>Frank</t>
  </si>
  <si>
    <t>Montly benefit</t>
  </si>
  <si>
    <t>Yearly Benefit</t>
  </si>
  <si>
    <t>Saving</t>
  </si>
  <si>
    <t>Bill</t>
  </si>
  <si>
    <t>Spouse Montly benefit</t>
  </si>
  <si>
    <t>Spouse Yearly Benefit</t>
  </si>
  <si>
    <t>Spouse Full retirement Benefit</t>
  </si>
  <si>
    <t>Spouse Monthly Benefit</t>
  </si>
  <si>
    <t>Yearly expense</t>
  </si>
  <si>
    <t>Savings</t>
  </si>
  <si>
    <t xml:space="preserve">expense vs income </t>
  </si>
  <si>
    <t>Yearly Expenses</t>
  </si>
  <si>
    <t>Change to savings</t>
  </si>
  <si>
    <t>expenses vs invome</t>
  </si>
  <si>
    <t>Expenses vs Income</t>
  </si>
  <si>
    <t>Percentage difference @67</t>
  </si>
  <si>
    <t>average yearly inflation over 100yrs</t>
  </si>
  <si>
    <t>Table of Historical Inflation Rates in Percent</t>
  </si>
  <si>
    <t>(1914-2025)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</si>
  <si>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</si>
  <si>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</si>
  <si>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</si>
  <si>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</si>
  <si>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</si>
  <si>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</si>
  <si>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</si>
  <si>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</si>
  <si>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</si>
  <si>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</si>
  <si>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</si>
  <si>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</si>
  <si>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</t>
  </si>
  <si>
    <t>– (*)</t>
  </si>
  <si>
    <t>Avail.</t>
  </si>
  <si>
    <t>Jan.</t>
  </si>
  <si>
    <t>AverageCPI since 1914</t>
  </si>
  <si>
    <t>Rate of Return</t>
  </si>
  <si>
    <t xml:space="preserve">Rate of Return </t>
  </si>
  <si>
    <t xml:space="preserve">Average Cola since 1975 </t>
  </si>
  <si>
    <t>Total take 62 compare to 70, cola, rate of return</t>
  </si>
  <si>
    <t>Money stays invested in an account invested at rate of return</t>
  </si>
  <si>
    <t>70 total w cola, invest rate</t>
  </si>
  <si>
    <t>Starting retirement funds to draw from =</t>
  </si>
  <si>
    <t>Average Cola since 1975 =</t>
  </si>
  <si>
    <t>Average CPI since 1914</t>
  </si>
  <si>
    <t>Full Retirement Age Benefit</t>
  </si>
  <si>
    <t>Monthly benefit</t>
  </si>
  <si>
    <t>NPV using real discount rate</t>
  </si>
  <si>
    <t>90% of Franks Yearly benefit</t>
  </si>
  <si>
    <t>Spouse</t>
  </si>
  <si>
    <t>Frank and Bill age of death</t>
  </si>
  <si>
    <t>expenses vs income</t>
  </si>
  <si>
    <t>90% of Bills Yearly Benefit</t>
  </si>
  <si>
    <t>todays $1000</t>
  </si>
  <si>
    <t>future amout</t>
  </si>
  <si>
    <t>years</t>
  </si>
  <si>
    <t>discount rate</t>
  </si>
  <si>
    <t>PV</t>
  </si>
  <si>
    <t>62 total in todays $'s</t>
  </si>
  <si>
    <t>67 total in  todays $'s</t>
  </si>
  <si>
    <t>70 total in todays $'S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</si>
</sst>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.00;[Red]&quot;$&quot;#,##0.00"/>
  </numFmts>
  <fonts count="9">
    <font>
      <sz val="11"/>
      <color theme="1"/>
      <name val="Aptos Narrow"/>
      <family val="2"/>
      <scheme val="minor"/>
    </font>
    <font>
      <sz val="10"/>
      <color rgb="FF353535"/>
      <name val="Inherit"/>
    </font>
    <font>
      <b/>
      <sz val="10"/>
      <color rgb="FF353535"/>
      <name val="Inherit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7.5"/>
      <color theme="1"/>
      <name val="Aptos Narrow"/>
      <family val="2"/>
      <scheme val="minor"/>
    </font>
    <font>
      <sz val="10"/>
      <color rgb="FF1B1B1B"/>
      <name val="Source Sans Pro"/>
      <family val="2"/>
    </font>
    <font>
      <b/>
      <sz val="10"/>
      <color rgb="FF1B1B1B"/>
      <name val="Source Sans Pro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6F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medium">
        <color rgb="FFCCDDEE"/>
      </left>
      <right/>
      <top style="medium">
        <color rgb="FFCCDDEE"/>
      </top>
      <bottom/>
      <diagonal/>
    </border>
    <border>
      <left/>
      <right style="medium">
        <color rgb="FFCCDDEE"/>
      </right>
      <top style="medium">
        <color rgb="FFCCDDEE"/>
      </top>
      <bottom/>
      <diagonal/>
    </border>
    <border>
      <left style="medium">
        <color rgb="FFCCDDEE"/>
      </left>
      <right/>
      <top/>
      <bottom/>
      <diagonal/>
    </border>
    <border>
      <left/>
      <right style="medium">
        <color rgb="FFCCDDEE"/>
      </right>
      <top/>
      <bottom/>
      <diagonal/>
    </border>
    <border>
      <left style="medium">
        <color rgb="FFCCDDEE"/>
      </left>
      <right/>
      <top/>
      <bottom style="medium">
        <color rgb="FFCCDDEE"/>
      </bottom>
      <diagonal/>
    </border>
    <border>
      <left/>
      <right style="medium">
        <color rgb="FFCCDDEE"/>
      </right>
      <top/>
      <bottom style="medium">
        <color rgb="FFCCDDEE"/>
      </bottom>
      <diagonal/>
    </border>
    <border>
      <left/>
      <right/>
      <top/>
      <bottom style="medium">
        <color rgb="FFCCDDEE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9">
    <xf numFmtId="0" fontId="0" fillId="0" borderId="0" xfId="0"/>
    <xf numFmtId="10" fontId="0" fillId="0" borderId="0" xfId="0" applyNumberFormat="1"/>
    <xf numFmtId="8" fontId="0" fillId="0" borderId="0" xfId="0" applyNumberFormat="1"/>
    <xf numFmtId="9" fontId="0" fillId="0" borderId="0" xfId="0" applyNumberFormat="1"/>
    <xf numFmtId="6" fontId="0" fillId="0" borderId="0" xfId="0" applyNumberFormat="1"/>
    <xf numFmtId="14" fontId="0" fillId="0" borderId="0" xfId="0" applyNumberFormat="1"/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6" fontId="1" fillId="3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6" fontId="1" fillId="2" borderId="0" xfId="0" applyNumberFormat="1" applyFont="1" applyFill="1" applyAlignment="1">
      <alignment vertical="center" wrapText="1"/>
    </xf>
    <xf numFmtId="0" fontId="3" fillId="0" borderId="0" xfId="1" applyAlignment="1">
      <alignment vertical="center" wrapText="1"/>
    </xf>
    <xf numFmtId="2" fontId="0" fillId="0" borderId="0" xfId="0" applyNumberFormat="1"/>
    <xf numFmtId="1" fontId="0" fillId="0" borderId="0" xfId="0" applyNumberFormat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right" vertical="center" wrapText="1"/>
    </xf>
    <xf numFmtId="0" fontId="4" fillId="0" borderId="0" xfId="0" applyFont="1" applyAlignment="1">
      <alignment wrapText="1"/>
    </xf>
    <xf numFmtId="8" fontId="4" fillId="0" borderId="0" xfId="0" applyNumberFormat="1" applyFont="1" applyAlignment="1">
      <alignment wrapText="1"/>
    </xf>
    <xf numFmtId="164" fontId="0" fillId="0" borderId="0" xfId="0" applyNumberFormat="1"/>
    <xf numFmtId="0" fontId="6" fillId="2" borderId="0" xfId="0" applyFont="1" applyFill="1" applyAlignment="1">
      <alignment horizontal="center" vertical="top" wrapText="1"/>
    </xf>
    <xf numFmtId="0" fontId="7" fillId="2" borderId="8" xfId="0" applyFont="1" applyFill="1" applyBorder="1" applyAlignment="1">
      <alignment horizontal="center" vertical="top" wrapText="1"/>
    </xf>
    <xf numFmtId="0" fontId="7" fillId="2" borderId="9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7" fillId="2" borderId="15" xfId="0" applyFont="1" applyFill="1" applyBorder="1" applyAlignment="1">
      <alignment horizontal="center" vertical="top" wrapText="1"/>
    </xf>
    <xf numFmtId="0" fontId="6" fillId="2" borderId="14" xfId="0" applyFont="1" applyFill="1" applyBorder="1" applyAlignment="1">
      <alignment horizontal="center" vertical="top" wrapText="1"/>
    </xf>
    <xf numFmtId="0" fontId="6" fillId="2" borderId="15" xfId="0" applyFont="1" applyFill="1" applyBorder="1" applyAlignment="1">
      <alignment horizontal="center" vertical="top" wrapText="1"/>
    </xf>
    <xf numFmtId="164" fontId="0" fillId="0" borderId="16" xfId="0" applyNumberFormat="1" applyBorder="1"/>
    <xf numFmtId="0" fontId="0" fillId="0" borderId="16" xfId="0" applyBorder="1"/>
    <xf numFmtId="10" fontId="0" fillId="0" borderId="16" xfId="0" applyNumberFormat="1" applyBorder="1"/>
    <xf numFmtId="0" fontId="0" fillId="0" borderId="17" xfId="0" applyBorder="1"/>
    <xf numFmtId="10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0" fontId="0" fillId="0" borderId="22" xfId="0" applyNumberFormat="1" applyBorder="1"/>
    <xf numFmtId="164" fontId="0" fillId="0" borderId="23" xfId="0" applyNumberFormat="1" applyBorder="1"/>
    <xf numFmtId="0" fontId="0" fillId="0" borderId="23" xfId="0" applyBorder="1"/>
    <xf numFmtId="10" fontId="0" fillId="0" borderId="23" xfId="0" applyNumberFormat="1" applyBorder="1"/>
    <xf numFmtId="0" fontId="7" fillId="2" borderId="24" xfId="0" applyFont="1" applyFill="1" applyBorder="1" applyAlignment="1">
      <alignment horizontal="center" vertical="top" wrapText="1"/>
    </xf>
    <xf numFmtId="0" fontId="0" fillId="0" borderId="25" xfId="0" applyBorder="1"/>
    <xf numFmtId="0" fontId="4" fillId="0" borderId="25" xfId="0" applyFont="1" applyBorder="1" applyAlignment="1">
      <alignment horizontal="center" vertical="top" wrapText="1"/>
    </xf>
    <xf numFmtId="0" fontId="4" fillId="0" borderId="25" xfId="0" applyFont="1" applyBorder="1" applyAlignment="1">
      <alignment wrapText="1"/>
    </xf>
    <xf numFmtId="0" fontId="4" fillId="0" borderId="26" xfId="0" applyFont="1" applyBorder="1" applyAlignment="1">
      <alignment horizontal="center" vertical="top" wrapText="1"/>
    </xf>
    <xf numFmtId="0" fontId="4" fillId="0" borderId="17" xfId="0" applyFont="1" applyBorder="1"/>
    <xf numFmtId="0" fontId="4" fillId="0" borderId="19" xfId="0" applyFont="1" applyBorder="1"/>
    <xf numFmtId="0" fontId="4" fillId="0" borderId="21" xfId="0" applyFont="1" applyBorder="1"/>
    <xf numFmtId="8" fontId="0" fillId="0" borderId="16" xfId="0" applyNumberFormat="1" applyBorder="1"/>
    <xf numFmtId="9" fontId="0" fillId="0" borderId="16" xfId="0" applyNumberFormat="1" applyBorder="1"/>
    <xf numFmtId="10" fontId="0" fillId="0" borderId="20" xfId="0" applyNumberFormat="1" applyBorder="1"/>
    <xf numFmtId="8" fontId="0" fillId="0" borderId="28" xfId="0" applyNumberFormat="1" applyBorder="1"/>
    <xf numFmtId="9" fontId="0" fillId="0" borderId="28" xfId="0" applyNumberFormat="1" applyBorder="1"/>
    <xf numFmtId="0" fontId="0" fillId="0" borderId="29" xfId="0" applyBorder="1"/>
    <xf numFmtId="8" fontId="0" fillId="0" borderId="23" xfId="0" applyNumberFormat="1" applyBorder="1"/>
    <xf numFmtId="9" fontId="0" fillId="0" borderId="23" xfId="0" applyNumberFormat="1" applyBorder="1"/>
    <xf numFmtId="0" fontId="0" fillId="0" borderId="30" xfId="0" applyBorder="1"/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 applyAlignment="1">
      <alignment wrapText="1"/>
    </xf>
    <xf numFmtId="8" fontId="0" fillId="0" borderId="27" xfId="0" applyNumberFormat="1" applyBorder="1"/>
    <xf numFmtId="0" fontId="0" fillId="0" borderId="18" xfId="0" applyBorder="1"/>
    <xf numFmtId="8" fontId="0" fillId="0" borderId="20" xfId="0" applyNumberFormat="1" applyBorder="1"/>
    <xf numFmtId="8" fontId="0" fillId="0" borderId="22" xfId="0" applyNumberFormat="1" applyBorder="1"/>
    <xf numFmtId="0" fontId="4" fillId="0" borderId="27" xfId="0" applyFont="1" applyBorder="1" applyAlignment="1">
      <alignment horizontal="center" vertical="top" wrapText="1"/>
    </xf>
    <xf numFmtId="0" fontId="4" fillId="0" borderId="27" xfId="0" applyFont="1" applyBorder="1" applyAlignment="1">
      <alignment horizontal="center" wrapText="1"/>
    </xf>
    <xf numFmtId="0" fontId="4" fillId="0" borderId="18" xfId="0" applyFont="1" applyBorder="1" applyAlignment="1">
      <alignment horizontal="center" vertical="top" wrapText="1"/>
    </xf>
    <xf numFmtId="0" fontId="4" fillId="0" borderId="29" xfId="0" applyFont="1" applyBorder="1"/>
    <xf numFmtId="0" fontId="0" fillId="0" borderId="24" xfId="0" applyBorder="1"/>
    <xf numFmtId="0" fontId="4" fillId="0" borderId="25" xfId="0" applyFont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4" fillId="0" borderId="27" xfId="0" applyFont="1" applyBorder="1"/>
    <xf numFmtId="0" fontId="4" fillId="0" borderId="18" xfId="0" applyFont="1" applyBorder="1"/>
    <xf numFmtId="8" fontId="0" fillId="0" borderId="21" xfId="0" applyNumberFormat="1" applyBorder="1"/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8" fontId="0" fillId="0" borderId="24" xfId="0" applyNumberFormat="1" applyBorder="1"/>
    <xf numFmtId="8" fontId="0" fillId="0" borderId="25" xfId="0" applyNumberFormat="1" applyBorder="1"/>
    <xf numFmtId="8" fontId="0" fillId="0" borderId="26" xfId="0" applyNumberFormat="1" applyBorder="1"/>
    <xf numFmtId="8" fontId="0" fillId="0" borderId="19" xfId="0" applyNumberFormat="1" applyBorder="1"/>
    <xf numFmtId="8" fontId="0" fillId="0" borderId="29" xfId="0" applyNumberFormat="1" applyBorder="1"/>
    <xf numFmtId="0" fontId="4" fillId="0" borderId="24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164" fontId="0" fillId="0" borderId="20" xfId="0" applyNumberFormat="1" applyBorder="1"/>
    <xf numFmtId="0" fontId="0" fillId="0" borderId="34" xfId="0" applyBorder="1"/>
    <xf numFmtId="0" fontId="4" fillId="0" borderId="35" xfId="0" applyFont="1" applyBorder="1" applyAlignment="1">
      <alignment vertical="top" wrapText="1"/>
    </xf>
    <xf numFmtId="8" fontId="0" fillId="0" borderId="36" xfId="0" applyNumberFormat="1" applyBorder="1"/>
    <xf numFmtId="0" fontId="4" fillId="0" borderId="37" xfId="0" applyFont="1" applyBorder="1" applyAlignment="1">
      <alignment vertical="top" wrapText="1"/>
    </xf>
    <xf numFmtId="0" fontId="4" fillId="0" borderId="38" xfId="0" applyFont="1" applyBorder="1" applyAlignment="1">
      <alignment horizontal="center" vertical="top" wrapText="1"/>
    </xf>
    <xf numFmtId="0" fontId="4" fillId="0" borderId="39" xfId="0" applyFont="1" applyBorder="1" applyAlignment="1">
      <alignment horizontal="center" vertical="top" wrapText="1"/>
    </xf>
    <xf numFmtId="8" fontId="0" fillId="0" borderId="40" xfId="0" applyNumberFormat="1" applyBorder="1"/>
    <xf numFmtId="164" fontId="0" fillId="0" borderId="30" xfId="0" applyNumberForma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horizontal="center" wrapText="1"/>
    </xf>
    <xf numFmtId="0" fontId="4" fillId="0" borderId="41" xfId="0" applyFont="1" applyBorder="1" applyAlignment="1">
      <alignment vertical="top" wrapText="1"/>
    </xf>
    <xf numFmtId="0" fontId="0" fillId="0" borderId="26" xfId="0" applyBorder="1"/>
    <xf numFmtId="0" fontId="4" fillId="0" borderId="0" xfId="0" applyFont="1" applyAlignment="1">
      <alignment horizontal="center" vertical="top"/>
    </xf>
    <xf numFmtId="0" fontId="0" fillId="0" borderId="42" xfId="0" applyBorder="1"/>
    <xf numFmtId="0" fontId="4" fillId="0" borderId="41" xfId="0" applyFont="1" applyBorder="1" applyAlignment="1">
      <alignment horizontal="center" wrapText="1"/>
    </xf>
    <xf numFmtId="44" fontId="0" fillId="0" borderId="0" xfId="0" applyNumberFormat="1"/>
    <xf numFmtId="8" fontId="0" fillId="0" borderId="30" xfId="0" applyNumberFormat="1" applyBorder="1"/>
    <xf numFmtId="0" fontId="4" fillId="0" borderId="0" xfId="0" applyFont="1" applyAlignment="1">
      <alignment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top" wrapText="1"/>
    </xf>
    <xf numFmtId="0" fontId="4" fillId="0" borderId="44" xfId="0" applyFont="1" applyBorder="1" applyAlignment="1">
      <alignment horizontal="center" vertical="top" wrapText="1"/>
    </xf>
    <xf numFmtId="0" fontId="4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top"/>
    </xf>
    <xf numFmtId="0" fontId="4" fillId="0" borderId="45" xfId="0" applyFont="1" applyBorder="1" applyAlignment="1">
      <alignment horizontal="center" vertical="top" wrapText="1"/>
    </xf>
    <xf numFmtId="164" fontId="0" fillId="0" borderId="43" xfId="0" applyNumberFormat="1" applyBorder="1"/>
    <xf numFmtId="0" fontId="0" fillId="0" borderId="44" xfId="0" applyBorder="1"/>
    <xf numFmtId="10" fontId="0" fillId="0" borderId="44" xfId="0" applyNumberFormat="1" applyBorder="1"/>
    <xf numFmtId="44" fontId="0" fillId="0" borderId="44" xfId="0" applyNumberFormat="1" applyBorder="1"/>
    <xf numFmtId="8" fontId="0" fillId="0" borderId="45" xfId="0" applyNumberFormat="1" applyBorder="1"/>
    <xf numFmtId="0" fontId="4" fillId="0" borderId="24" xfId="0" applyFont="1" applyBorder="1" applyAlignment="1">
      <alignment horizontal="center" wrapText="1"/>
    </xf>
    <xf numFmtId="0" fontId="4" fillId="0" borderId="31" xfId="0" applyFont="1" applyBorder="1" applyAlignment="1">
      <alignment horizontal="center" wrapText="1"/>
    </xf>
    <xf numFmtId="2" fontId="0" fillId="0" borderId="33" xfId="0" applyNumberFormat="1" applyBorder="1"/>
    <xf numFmtId="0" fontId="4" fillId="0" borderId="17" xfId="0" applyFont="1" applyBorder="1" applyAlignment="1">
      <alignment wrapText="1"/>
    </xf>
    <xf numFmtId="164" fontId="0" fillId="0" borderId="18" xfId="0" applyNumberFormat="1" applyBorder="1"/>
    <xf numFmtId="2" fontId="0" fillId="0" borderId="18" xfId="0" applyNumberFormat="1" applyBorder="1"/>
    <xf numFmtId="0" fontId="4" fillId="0" borderId="21" xfId="0" applyFont="1" applyBorder="1" applyAlignment="1">
      <alignment horizontal="center" vertical="top" wrapText="1"/>
    </xf>
    <xf numFmtId="10" fontId="0" fillId="0" borderId="26" xfId="0" applyNumberFormat="1" applyBorder="1"/>
    <xf numFmtId="0" fontId="0" fillId="0" borderId="41" xfId="0" applyBorder="1"/>
    <xf numFmtId="0" fontId="4" fillId="0" borderId="17" xfId="0" applyFont="1" applyBorder="1" applyAlignment="1">
      <alignment horizontal="center" vertical="top"/>
    </xf>
    <xf numFmtId="0" fontId="4" fillId="0" borderId="2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6" xfId="0" applyFont="1" applyBorder="1" applyAlignment="1">
      <alignment horizontal="center" vertical="top" wrapText="1"/>
    </xf>
    <xf numFmtId="7" fontId="0" fillId="0" borderId="16" xfId="0" applyNumberFormat="1" applyBorder="1"/>
    <xf numFmtId="6" fontId="0" fillId="0" borderId="33" xfId="0" applyNumberFormat="1" applyBorder="1"/>
    <xf numFmtId="0" fontId="4" fillId="0" borderId="26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4" fillId="0" borderId="41" xfId="0" applyFont="1" applyBorder="1" applyAlignment="1">
      <alignment horizontal="center" vertical="top" wrapText="1"/>
    </xf>
    <xf numFmtId="0" fontId="0" fillId="0" borderId="40" xfId="0" applyBorder="1"/>
    <xf numFmtId="0" fontId="0" fillId="0" borderId="36" xfId="0" applyBorder="1"/>
    <xf numFmtId="8" fontId="0" fillId="0" borderId="47" xfId="0" applyNumberFormat="1" applyBorder="1"/>
    <xf numFmtId="0" fontId="4" fillId="0" borderId="16" xfId="0" applyFont="1" applyBorder="1" applyAlignment="1">
      <alignment horizontal="center" vertical="top" wrapText="1"/>
    </xf>
    <xf numFmtId="165" fontId="0" fillId="0" borderId="16" xfId="0" applyNumberFormat="1" applyBorder="1"/>
    <xf numFmtId="0" fontId="7" fillId="2" borderId="15" xfId="0" applyFont="1" applyFill="1" applyBorder="1" applyAlignment="1">
      <alignment horizontal="left" vertical="top" wrapText="1"/>
    </xf>
    <xf numFmtId="0" fontId="7" fillId="2" borderId="8" xfId="0" applyFont="1" applyFill="1" applyBorder="1" applyAlignment="1">
      <alignment horizontal="left" vertical="top" wrapText="1"/>
    </xf>
    <xf numFmtId="0" fontId="7" fillId="2" borderId="9" xfId="0" applyFont="1" applyFill="1" applyBorder="1" applyAlignment="1">
      <alignment horizontal="left" vertical="top" wrapText="1"/>
    </xf>
    <xf numFmtId="0" fontId="7" fillId="2" borderId="14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7" fillId="2" borderId="10" xfId="0" applyFont="1" applyFill="1" applyBorder="1" applyAlignment="1">
      <alignment horizontal="center" vertical="top" wrapText="1"/>
    </xf>
    <xf numFmtId="0" fontId="7" fillId="2" borderId="14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7" fillId="2" borderId="10" xfId="0" applyFont="1" applyFill="1" applyBorder="1" applyAlignment="1">
      <alignment horizontal="left" vertical="top" wrapText="1"/>
    </xf>
    <xf numFmtId="0" fontId="7" fillId="2" borderId="14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0" fillId="0" borderId="7" xfId="0" applyBorder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Main!$G$16</c:f>
          <c:strCache>
            <c:ptCount val="1"/>
            <c:pt idx="0">
              <c:v>Monthly benefit with 2.5%  Cola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Main!$A$24:$A$62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Main!$A$24:$A$62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8-4EFA-8001-49B58EB041E7}"/>
            </c:ext>
          </c:extLst>
        </c:ser>
        <c:ser>
          <c:idx val="1"/>
          <c:order val="1"/>
          <c:tx>
            <c:v>Take at 62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Main!$A$24:$A$62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Main!$B$24:$B$62</c:f>
              <c:numCache>
                <c:formatCode>"$"#,##0.00_);[Red]\("$"#,##0.00\)</c:formatCode>
                <c:ptCount val="39"/>
                <c:pt idx="0">
                  <c:v>1975.3999999999999</c:v>
                </c:pt>
                <c:pt idx="1">
                  <c:v>2024.7849999999996</c:v>
                </c:pt>
                <c:pt idx="2">
                  <c:v>2075.4046249999992</c:v>
                </c:pt>
                <c:pt idx="3">
                  <c:v>2127.289740624999</c:v>
                </c:pt>
                <c:pt idx="4">
                  <c:v>2180.4719841406236</c:v>
                </c:pt>
                <c:pt idx="5">
                  <c:v>2234.9837837441391</c:v>
                </c:pt>
                <c:pt idx="6">
                  <c:v>2290.8583783377426</c:v>
                </c:pt>
                <c:pt idx="7">
                  <c:v>2348.1298377961862</c:v>
                </c:pt>
                <c:pt idx="8">
                  <c:v>2406.8330837410908</c:v>
                </c:pt>
                <c:pt idx="9">
                  <c:v>2467.0039108346177</c:v>
                </c:pt>
                <c:pt idx="10">
                  <c:v>2528.679008605483</c:v>
                </c:pt>
                <c:pt idx="11">
                  <c:v>2591.8959838206197</c:v>
                </c:pt>
                <c:pt idx="12">
                  <c:v>2656.693383416135</c:v>
                </c:pt>
                <c:pt idx="13">
                  <c:v>2723.1107180015383</c:v>
                </c:pt>
                <c:pt idx="14">
                  <c:v>2791.1884859515767</c:v>
                </c:pt>
                <c:pt idx="15">
                  <c:v>2860.968198100366</c:v>
                </c:pt>
                <c:pt idx="16">
                  <c:v>2932.492403052875</c:v>
                </c:pt>
                <c:pt idx="17">
                  <c:v>3005.8047131291964</c:v>
                </c:pt>
                <c:pt idx="18">
                  <c:v>3080.949830957426</c:v>
                </c:pt>
                <c:pt idx="19">
                  <c:v>3157.9735767313614</c:v>
                </c:pt>
                <c:pt idx="20">
                  <c:v>3236.9229161496451</c:v>
                </c:pt>
                <c:pt idx="21">
                  <c:v>3317.8459890533859</c:v>
                </c:pt>
                <c:pt idx="22">
                  <c:v>3400.7921387797201</c:v>
                </c:pt>
                <c:pt idx="23">
                  <c:v>3485.8119422492127</c:v>
                </c:pt>
                <c:pt idx="24">
                  <c:v>3572.9572408054428</c:v>
                </c:pt>
                <c:pt idx="25">
                  <c:v>3662.2811718255784</c:v>
                </c:pt>
                <c:pt idx="26">
                  <c:v>3753.8382011212175</c:v>
                </c:pt>
                <c:pt idx="27">
                  <c:v>3847.6841561492474</c:v>
                </c:pt>
                <c:pt idx="28">
                  <c:v>3943.8762600529781</c:v>
                </c:pt>
                <c:pt idx="29">
                  <c:v>4042.4731665543022</c:v>
                </c:pt>
                <c:pt idx="30">
                  <c:v>4143.5349957181597</c:v>
                </c:pt>
                <c:pt idx="31">
                  <c:v>4247.1233706111134</c:v>
                </c:pt>
                <c:pt idx="32">
                  <c:v>4353.3014548763913</c:v>
                </c:pt>
                <c:pt idx="33">
                  <c:v>4462.1339912483008</c:v>
                </c:pt>
                <c:pt idx="34">
                  <c:v>4573.6873410295084</c:v>
                </c:pt>
                <c:pt idx="35">
                  <c:v>4688.0295245552461</c:v>
                </c:pt>
                <c:pt idx="36">
                  <c:v>4805.2302626691271</c:v>
                </c:pt>
                <c:pt idx="37">
                  <c:v>4925.3610192358547</c:v>
                </c:pt>
                <c:pt idx="38">
                  <c:v>5048.4950447167503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8-4EFA-8001-49B58EB041E7}"/>
            </c:ext>
          </c:extLst>
        </c:ser>
        <c:ser>
          <c:idx val="2"/>
          <c:order val="2"/>
          <c:tx>
            <c:v>Take at 67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Main!$A$24:$A$62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Main!$C$24:$C$62</c:f>
              <c:numCache>
                <c:formatCode>"$"#,##0.00_);[Red]\("$"#,##0.00\)</c:formatCode>
                <c:ptCount val="39"/>
                <c:pt idx="5">
                  <c:v>2822</c:v>
                </c:pt>
                <c:pt idx="6">
                  <c:v>2892.5499999999997</c:v>
                </c:pt>
                <c:pt idx="7">
                  <c:v>2964.8637499999995</c:v>
                </c:pt>
                <c:pt idx="8">
                  <c:v>3038.9853437499992</c:v>
                </c:pt>
                <c:pt idx="9">
                  <c:v>3114.959977343749</c:v>
                </c:pt>
                <c:pt idx="10">
                  <c:v>3192.8339767773423</c:v>
                </c:pt>
                <c:pt idx="11">
                  <c:v>3272.6548261967755</c:v>
                </c:pt>
                <c:pt idx="12">
                  <c:v>3354.4711968516945</c:v>
                </c:pt>
                <c:pt idx="13">
                  <c:v>3438.3329767729865</c:v>
                </c:pt>
                <c:pt idx="14">
                  <c:v>3524.291301192311</c:v>
                </c:pt>
                <c:pt idx="15">
                  <c:v>3612.3985837221185</c:v>
                </c:pt>
                <c:pt idx="16">
                  <c:v>3702.7085483151709</c:v>
                </c:pt>
                <c:pt idx="17">
                  <c:v>3795.2762620230496</c:v>
                </c:pt>
                <c:pt idx="18">
                  <c:v>3890.1581685736255</c:v>
                </c:pt>
                <c:pt idx="19">
                  <c:v>3987.4121227879659</c:v>
                </c:pt>
                <c:pt idx="20">
                  <c:v>4087.0974258576648</c:v>
                </c:pt>
                <c:pt idx="21">
                  <c:v>4189.2748615041064</c:v>
                </c:pt>
                <c:pt idx="22">
                  <c:v>4294.0067330417087</c:v>
                </c:pt>
                <c:pt idx="23">
                  <c:v>4401.3569013677507</c:v>
                </c:pt>
                <c:pt idx="24">
                  <c:v>4511.3908239019438</c:v>
                </c:pt>
                <c:pt idx="25">
                  <c:v>4624.175594499492</c:v>
                </c:pt>
                <c:pt idx="26">
                  <c:v>4739.7799843619787</c:v>
                </c:pt>
                <c:pt idx="27">
                  <c:v>4858.2744839710276</c:v>
                </c:pt>
                <c:pt idx="28">
                  <c:v>4979.7313460703026</c:v>
                </c:pt>
                <c:pt idx="29">
                  <c:v>5104.2246297220599</c:v>
                </c:pt>
                <c:pt idx="30">
                  <c:v>5231.8302454651111</c:v>
                </c:pt>
                <c:pt idx="31">
                  <c:v>5362.6260016017386</c:v>
                </c:pt>
                <c:pt idx="32">
                  <c:v>5496.6916516417814</c:v>
                </c:pt>
                <c:pt idx="33">
                  <c:v>5634.1089429328258</c:v>
                </c:pt>
                <c:pt idx="34">
                  <c:v>5774.9616665061458</c:v>
                </c:pt>
                <c:pt idx="35">
                  <c:v>5919.3357081687991</c:v>
                </c:pt>
                <c:pt idx="36">
                  <c:v>6067.3191008730182</c:v>
                </c:pt>
                <c:pt idx="37">
                  <c:v>6219.002078394843</c:v>
                </c:pt>
                <c:pt idx="38">
                  <c:v>6374.4771303547132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08-4EFA-8001-49B58EB041E7}"/>
            </c:ext>
          </c:extLst>
        </c:ser>
        <c:ser>
          <c:idx val="3"/>
          <c:order val="3"/>
          <c:tx>
            <c:v>Take at 70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Main!$A$24:$A$62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Main!$D$24:$D$62</c:f>
              <c:numCache>
                <c:formatCode>General</c:formatCode>
                <c:ptCount val="39"/>
                <c:pt idx="8" formatCode="&quot;$&quot;#,##0.00_);[Red]\(&quot;$&quot;#,##0.00\)">
                  <c:v>3499.28</c:v>
                </c:pt>
                <c:pt idx="9" formatCode="&quot;$&quot;#,##0.00_);[Red]\(&quot;$&quot;#,##0.00\)">
                  <c:v>3586.7619999999997</c:v>
                </c:pt>
                <c:pt idx="10" formatCode="&quot;$&quot;#,##0.00_);[Red]\(&quot;$&quot;#,##0.00\)">
                  <c:v>3676.4310499999992</c:v>
                </c:pt>
                <c:pt idx="11" formatCode="&quot;$&quot;#,##0.00_);[Red]\(&quot;$&quot;#,##0.00\)">
                  <c:v>3768.341826249999</c:v>
                </c:pt>
                <c:pt idx="12" formatCode="&quot;$&quot;#,##0.00_);[Red]\(&quot;$&quot;#,##0.00\)">
                  <c:v>3862.5503719062485</c:v>
                </c:pt>
                <c:pt idx="13" formatCode="&quot;$&quot;#,##0.00_);[Red]\(&quot;$&quot;#,##0.00\)">
                  <c:v>3959.1141312039044</c:v>
                </c:pt>
                <c:pt idx="14" formatCode="&quot;$&quot;#,##0.00_);[Red]\(&quot;$&quot;#,##0.00\)">
                  <c:v>4058.0919844840018</c:v>
                </c:pt>
                <c:pt idx="15" formatCode="&quot;$&quot;#,##0.00_);[Red]\(&quot;$&quot;#,##0.00\)">
                  <c:v>4159.5442840961014</c:v>
                </c:pt>
                <c:pt idx="16" formatCode="&quot;$&quot;#,##0.00_);[Red]\(&quot;$&quot;#,##0.00\)">
                  <c:v>4263.5328911985034</c:v>
                </c:pt>
                <c:pt idx="17" formatCode="&quot;$&quot;#,##0.00_);[Red]\(&quot;$&quot;#,##0.00\)">
                  <c:v>4370.1212134784655</c:v>
                </c:pt>
                <c:pt idx="18" formatCode="&quot;$&quot;#,##0.00_);[Red]\(&quot;$&quot;#,##0.00\)">
                  <c:v>4479.3742438154268</c:v>
                </c:pt>
                <c:pt idx="19" formatCode="&quot;$&quot;#,##0.00_);[Red]\(&quot;$&quot;#,##0.00\)">
                  <c:v>4591.3585999108118</c:v>
                </c:pt>
                <c:pt idx="20" formatCode="&quot;$&quot;#,##0.00_);[Red]\(&quot;$&quot;#,##0.00\)">
                  <c:v>4706.1425649085813</c:v>
                </c:pt>
                <c:pt idx="21" formatCode="&quot;$&quot;#,##0.00_);[Red]\(&quot;$&quot;#,##0.00\)">
                  <c:v>4823.7961290312951</c:v>
                </c:pt>
                <c:pt idx="22" formatCode="&quot;$&quot;#,##0.00_);[Red]\(&quot;$&quot;#,##0.00\)">
                  <c:v>4944.3910322570773</c:v>
                </c:pt>
                <c:pt idx="23" formatCode="&quot;$&quot;#,##0.00_);[Red]\(&quot;$&quot;#,##0.00\)">
                  <c:v>5068.0008080635034</c:v>
                </c:pt>
                <c:pt idx="24" formatCode="&quot;$&quot;#,##0.00_);[Red]\(&quot;$&quot;#,##0.00\)">
                  <c:v>5194.7008282650904</c:v>
                </c:pt>
                <c:pt idx="25" formatCode="&quot;$&quot;#,##0.00_);[Red]\(&quot;$&quot;#,##0.00\)">
                  <c:v>5324.5683489717176</c:v>
                </c:pt>
                <c:pt idx="26" formatCode="&quot;$&quot;#,##0.00_);[Red]\(&quot;$&quot;#,##0.00\)">
                  <c:v>5457.68255769601</c:v>
                </c:pt>
                <c:pt idx="27" formatCode="&quot;$&quot;#,##0.00_);[Red]\(&quot;$&quot;#,##0.00\)">
                  <c:v>5594.1246216384097</c:v>
                </c:pt>
                <c:pt idx="28" formatCode="&quot;$&quot;#,##0.00_);[Red]\(&quot;$&quot;#,##0.00\)">
                  <c:v>5733.9777371793698</c:v>
                </c:pt>
                <c:pt idx="29" formatCode="&quot;$&quot;#,##0.00_);[Red]\(&quot;$&quot;#,##0.00\)">
                  <c:v>5877.3271806088533</c:v>
                </c:pt>
                <c:pt idx="30" formatCode="&quot;$&quot;#,##0.00_);[Red]\(&quot;$&quot;#,##0.00\)">
                  <c:v>6024.2603601240744</c:v>
                </c:pt>
                <c:pt idx="31" formatCode="&quot;$&quot;#,##0.00_);[Red]\(&quot;$&quot;#,##0.00\)">
                  <c:v>6174.866869127176</c:v>
                </c:pt>
                <c:pt idx="32" formatCode="&quot;$&quot;#,##0.00_);[Red]\(&quot;$&quot;#,##0.00\)">
                  <c:v>6329.2385408553546</c:v>
                </c:pt>
                <c:pt idx="33" formatCode="&quot;$&quot;#,##0.00_);[Red]\(&quot;$&quot;#,##0.00\)">
                  <c:v>6487.4695043767379</c:v>
                </c:pt>
                <c:pt idx="34" formatCode="&quot;$&quot;#,##0.00_);[Red]\(&quot;$&quot;#,##0.00\)">
                  <c:v>6649.6562419861557</c:v>
                </c:pt>
                <c:pt idx="35" formatCode="&quot;$&quot;#,##0.00_);[Red]\(&quot;$&quot;#,##0.00\)">
                  <c:v>6815.8976480358087</c:v>
                </c:pt>
                <c:pt idx="36" formatCode="&quot;$&quot;#,##0.00_);[Red]\(&quot;$&quot;#,##0.00\)">
                  <c:v>6986.2950892367035</c:v>
                </c:pt>
                <c:pt idx="37" formatCode="&quot;$&quot;#,##0.00_);[Red]\(&quot;$&quot;#,##0.00\)">
                  <c:v>7160.9524664676201</c:v>
                </c:pt>
                <c:pt idx="38" formatCode="&quot;$&quot;#,##0.00_);[Red]\(&quot;$&quot;#,##0.00\)">
                  <c:v>7339.9762781293102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08-4EFA-8001-49B58EB04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47136"/>
        <c:axId val="221280688"/>
      </c:lineChart>
      <c:catAx>
        <c:axId val="483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80688"/>
        <c:crosses val="autoZero"/>
        <c:auto val="1"/>
        <c:lblAlgn val="ctr"/>
        <c:lblOffset val="100"/>
        <c:noMultiLvlLbl val="0"/>
      </c:catAx>
      <c:valAx>
        <c:axId val="22128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Main!$K$104</c:f>
          <c:strCache>
            <c:ptCount val="1"/>
            <c:pt idx="0">
              <c:v>Totals with Cola of 2.5%  Rate of Return = 0.0 %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36173585681621"/>
          <c:y val="0.17375235997317029"/>
          <c:w val="0.81609422966568801"/>
          <c:h val="0.77778945406568223"/>
        </c:manualLayout>
      </c:layout>
      <c:lineChart>
        <c:grouping val="standard"/>
        <c:varyColors val="0"/>
        <c:ser>
          <c:idx val="0"/>
          <c:order val="0"/>
          <c:tx>
            <c:v>Start @ 62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Main!$A$108:$A$146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Main!$C$108:$C$146</c:f>
              <c:numCache>
                <c:formatCode>"$"#,##0.00_);[Red]\("$"#,##0.00\)</c:formatCode>
                <c:ptCount val="39"/>
                <c:pt idx="0">
                  <c:v>23704.799999999999</c:v>
                </c:pt>
                <c:pt idx="1">
                  <c:v>48002.22</c:v>
                </c:pt>
                <c:pt idx="2">
                  <c:v>72907.075500000006</c:v>
                </c:pt>
                <c:pt idx="3">
                  <c:v>98434.552387500007</c:v>
                </c:pt>
                <c:pt idx="4">
                  <c:v>124600.2161971875</c:v>
                </c:pt>
                <c:pt idx="5">
                  <c:v>151420.02160211719</c:v>
                </c:pt>
                <c:pt idx="6">
                  <c:v>178910.32214217013</c:v>
                </c:pt>
                <c:pt idx="7">
                  <c:v>207087.88019572437</c:v>
                </c:pt>
                <c:pt idx="8">
                  <c:v>235969.87720061748</c:v>
                </c:pt>
                <c:pt idx="9">
                  <c:v>265573.92413063289</c:v>
                </c:pt>
                <c:pt idx="10">
                  <c:v>295918.07223389868</c:v>
                </c:pt>
                <c:pt idx="11">
                  <c:v>327020.82403974613</c:v>
                </c:pt>
                <c:pt idx="12">
                  <c:v>358901.14464073977</c:v>
                </c:pt>
                <c:pt idx="13">
                  <c:v>391578.4732567583</c:v>
                </c:pt>
                <c:pt idx="14">
                  <c:v>425072.73508817726</c:v>
                </c:pt>
                <c:pt idx="15">
                  <c:v>459404.35346538166</c:v>
                </c:pt>
                <c:pt idx="16">
                  <c:v>494594.2623020162</c:v>
                </c:pt>
                <c:pt idx="17">
                  <c:v>530663.91885956656</c:v>
                </c:pt>
                <c:pt idx="18">
                  <c:v>567635.31683105568</c:v>
                </c:pt>
                <c:pt idx="19">
                  <c:v>605530.9997518321</c:v>
                </c:pt>
                <c:pt idx="20">
                  <c:v>644374.07474562794</c:v>
                </c:pt>
                <c:pt idx="21">
                  <c:v>684188.22661426861</c:v>
                </c:pt>
                <c:pt idx="22">
                  <c:v>724997.73227962537</c:v>
                </c:pt>
                <c:pt idx="23">
                  <c:v>766827.47558661597</c:v>
                </c:pt>
                <c:pt idx="24">
                  <c:v>809702.96247628133</c:v>
                </c:pt>
                <c:pt idx="25">
                  <c:v>853650.33653818839</c:v>
                </c:pt>
                <c:pt idx="26">
                  <c:v>898696.39495164307</c:v>
                </c:pt>
                <c:pt idx="27">
                  <c:v>944868.60482543416</c:v>
                </c:pt>
                <c:pt idx="28">
                  <c:v>992195.11994607002</c:v>
                </c:pt>
                <c:pt idx="29">
                  <c:v>1040704.7979447218</c:v>
                </c:pt>
                <c:pt idx="30">
                  <c:v>1090427.2178933397</c:v>
                </c:pt>
                <c:pt idx="31">
                  <c:v>1141392.6983406732</c:v>
                </c:pt>
                <c:pt idx="32">
                  <c:v>1193632.31579919</c:v>
                </c:pt>
                <c:pt idx="33">
                  <c:v>1247177.9236941696</c:v>
                </c:pt>
                <c:pt idx="34">
                  <c:v>1302062.1717865239</c:v>
                </c:pt>
                <c:pt idx="35">
                  <c:v>1358318.526081187</c:v>
                </c:pt>
                <c:pt idx="36">
                  <c:v>1415981.2892332166</c:v>
                </c:pt>
                <c:pt idx="37">
                  <c:v>1475085.6214640469</c:v>
                </c:pt>
                <c:pt idx="38">
                  <c:v>1535667.5620006481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F-420C-9B66-D7B20766A26E}"/>
            </c:ext>
          </c:extLst>
        </c:ser>
        <c:ser>
          <c:idx val="1"/>
          <c:order val="1"/>
          <c:tx>
            <c:v>Start @ 67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Main!$A$108:$A$146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Main!$E$108:$E$146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&quot;$&quot;#,##0.00_);[Red]\(&quot;$&quot;#,##0.00\)">
                  <c:v>33864</c:v>
                </c:pt>
                <c:pt idx="6" formatCode="&quot;$&quot;#,##0.00_);[Red]\(&quot;$&quot;#,##0.00\)">
                  <c:v>68574.600000000006</c:v>
                </c:pt>
                <c:pt idx="7" formatCode="&quot;$&quot;#,##0.00_);[Red]\(&quot;$&quot;#,##0.00\)">
                  <c:v>104152.965</c:v>
                </c:pt>
                <c:pt idx="8" formatCode="&quot;$&quot;#,##0.00_);[Red]\(&quot;$&quot;#,##0.00\)">
                  <c:v>140620.78912500001</c:v>
                </c:pt>
                <c:pt idx="9" formatCode="&quot;$&quot;#,##0.00_);[Red]\(&quot;$&quot;#,##0.00\)">
                  <c:v>178000.30885312503</c:v>
                </c:pt>
                <c:pt idx="10" formatCode="&quot;$&quot;#,##0.00_);[Red]\(&quot;$&quot;#,##0.00\)">
                  <c:v>216314.31657445314</c:v>
                </c:pt>
                <c:pt idx="11" formatCode="&quot;$&quot;#,##0.00_);[Red]\(&quot;$&quot;#,##0.00\)">
                  <c:v>255586.17448881449</c:v>
                </c:pt>
                <c:pt idx="12" formatCode="&quot;$&quot;#,##0.00_);[Red]\(&quot;$&quot;#,##0.00\)">
                  <c:v>295839.82885103486</c:v>
                </c:pt>
                <c:pt idx="13" formatCode="&quot;$&quot;#,##0.00_);[Red]\(&quot;$&quot;#,##0.00\)">
                  <c:v>337099.82457231072</c:v>
                </c:pt>
                <c:pt idx="14" formatCode="&quot;$&quot;#,##0.00_);[Red]\(&quot;$&quot;#,##0.00\)">
                  <c:v>379391.32018661848</c:v>
                </c:pt>
                <c:pt idx="15" formatCode="&quot;$&quot;#,##0.00_);[Red]\(&quot;$&quot;#,##0.00\)">
                  <c:v>422740.10319128394</c:v>
                </c:pt>
                <c:pt idx="16" formatCode="&quot;$&quot;#,##0.00_);[Red]\(&quot;$&quot;#,##0.00\)">
                  <c:v>467172.60577106604</c:v>
                </c:pt>
                <c:pt idx="17" formatCode="&quot;$&quot;#,##0.00_);[Red]\(&quot;$&quot;#,##0.00\)">
                  <c:v>512715.92091534269</c:v>
                </c:pt>
                <c:pt idx="18" formatCode="&quot;$&quot;#,##0.00_);[Red]\(&quot;$&quot;#,##0.00\)">
                  <c:v>559397.81893822621</c:v>
                </c:pt>
                <c:pt idx="19" formatCode="&quot;$&quot;#,##0.00_);[Red]\(&quot;$&quot;#,##0.00\)">
                  <c:v>607246.76441168191</c:v>
                </c:pt>
                <c:pt idx="20" formatCode="&quot;$&quot;#,##0.00_);[Red]\(&quot;$&quot;#,##0.00\)">
                  <c:v>656291.93352197402</c:v>
                </c:pt>
                <c:pt idx="21" formatCode="&quot;$&quot;#,##0.00_);[Red]\(&quot;$&quot;#,##0.00\)">
                  <c:v>706563.23186002334</c:v>
                </c:pt>
                <c:pt idx="22" formatCode="&quot;$&quot;#,##0.00_);[Red]\(&quot;$&quot;#,##0.00\)">
                  <c:v>758091.31265652389</c:v>
                </c:pt>
                <c:pt idx="23" formatCode="&quot;$&quot;#,##0.00_);[Red]\(&quot;$&quot;#,##0.00\)">
                  <c:v>810907.59547293698</c:v>
                </c:pt>
                <c:pt idx="24" formatCode="&quot;$&quot;#,##0.00_);[Red]\(&quot;$&quot;#,##0.00\)">
                  <c:v>865044.2853597604</c:v>
                </c:pt>
                <c:pt idx="25" formatCode="&quot;$&quot;#,##0.00_);[Red]\(&quot;$&quot;#,##0.00\)">
                  <c:v>920534.39249375439</c:v>
                </c:pt>
                <c:pt idx="26" formatCode="&quot;$&quot;#,##0.00_);[Red]\(&quot;$&quot;#,##0.00\)">
                  <c:v>977411.75230609823</c:v>
                </c:pt>
                <c:pt idx="27" formatCode="&quot;$&quot;#,##0.00_);[Red]\(&quot;$&quot;#,##0.00\)">
                  <c:v>1035711.0461137507</c:v>
                </c:pt>
                <c:pt idx="28" formatCode="&quot;$&quot;#,##0.00_);[Red]\(&quot;$&quot;#,##0.00\)">
                  <c:v>1095467.8222665945</c:v>
                </c:pt>
                <c:pt idx="29" formatCode="&quot;$&quot;#,##0.00_);[Red]\(&quot;$&quot;#,##0.00\)">
                  <c:v>1156718.5178232593</c:v>
                </c:pt>
                <c:pt idx="30" formatCode="&quot;$&quot;#,##0.00_);[Red]\(&quot;$&quot;#,##0.00\)">
                  <c:v>1219500.4807688408</c:v>
                </c:pt>
                <c:pt idx="31" formatCode="&quot;$&quot;#,##0.00_);[Red]\(&quot;$&quot;#,##0.00\)">
                  <c:v>1283851.9927880617</c:v>
                </c:pt>
                <c:pt idx="32" formatCode="&quot;$&quot;#,##0.00_);[Red]\(&quot;$&quot;#,##0.00\)">
                  <c:v>1349812.2926077633</c:v>
                </c:pt>
                <c:pt idx="33" formatCode="&quot;$&quot;#,##0.00_);[Red]\(&quot;$&quot;#,##0.00\)">
                  <c:v>1417421.5999229574</c:v>
                </c:pt>
                <c:pt idx="34" formatCode="&quot;$&quot;#,##0.00_);[Red]\(&quot;$&quot;#,##0.00\)">
                  <c:v>1486721.1399210314</c:v>
                </c:pt>
                <c:pt idx="35" formatCode="&quot;$&quot;#,##0.00_);[Red]\(&quot;$&quot;#,##0.00\)">
                  <c:v>1557753.1684190573</c:v>
                </c:pt>
                <c:pt idx="36" formatCode="&quot;$&quot;#,##0.00_);[Red]\(&quot;$&quot;#,##0.00\)">
                  <c:v>1630560.9976295338</c:v>
                </c:pt>
                <c:pt idx="37" formatCode="&quot;$&quot;#,##0.00_);[Red]\(&quot;$&quot;#,##0.00\)">
                  <c:v>1705189.0225702722</c:v>
                </c:pt>
                <c:pt idx="38" formatCode="&quot;$&quot;#,##0.00_);[Red]\(&quot;$&quot;#,##0.00\)">
                  <c:v>1781682.748134529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F-420C-9B66-D7B20766A26E}"/>
            </c:ext>
          </c:extLst>
        </c:ser>
        <c:ser>
          <c:idx val="2"/>
          <c:order val="2"/>
          <c:tx>
            <c:v>Start @ 70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Main!$A$108:$A$146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Main!$G$108:$G$146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&quot;$&quot;#,##0.00_);[Red]\(&quot;$&quot;#,##0.00\)">
                  <c:v>41991.360000000001</c:v>
                </c:pt>
                <c:pt idx="9" formatCode="&quot;$&quot;#,##0.00_);[Red]\(&quot;$&quot;#,##0.00\)">
                  <c:v>85032.504000000001</c:v>
                </c:pt>
                <c:pt idx="10" formatCode="&quot;$&quot;#,##0.00_);[Red]\(&quot;$&quot;#,##0.00\)">
                  <c:v>129149.67660000001</c:v>
                </c:pt>
                <c:pt idx="11" formatCode="&quot;$&quot;#,##0.00_);[Red]\(&quot;$&quot;#,##0.00\)">
                  <c:v>174369.77851500001</c:v>
                </c:pt>
                <c:pt idx="12" formatCode="&quot;$&quot;#,##0.00_);[Red]\(&quot;$&quot;#,##0.00\)">
                  <c:v>220720.38297787501</c:v>
                </c:pt>
                <c:pt idx="13" formatCode="&quot;$&quot;#,##0.00_);[Red]\(&quot;$&quot;#,##0.00\)">
                  <c:v>268229.75255232188</c:v>
                </c:pt>
                <c:pt idx="14" formatCode="&quot;$&quot;#,##0.00_);[Red]\(&quot;$&quot;#,##0.00\)">
                  <c:v>316926.85636612994</c:v>
                </c:pt>
                <c:pt idx="15" formatCode="&quot;$&quot;#,##0.00_);[Red]\(&quot;$&quot;#,##0.00\)">
                  <c:v>366841.38777528319</c:v>
                </c:pt>
                <c:pt idx="16" formatCode="&quot;$&quot;#,##0.00_);[Red]\(&quot;$&quot;#,##0.00\)">
                  <c:v>418003.78246966528</c:v>
                </c:pt>
                <c:pt idx="17" formatCode="&quot;$&quot;#,##0.00_);[Red]\(&quot;$&quot;#,##0.00\)">
                  <c:v>470445.2370314069</c:v>
                </c:pt>
                <c:pt idx="18" formatCode="&quot;$&quot;#,##0.00_);[Red]\(&quot;$&quot;#,##0.00\)">
                  <c:v>524197.72795719205</c:v>
                </c:pt>
                <c:pt idx="19" formatCode="&quot;$&quot;#,##0.00_);[Red]\(&quot;$&quot;#,##0.00\)">
                  <c:v>579294.03115612187</c:v>
                </c:pt>
                <c:pt idx="20" formatCode="&quot;$&quot;#,##0.00_);[Red]\(&quot;$&quot;#,##0.00\)">
                  <c:v>635767.74193502497</c:v>
                </c:pt>
                <c:pt idx="21" formatCode="&quot;$&quot;#,##0.00_);[Red]\(&quot;$&quot;#,##0.00\)">
                  <c:v>693653.29548340058</c:v>
                </c:pt>
                <c:pt idx="22" formatCode="&quot;$&quot;#,##0.00_);[Red]\(&quot;$&quot;#,##0.00\)">
                  <c:v>752985.98787048564</c:v>
                </c:pt>
                <c:pt idx="23" formatCode="&quot;$&quot;#,##0.00_);[Red]\(&quot;$&quot;#,##0.00\)">
                  <c:v>813801.99756724783</c:v>
                </c:pt>
                <c:pt idx="24" formatCode="&quot;$&quot;#,##0.00_);[Red]\(&quot;$&quot;#,##0.00\)">
                  <c:v>876138.40750642901</c:v>
                </c:pt>
                <c:pt idx="25" formatCode="&quot;$&quot;#,##0.00_);[Red]\(&quot;$&quot;#,##0.00\)">
                  <c:v>940033.22769408976</c:v>
                </c:pt>
                <c:pt idx="26" formatCode="&quot;$&quot;#,##0.00_);[Red]\(&quot;$&quot;#,##0.00\)">
                  <c:v>1005525.418386442</c:v>
                </c:pt>
                <c:pt idx="27" formatCode="&quot;$&quot;#,##0.00_);[Red]\(&quot;$&quot;#,##0.00\)">
                  <c:v>1072654.913846103</c:v>
                </c:pt>
                <c:pt idx="28" formatCode="&quot;$&quot;#,##0.00_);[Red]\(&quot;$&quot;#,##0.00\)">
                  <c:v>1141462.6466922555</c:v>
                </c:pt>
                <c:pt idx="29" formatCode="&quot;$&quot;#,##0.00_);[Red]\(&quot;$&quot;#,##0.00\)">
                  <c:v>1211990.572859562</c:v>
                </c:pt>
                <c:pt idx="30" formatCode="&quot;$&quot;#,##0.00_);[Red]\(&quot;$&quot;#,##0.00\)">
                  <c:v>1284281.6971810511</c:v>
                </c:pt>
                <c:pt idx="31" formatCode="&quot;$&quot;#,##0.00_);[Red]\(&quot;$&quot;#,##0.00\)">
                  <c:v>1358380.0996105773</c:v>
                </c:pt>
                <c:pt idx="32" formatCode="&quot;$&quot;#,##0.00_);[Red]\(&quot;$&quot;#,##0.00\)">
                  <c:v>1434330.9621008418</c:v>
                </c:pt>
                <c:pt idx="33" formatCode="&quot;$&quot;#,##0.00_);[Red]\(&quot;$&quot;#,##0.00\)">
                  <c:v>1512180.5961533629</c:v>
                </c:pt>
                <c:pt idx="34" formatCode="&quot;$&quot;#,##0.00_);[Red]\(&quot;$&quot;#,##0.00\)">
                  <c:v>1591976.4710571968</c:v>
                </c:pt>
                <c:pt idx="35" formatCode="&quot;$&quot;#,##0.00_);[Red]\(&quot;$&quot;#,##0.00\)">
                  <c:v>1673767.2428336267</c:v>
                </c:pt>
                <c:pt idx="36" formatCode="&quot;$&quot;#,##0.00_);[Red]\(&quot;$&quot;#,##0.00\)">
                  <c:v>1757602.7839044672</c:v>
                </c:pt>
                <c:pt idx="37" formatCode="&quot;$&quot;#,##0.00_);[Red]\(&quot;$&quot;#,##0.00\)">
                  <c:v>1843534.213502079</c:v>
                </c:pt>
                <c:pt idx="38" formatCode="&quot;$&quot;#,##0.00_);[Red]\(&quot;$&quot;#,##0.00\)">
                  <c:v>1931613.9288396309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4F-420C-9B66-D7B20766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402608"/>
        <c:axId val="919416048"/>
      </c:lineChart>
      <c:catAx>
        <c:axId val="91940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16048"/>
        <c:crosses val="autoZero"/>
        <c:auto val="1"/>
        <c:lblAlgn val="ctr"/>
        <c:lblOffset val="100"/>
        <c:noMultiLvlLbl val="0"/>
      </c:catAx>
      <c:valAx>
        <c:axId val="919416048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0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Main!$L$148</c:f>
          <c:strCache>
            <c:ptCount val="1"/>
            <c:pt idx="0">
              <c:v>Totals with Cola of 2.5%  Rate of Return = 2.5%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Take @ 62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Main!$A$153:$A$191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Main!$D$153:$D$191</c:f>
              <c:numCache>
                <c:formatCode>"$"#,##0.00_);[Red]\("$"#,##0.00\)</c:formatCode>
                <c:ptCount val="39"/>
                <c:pt idx="0">
                  <c:v>23704.799999999999</c:v>
                </c:pt>
                <c:pt idx="1">
                  <c:v>48594.84</c:v>
                </c:pt>
                <c:pt idx="2">
                  <c:v>74714.566499999986</c:v>
                </c:pt>
                <c:pt idx="3">
                  <c:v>102109.90754999997</c:v>
                </c:pt>
                <c:pt idx="4">
                  <c:v>130828.31904843746</c:v>
                </c:pt>
                <c:pt idx="5">
                  <c:v>160918.83242957806</c:v>
                </c:pt>
                <c:pt idx="6">
                  <c:v>192432.10378037044</c:v>
                </c:pt>
                <c:pt idx="7">
                  <c:v>225420.46442843392</c:v>
                </c:pt>
                <c:pt idx="8">
                  <c:v>259937.97304403785</c:v>
                </c:pt>
                <c:pt idx="9">
                  <c:v>296040.46930015419</c:v>
                </c:pt>
                <c:pt idx="10">
                  <c:v>333785.62913592381</c:v>
                </c:pt>
                <c:pt idx="11">
                  <c:v>373233.02167016931</c:v>
                </c:pt>
                <c:pt idx="12">
                  <c:v>414444.16781291715</c:v>
                </c:pt>
                <c:pt idx="13">
                  <c:v>457482.60062425851</c:v>
                </c:pt>
                <c:pt idx="14">
                  <c:v>502413.92747128388</c:v>
                </c:pt>
                <c:pt idx="15">
                  <c:v>549305.89403527032</c:v>
                </c:pt>
                <c:pt idx="16">
                  <c:v>598228.45022278652</c:v>
                </c:pt>
                <c:pt idx="17">
                  <c:v>649253.81803590653</c:v>
                </c:pt>
                <c:pt idx="18">
                  <c:v>702456.56145829323</c:v>
                </c:pt>
                <c:pt idx="19">
                  <c:v>757913.65841552697</c:v>
                </c:pt>
                <c:pt idx="20">
                  <c:v>815704.57486971095</c:v>
                </c:pt>
                <c:pt idx="21">
                  <c:v>875911.34111009433</c:v>
                </c:pt>
                <c:pt idx="22">
                  <c:v>938618.63030320336</c:v>
                </c:pt>
                <c:pt idx="23">
                  <c:v>1003913.839367774</c:v>
                </c:pt>
                <c:pt idx="24">
                  <c:v>1071887.1722416338</c:v>
                </c:pt>
                <c:pt idx="25">
                  <c:v>1142631.7256095815</c:v>
                </c:pt>
                <c:pt idx="26">
                  <c:v>1216243.5771632758</c:v>
                </c:pt>
                <c:pt idx="27">
                  <c:v>1292821.8764661488</c:v>
                </c:pt>
                <c:pt idx="28">
                  <c:v>1372468.9384984383</c:v>
                </c:pt>
                <c:pt idx="29">
                  <c:v>1455290.3399595509</c:v>
                </c:pt>
                <c:pt idx="30">
                  <c:v>1541395.0184071576</c:v>
                </c:pt>
                <c:pt idx="31">
                  <c:v>1630895.37431467</c:v>
                </c:pt>
                <c:pt idx="32">
                  <c:v>1723907.3761310533</c:v>
                </c:pt>
                <c:pt idx="33">
                  <c:v>1820550.668429309</c:v>
                </c:pt>
                <c:pt idx="34">
                  <c:v>1920948.6832323959</c:v>
                </c:pt>
                <c:pt idx="35">
                  <c:v>2025228.7546078686</c:v>
                </c:pt>
                <c:pt idx="36">
                  <c:v>2133522.2366250949</c:v>
                </c:pt>
                <c:pt idx="37">
                  <c:v>2245964.6247715526</c:v>
                </c:pt>
                <c:pt idx="38">
                  <c:v>2362695.6809274424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5-4DA4-947B-995ECB70F619}"/>
            </c:ext>
          </c:extLst>
        </c:ser>
        <c:ser>
          <c:idx val="1"/>
          <c:order val="1"/>
          <c:tx>
            <c:v>Take @ 67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Main!$A$153:$A$191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Main!$E$153:$E$191</c:f>
              <c:numCache>
                <c:formatCode>"$"#,##0.00_);[Red]\("$"#,##0.00\)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33864</c:v>
                </c:pt>
                <c:pt idx="6">
                  <c:v>69421.2</c:v>
                </c:pt>
                <c:pt idx="7">
                  <c:v>106735.095</c:v>
                </c:pt>
                <c:pt idx="8">
                  <c:v>145871.2965</c:v>
                </c:pt>
                <c:pt idx="9">
                  <c:v>186897.59864062496</c:v>
                </c:pt>
                <c:pt idx="10">
                  <c:v>229884.04632796868</c:v>
                </c:pt>
                <c:pt idx="11">
                  <c:v>274903.00540052919</c:v>
                </c:pt>
                <c:pt idx="12">
                  <c:v>322029.23489776277</c:v>
                </c:pt>
                <c:pt idx="13">
                  <c:v>371339.96149148268</c:v>
                </c:pt>
                <c:pt idx="14">
                  <c:v>422914.95614307746</c:v>
                </c:pt>
                <c:pt idx="15">
                  <c:v>476836.61305131984</c:v>
                </c:pt>
                <c:pt idx="16">
                  <c:v>533190.03095738497</c:v>
                </c:pt>
                <c:pt idx="17">
                  <c:v>592063.09687559609</c:v>
                </c:pt>
                <c:pt idx="18">
                  <c:v>653546.57232036954</c:v>
                </c:pt>
                <c:pt idx="19">
                  <c:v>717734.18210183445</c:v>
                </c:pt>
                <c:pt idx="20">
                  <c:v>784722.70576467237</c:v>
                </c:pt>
                <c:pt idx="21">
                  <c:v>854612.0717468384</c:v>
                </c:pt>
                <c:pt idx="22">
                  <c:v>927505.45433700981</c:v>
                </c:pt>
                <c:pt idx="23">
                  <c:v>1003509.373511848</c:v>
                </c:pt>
                <c:pt idx="24">
                  <c:v>1082733.7977364676</c:v>
                </c:pt>
                <c:pt idx="25">
                  <c:v>1165292.2498138733</c:v>
                </c:pt>
                <c:pt idx="26">
                  <c:v>1251301.9158715641</c:v>
                </c:pt>
                <c:pt idx="27">
                  <c:v>1340883.7575760055</c:v>
                </c:pt>
                <c:pt idx="28">
                  <c:v>1434162.6276682494</c:v>
                </c:pt>
                <c:pt idx="29">
                  <c:v>1531267.3889166203</c:v>
                </c:pt>
                <c:pt idx="30">
                  <c:v>1632331.036585117</c:v>
                </c:pt>
                <c:pt idx="31">
                  <c:v>1737490.8245189658</c:v>
                </c:pt>
                <c:pt idx="32">
                  <c:v>1846888.3949516413</c:v>
                </c:pt>
                <c:pt idx="33">
                  <c:v>1960669.9121406262</c:v>
                </c:pt>
                <c:pt idx="34">
                  <c:v>2078986.1999422158</c:v>
                </c:pt>
                <c:pt idx="35">
                  <c:v>2201992.8834387967</c:v>
                </c:pt>
                <c:pt idx="36">
                  <c:v>2329850.5347352428</c:v>
                </c:pt>
                <c:pt idx="37">
                  <c:v>2462724.823044362</c:v>
                </c:pt>
                <c:pt idx="38">
                  <c:v>2600786.6691847276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F5-4DA4-947B-995ECB70F619}"/>
            </c:ext>
          </c:extLst>
        </c:ser>
        <c:ser>
          <c:idx val="2"/>
          <c:order val="2"/>
          <c:tx>
            <c:v>take @70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Main!$A$153:$A$191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Main!$G$153:$G$191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&quot;$&quot;#,##0.00_);[Red]\(&quot;$&quot;#,##0.00\)">
                  <c:v>41991.360000000001</c:v>
                </c:pt>
                <c:pt idx="9" formatCode="&quot;$&quot;#,##0.00_);[Red]\(&quot;$&quot;#,##0.00\)">
                  <c:v>86082.288</c:v>
                </c:pt>
                <c:pt idx="10" formatCode="&quot;$&quot;#,##0.00_);[Red]\(&quot;$&quot;#,##0.00\)">
                  <c:v>132351.5178</c:v>
                </c:pt>
                <c:pt idx="11" formatCode="&quot;$&quot;#,##0.00_);[Red]\(&quot;$&quot;#,##0.00\)">
                  <c:v>180880.40766</c:v>
                </c:pt>
                <c:pt idx="12" formatCode="&quot;$&quot;#,##0.00_);[Red]\(&quot;$&quot;#,##0.00\)">
                  <c:v>231753.02231437498</c:v>
                </c:pt>
                <c:pt idx="13" formatCode="&quot;$&quot;#,##0.00_);[Red]\(&quot;$&quot;#,##0.00\)">
                  <c:v>285056.21744668123</c:v>
                </c:pt>
                <c:pt idx="14" formatCode="&quot;$&quot;#,##0.00_);[Red]\(&quot;$&quot;#,##0.00\)">
                  <c:v>340879.72669665632</c:v>
                </c:pt>
                <c:pt idx="15" formatCode="&quot;$&quot;#,##0.00_);[Red]\(&quot;$&quot;#,##0.00\)">
                  <c:v>399316.25127322593</c:v>
                </c:pt>
                <c:pt idx="16" formatCode="&quot;$&quot;#,##0.00_);[Red]\(&quot;$&quot;#,##0.00\)">
                  <c:v>460461.55224943865</c:v>
                </c:pt>
                <c:pt idx="17" formatCode="&quot;$&quot;#,##0.00_);[Red]\(&quot;$&quot;#,##0.00\)">
                  <c:v>524414.54561741627</c:v>
                </c:pt>
                <c:pt idx="18" formatCode="&quot;$&quot;#,##0.00_);[Red]\(&quot;$&quot;#,##0.00\)">
                  <c:v>591277.40018363681</c:v>
                </c:pt>
                <c:pt idx="19" formatCode="&quot;$&quot;#,##0.00_);[Red]\(&quot;$&quot;#,##0.00\)">
                  <c:v>661155.63838715747</c:v>
                </c:pt>
                <c:pt idx="20" formatCode="&quot;$&quot;#,##0.00_);[Red]\(&quot;$&quot;#,##0.00\)">
                  <c:v>734158.24012573948</c:v>
                </c:pt>
                <c:pt idx="21" formatCode="&quot;$&quot;#,##0.00_);[Red]\(&quot;$&quot;#,##0.00\)">
                  <c:v>810397.74967725854</c:v>
                </c:pt>
                <c:pt idx="22" formatCode="&quot;$&quot;#,##0.00_);[Red]\(&quot;$&quot;#,##0.00\)">
                  <c:v>889990.38580627495</c:v>
                </c:pt>
                <c:pt idx="23" formatCode="&quot;$&quot;#,##0.00_);[Red]\(&quot;$&quot;#,##0.00\)">
                  <c:v>973056.15514819394</c:v>
                </c:pt>
                <c:pt idx="24" formatCode="&quot;$&quot;#,##0.00_);[Red]\(&quot;$&quot;#,##0.00\)">
                  <c:v>1059718.9689660799</c:v>
                </c:pt>
                <c:pt idx="25" formatCode="&quot;$&quot;#,##0.00_);[Red]\(&quot;$&quot;#,##0.00\)">
                  <c:v>1150106.7633778923</c:v>
                </c:pt>
                <c:pt idx="26" formatCode="&quot;$&quot;#,##0.00_);[Red]\(&quot;$&quot;#,##0.00\)">
                  <c:v>1244351.6231546917</c:v>
                </c:pt>
                <c:pt idx="27" formatCode="&quot;$&quot;#,##0.00_);[Red]\(&quot;$&quot;#,##0.00\)">
                  <c:v>1342589.9091932198</c:v>
                </c:pt>
                <c:pt idx="28" formatCode="&quot;$&quot;#,##0.00_);[Red]\(&quot;$&quot;#,##0.00\)">
                  <c:v>1444962.3897692028</c:v>
                </c:pt>
                <c:pt idx="29" formatCode="&quot;$&quot;#,##0.00_);[Red]\(&quot;$&quot;#,##0.00\)">
                  <c:v>1551614.3756807393</c:v>
                </c:pt>
                <c:pt idx="30" formatCode="&quot;$&quot;#,##0.00_);[Red]\(&quot;$&quot;#,##0.00\)">
                  <c:v>1662695.8593942467</c:v>
                </c:pt>
                <c:pt idx="31" formatCode="&quot;$&quot;#,##0.00_);[Red]\(&quot;$&quot;#,##0.00\)">
                  <c:v>1778361.6583086289</c:v>
                </c:pt>
                <c:pt idx="32" formatCode="&quot;$&quot;#,##0.00_);[Red]\(&quot;$&quot;#,##0.00\)">
                  <c:v>1898771.5622566091</c:v>
                </c:pt>
                <c:pt idx="33" formatCode="&quot;$&quot;#,##0.00_);[Red]\(&quot;$&quot;#,##0.00\)">
                  <c:v>2024090.4853655451</c:v>
                </c:pt>
                <c:pt idx="34" formatCode="&quot;$&quot;#,##0.00_);[Red]\(&quot;$&quot;#,##0.00\)">
                  <c:v>2154488.6224035178</c:v>
                </c:pt>
                <c:pt idx="35" formatCode="&quot;$&quot;#,##0.00_);[Red]\(&quot;$&quot;#,##0.00\)">
                  <c:v>2290141.6097400356</c:v>
                </c:pt>
                <c:pt idx="36" formatCode="&quot;$&quot;#,##0.00_);[Red]\(&quot;$&quot;#,##0.00\)">
                  <c:v>2431230.6910543772</c:v>
                </c:pt>
                <c:pt idx="37" formatCode="&quot;$&quot;#,##0.00_);[Red]\(&quot;$&quot;#,##0.00\)">
                  <c:v>2577942.887928348</c:v>
                </c:pt>
                <c:pt idx="38" formatCode="&quot;$&quot;#,##0.00_);[Red]\(&quot;$&quot;#,##0.00\)">
                  <c:v>2730471.1754641086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F5-4DA4-947B-995ECB70F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429488"/>
        <c:axId val="919424208"/>
      </c:lineChart>
      <c:catAx>
        <c:axId val="91942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24208"/>
        <c:crosses val="autoZero"/>
        <c:auto val="1"/>
        <c:lblAlgn val="ctr"/>
        <c:lblOffset val="100"/>
        <c:noMultiLvlLbl val="0"/>
      </c:catAx>
      <c:valAx>
        <c:axId val="91942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Main!$M$67</c:f>
          <c:strCache>
            <c:ptCount val="1"/>
            <c:pt idx="0">
              <c:v>Running total SS Benefit payout, No cola applied, No Time Value of money adjustment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Applied @ 62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Main!$A$66:$A$104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Main!$B$66:$B$104</c:f>
              <c:numCache>
                <c:formatCode>"$"#,##0.00_);[Red]\("$"#,##0.00\)</c:formatCode>
                <c:ptCount val="39"/>
                <c:pt idx="0">
                  <c:v>23704.799999999999</c:v>
                </c:pt>
                <c:pt idx="1">
                  <c:v>47409.599999999999</c:v>
                </c:pt>
                <c:pt idx="2">
                  <c:v>71114.399999999994</c:v>
                </c:pt>
                <c:pt idx="3">
                  <c:v>94819.199999999997</c:v>
                </c:pt>
                <c:pt idx="4">
                  <c:v>118524</c:v>
                </c:pt>
                <c:pt idx="5">
                  <c:v>142228.79999999999</c:v>
                </c:pt>
                <c:pt idx="6">
                  <c:v>165933.59999999998</c:v>
                </c:pt>
                <c:pt idx="7">
                  <c:v>189638.39999999997</c:v>
                </c:pt>
                <c:pt idx="8">
                  <c:v>213343.19999999995</c:v>
                </c:pt>
                <c:pt idx="9">
                  <c:v>237047.99999999994</c:v>
                </c:pt>
                <c:pt idx="10">
                  <c:v>260752.79999999993</c:v>
                </c:pt>
                <c:pt idx="11">
                  <c:v>284457.59999999992</c:v>
                </c:pt>
                <c:pt idx="12">
                  <c:v>308162.39999999991</c:v>
                </c:pt>
                <c:pt idx="13">
                  <c:v>331867.1999999999</c:v>
                </c:pt>
                <c:pt idx="14">
                  <c:v>355571.99999999988</c:v>
                </c:pt>
                <c:pt idx="15">
                  <c:v>379276.79999999987</c:v>
                </c:pt>
                <c:pt idx="16">
                  <c:v>402981.59999999986</c:v>
                </c:pt>
                <c:pt idx="17">
                  <c:v>426686.39999999985</c:v>
                </c:pt>
                <c:pt idx="18">
                  <c:v>450391.19999999984</c:v>
                </c:pt>
                <c:pt idx="19">
                  <c:v>474095.99999999983</c:v>
                </c:pt>
                <c:pt idx="20">
                  <c:v>497800.79999999981</c:v>
                </c:pt>
                <c:pt idx="21">
                  <c:v>521505.5999999998</c:v>
                </c:pt>
                <c:pt idx="22">
                  <c:v>545210.39999999979</c:v>
                </c:pt>
                <c:pt idx="23">
                  <c:v>568915.19999999984</c:v>
                </c:pt>
                <c:pt idx="24">
                  <c:v>592619.99999999988</c:v>
                </c:pt>
                <c:pt idx="25">
                  <c:v>616324.79999999993</c:v>
                </c:pt>
                <c:pt idx="26">
                  <c:v>640029.6</c:v>
                </c:pt>
                <c:pt idx="27">
                  <c:v>663734.4</c:v>
                </c:pt>
                <c:pt idx="28">
                  <c:v>687439.20000000007</c:v>
                </c:pt>
                <c:pt idx="29">
                  <c:v>711144.00000000012</c:v>
                </c:pt>
                <c:pt idx="30">
                  <c:v>734848.80000000016</c:v>
                </c:pt>
                <c:pt idx="31">
                  <c:v>758553.60000000021</c:v>
                </c:pt>
                <c:pt idx="32">
                  <c:v>782258.40000000026</c:v>
                </c:pt>
                <c:pt idx="33">
                  <c:v>805963.2000000003</c:v>
                </c:pt>
                <c:pt idx="34">
                  <c:v>829668.00000000035</c:v>
                </c:pt>
                <c:pt idx="35">
                  <c:v>853372.8000000004</c:v>
                </c:pt>
                <c:pt idx="36">
                  <c:v>877077.60000000044</c:v>
                </c:pt>
                <c:pt idx="37">
                  <c:v>900782.40000000049</c:v>
                </c:pt>
                <c:pt idx="38">
                  <c:v>924487.20000000054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9-4496-8946-4E81F21C09C7}"/>
            </c:ext>
          </c:extLst>
        </c:ser>
        <c:ser>
          <c:idx val="1"/>
          <c:order val="1"/>
          <c:tx>
            <c:v>Applied @ 67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Main!$A$66:$A$104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Main!$C$66:$C$104</c:f>
              <c:numCache>
                <c:formatCode>General</c:formatCode>
                <c:ptCount val="39"/>
                <c:pt idx="5" formatCode="&quot;$&quot;#,##0.00_);[Red]\(&quot;$&quot;#,##0.00\)">
                  <c:v>33864</c:v>
                </c:pt>
                <c:pt idx="6" formatCode="&quot;$&quot;#,##0.00_);[Red]\(&quot;$&quot;#,##0.00\)">
                  <c:v>67728</c:v>
                </c:pt>
                <c:pt idx="7" formatCode="&quot;$&quot;#,##0.00_);[Red]\(&quot;$&quot;#,##0.00\)">
                  <c:v>101592</c:v>
                </c:pt>
                <c:pt idx="8" formatCode="&quot;$&quot;#,##0.00_);[Red]\(&quot;$&quot;#,##0.00\)">
                  <c:v>135456</c:v>
                </c:pt>
                <c:pt idx="9" formatCode="&quot;$&quot;#,##0.00_);[Red]\(&quot;$&quot;#,##0.00\)">
                  <c:v>169320</c:v>
                </c:pt>
                <c:pt idx="10" formatCode="&quot;$&quot;#,##0.00_);[Red]\(&quot;$&quot;#,##0.00\)">
                  <c:v>203184</c:v>
                </c:pt>
                <c:pt idx="11" formatCode="&quot;$&quot;#,##0.00_);[Red]\(&quot;$&quot;#,##0.00\)">
                  <c:v>237048</c:v>
                </c:pt>
                <c:pt idx="12" formatCode="&quot;$&quot;#,##0.00_);[Red]\(&quot;$&quot;#,##0.00\)">
                  <c:v>270912</c:v>
                </c:pt>
                <c:pt idx="13" formatCode="&quot;$&quot;#,##0.00_);[Red]\(&quot;$&quot;#,##0.00\)">
                  <c:v>304776</c:v>
                </c:pt>
                <c:pt idx="14" formatCode="&quot;$&quot;#,##0.00_);[Red]\(&quot;$&quot;#,##0.00\)">
                  <c:v>338640</c:v>
                </c:pt>
                <c:pt idx="15" formatCode="&quot;$&quot;#,##0.00_);[Red]\(&quot;$&quot;#,##0.00\)">
                  <c:v>372504</c:v>
                </c:pt>
                <c:pt idx="16" formatCode="&quot;$&quot;#,##0.00_);[Red]\(&quot;$&quot;#,##0.00\)">
                  <c:v>406368</c:v>
                </c:pt>
                <c:pt idx="17" formatCode="&quot;$&quot;#,##0.00_);[Red]\(&quot;$&quot;#,##0.00\)">
                  <c:v>440232</c:v>
                </c:pt>
                <c:pt idx="18" formatCode="&quot;$&quot;#,##0.00_);[Red]\(&quot;$&quot;#,##0.00\)">
                  <c:v>474096</c:v>
                </c:pt>
                <c:pt idx="19" formatCode="&quot;$&quot;#,##0.00_);[Red]\(&quot;$&quot;#,##0.00\)">
                  <c:v>507960</c:v>
                </c:pt>
                <c:pt idx="20" formatCode="&quot;$&quot;#,##0.00_);[Red]\(&quot;$&quot;#,##0.00\)">
                  <c:v>541824</c:v>
                </c:pt>
                <c:pt idx="21" formatCode="&quot;$&quot;#,##0.00_);[Red]\(&quot;$&quot;#,##0.00\)">
                  <c:v>575688</c:v>
                </c:pt>
                <c:pt idx="22" formatCode="&quot;$&quot;#,##0.00_);[Red]\(&quot;$&quot;#,##0.00\)">
                  <c:v>609552</c:v>
                </c:pt>
                <c:pt idx="23" formatCode="&quot;$&quot;#,##0.00_);[Red]\(&quot;$&quot;#,##0.00\)">
                  <c:v>643416</c:v>
                </c:pt>
                <c:pt idx="24" formatCode="&quot;$&quot;#,##0.00_);[Red]\(&quot;$&quot;#,##0.00\)">
                  <c:v>677280</c:v>
                </c:pt>
                <c:pt idx="25" formatCode="&quot;$&quot;#,##0.00_);[Red]\(&quot;$&quot;#,##0.00\)">
                  <c:v>711144</c:v>
                </c:pt>
                <c:pt idx="26" formatCode="&quot;$&quot;#,##0.00_);[Red]\(&quot;$&quot;#,##0.00\)">
                  <c:v>745008</c:v>
                </c:pt>
                <c:pt idx="27" formatCode="&quot;$&quot;#,##0.00_);[Red]\(&quot;$&quot;#,##0.00\)">
                  <c:v>778872</c:v>
                </c:pt>
                <c:pt idx="28" formatCode="&quot;$&quot;#,##0.00_);[Red]\(&quot;$&quot;#,##0.00\)">
                  <c:v>812736</c:v>
                </c:pt>
                <c:pt idx="29" formatCode="&quot;$&quot;#,##0.00_);[Red]\(&quot;$&quot;#,##0.00\)">
                  <c:v>846600</c:v>
                </c:pt>
                <c:pt idx="30" formatCode="&quot;$&quot;#,##0.00_);[Red]\(&quot;$&quot;#,##0.00\)">
                  <c:v>880464</c:v>
                </c:pt>
                <c:pt idx="31" formatCode="&quot;$&quot;#,##0.00_);[Red]\(&quot;$&quot;#,##0.00\)">
                  <c:v>914328</c:v>
                </c:pt>
                <c:pt idx="32" formatCode="&quot;$&quot;#,##0.00_);[Red]\(&quot;$&quot;#,##0.00\)">
                  <c:v>948192</c:v>
                </c:pt>
                <c:pt idx="33" formatCode="&quot;$&quot;#,##0.00_);[Red]\(&quot;$&quot;#,##0.00\)">
                  <c:v>982056</c:v>
                </c:pt>
                <c:pt idx="34" formatCode="&quot;$&quot;#,##0.00_);[Red]\(&quot;$&quot;#,##0.00\)">
                  <c:v>1015920</c:v>
                </c:pt>
                <c:pt idx="35" formatCode="&quot;$&quot;#,##0.00_);[Red]\(&quot;$&quot;#,##0.00\)">
                  <c:v>1049784</c:v>
                </c:pt>
                <c:pt idx="36" formatCode="&quot;$&quot;#,##0.00_);[Red]\(&quot;$&quot;#,##0.00\)">
                  <c:v>1083648</c:v>
                </c:pt>
                <c:pt idx="37" formatCode="&quot;$&quot;#,##0.00_);[Red]\(&quot;$&quot;#,##0.00\)">
                  <c:v>1117512</c:v>
                </c:pt>
                <c:pt idx="38" formatCode="&quot;$&quot;#,##0.00_);[Red]\(&quot;$&quot;#,##0.00\)">
                  <c:v>1151376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09-4496-8946-4E81F21C09C7}"/>
            </c:ext>
          </c:extLst>
        </c:ser>
        <c:ser>
          <c:idx val="2"/>
          <c:order val="2"/>
          <c:tx>
            <c:v>Applied @ 70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Main!$A$66:$A$104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Main!$D$66:$D$104</c:f>
              <c:numCache>
                <c:formatCode>General</c:formatCode>
                <c:ptCount val="39"/>
                <c:pt idx="8" formatCode="&quot;$&quot;#,##0.00_);[Red]\(&quot;$&quot;#,##0.00\)">
                  <c:v>41991.360000000001</c:v>
                </c:pt>
                <c:pt idx="9" formatCode="&quot;$&quot;#,##0.00_);[Red]\(&quot;$&quot;#,##0.00\)">
                  <c:v>83982.720000000001</c:v>
                </c:pt>
                <c:pt idx="10" formatCode="&quot;$&quot;#,##0.00_);[Red]\(&quot;$&quot;#,##0.00\)">
                  <c:v>125974.08</c:v>
                </c:pt>
                <c:pt idx="11" formatCode="&quot;$&quot;#,##0.00_);[Red]\(&quot;$&quot;#,##0.00\)">
                  <c:v>167965.44</c:v>
                </c:pt>
                <c:pt idx="12" formatCode="&quot;$&quot;#,##0.00_);[Red]\(&quot;$&quot;#,##0.00\)">
                  <c:v>209956.8</c:v>
                </c:pt>
                <c:pt idx="13" formatCode="&quot;$&quot;#,##0.00_);[Red]\(&quot;$&quot;#,##0.00\)">
                  <c:v>251948.15999999997</c:v>
                </c:pt>
                <c:pt idx="14" formatCode="&quot;$&quot;#,##0.00_);[Red]\(&quot;$&quot;#,##0.00\)">
                  <c:v>293939.51999999996</c:v>
                </c:pt>
                <c:pt idx="15" formatCode="&quot;$&quot;#,##0.00_);[Red]\(&quot;$&quot;#,##0.00\)">
                  <c:v>335930.87999999995</c:v>
                </c:pt>
                <c:pt idx="16" formatCode="&quot;$&quot;#,##0.00_);[Red]\(&quot;$&quot;#,##0.00\)">
                  <c:v>377922.23999999993</c:v>
                </c:pt>
                <c:pt idx="17" formatCode="&quot;$&quot;#,##0.00_);[Red]\(&quot;$&quot;#,##0.00\)">
                  <c:v>419913.59999999992</c:v>
                </c:pt>
                <c:pt idx="18" formatCode="&quot;$&quot;#,##0.00_);[Red]\(&quot;$&quot;#,##0.00\)">
                  <c:v>461904.9599999999</c:v>
                </c:pt>
                <c:pt idx="19" formatCode="&quot;$&quot;#,##0.00_);[Red]\(&quot;$&quot;#,##0.00\)">
                  <c:v>503896.31999999989</c:v>
                </c:pt>
                <c:pt idx="20" formatCode="&quot;$&quot;#,##0.00_);[Red]\(&quot;$&quot;#,##0.00\)">
                  <c:v>545887.67999999993</c:v>
                </c:pt>
                <c:pt idx="21" formatCode="&quot;$&quot;#,##0.00_);[Red]\(&quot;$&quot;#,##0.00\)">
                  <c:v>587879.03999999992</c:v>
                </c:pt>
                <c:pt idx="22" formatCode="&quot;$&quot;#,##0.00_);[Red]\(&quot;$&quot;#,##0.00\)">
                  <c:v>629870.39999999991</c:v>
                </c:pt>
                <c:pt idx="23" formatCode="&quot;$&quot;#,##0.00_);[Red]\(&quot;$&quot;#,##0.00\)">
                  <c:v>671861.75999999989</c:v>
                </c:pt>
                <c:pt idx="24" formatCode="&quot;$&quot;#,##0.00_);[Red]\(&quot;$&quot;#,##0.00\)">
                  <c:v>713853.11999999988</c:v>
                </c:pt>
                <c:pt idx="25" formatCode="&quot;$&quot;#,##0.00_);[Red]\(&quot;$&quot;#,##0.00\)">
                  <c:v>755844.47999999986</c:v>
                </c:pt>
                <c:pt idx="26" formatCode="&quot;$&quot;#,##0.00_);[Red]\(&quot;$&quot;#,##0.00\)">
                  <c:v>797835.83999999985</c:v>
                </c:pt>
                <c:pt idx="27" formatCode="&quot;$&quot;#,##0.00_);[Red]\(&quot;$&quot;#,##0.00\)">
                  <c:v>839827.19999999984</c:v>
                </c:pt>
                <c:pt idx="28" formatCode="&quot;$&quot;#,##0.00_);[Red]\(&quot;$&quot;#,##0.00\)">
                  <c:v>881818.55999999982</c:v>
                </c:pt>
                <c:pt idx="29" formatCode="&quot;$&quot;#,##0.00_);[Red]\(&quot;$&quot;#,##0.00\)">
                  <c:v>923809.91999999981</c:v>
                </c:pt>
                <c:pt idx="30" formatCode="&quot;$&quot;#,##0.00_);[Red]\(&quot;$&quot;#,##0.00\)">
                  <c:v>965801.2799999998</c:v>
                </c:pt>
                <c:pt idx="31" formatCode="&quot;$&quot;#,##0.00_);[Red]\(&quot;$&quot;#,##0.00\)">
                  <c:v>1007792.6399999998</c:v>
                </c:pt>
                <c:pt idx="32" formatCode="&quot;$&quot;#,##0.00_);[Red]\(&quot;$&quot;#,##0.00\)">
                  <c:v>1049783.9999999998</c:v>
                </c:pt>
                <c:pt idx="33" formatCode="&quot;$&quot;#,##0.00_);[Red]\(&quot;$&quot;#,##0.00\)">
                  <c:v>1091775.3599999999</c:v>
                </c:pt>
                <c:pt idx="34" formatCode="&quot;$&quot;#,##0.00_);[Red]\(&quot;$&quot;#,##0.00\)">
                  <c:v>1133766.72</c:v>
                </c:pt>
                <c:pt idx="35" formatCode="&quot;$&quot;#,##0.00_);[Red]\(&quot;$&quot;#,##0.00\)">
                  <c:v>1175758.08</c:v>
                </c:pt>
                <c:pt idx="36" formatCode="&quot;$&quot;#,##0.00_);[Red]\(&quot;$&quot;#,##0.00\)">
                  <c:v>1217749.4400000002</c:v>
                </c:pt>
                <c:pt idx="37" formatCode="&quot;$&quot;#,##0.00_);[Red]\(&quot;$&quot;#,##0.00\)">
                  <c:v>1259740.8000000003</c:v>
                </c:pt>
                <c:pt idx="38" formatCode="&quot;$&quot;#,##0.00_);[Red]\(&quot;$&quot;#,##0.00\)">
                  <c:v>1301732.1600000004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09-4496-8946-4E81F21C0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993424"/>
        <c:axId val="198970864"/>
      </c:lineChart>
      <c:catAx>
        <c:axId val="19899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70864"/>
        <c:crosses val="autoZero"/>
        <c:auto val="1"/>
        <c:lblAlgn val="ctr"/>
        <c:lblOffset val="100"/>
        <c:noMultiLvlLbl val="0"/>
      </c:catAx>
      <c:valAx>
        <c:axId val="19897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Frank</a:t>
            </a:r>
            <a:r>
              <a:rPr lang="en-US" baseline="0"/>
              <a:t> and Bill pass on at 84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14884062725864"/>
          <c:y val="0.1636894386950975"/>
          <c:w val="0.79056984895192195"/>
          <c:h val="0.64492582723751224"/>
        </c:manualLayout>
      </c:layout>
      <c:lineChart>
        <c:grouping val="standard"/>
        <c:varyColors val="0"/>
        <c:ser>
          <c:idx val="0"/>
          <c:order val="0"/>
          <c:tx>
            <c:v>Frank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'Frank and Bill'!$A$125:$A$163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'Frank and Bill'!$I$125:$I$163</c:f>
              <c:numCache>
                <c:formatCode>"$"#,##0.00</c:formatCode>
                <c:ptCount val="39"/>
                <c:pt idx="0">
                  <c:v>284160.8</c:v>
                </c:pt>
                <c:pt idx="1">
                  <c:v>320085.51207999996</c:v>
                </c:pt>
                <c:pt idx="2">
                  <c:v>357847.8965238079</c:v>
                </c:pt>
                <c:pt idx="3">
                  <c:v>397524.52461923403</c:v>
                </c:pt>
                <c:pt idx="4">
                  <c:v>439194.88045728975</c:v>
                </c:pt>
                <c:pt idx="5">
                  <c:v>482941.4663040528</c:v>
                </c:pt>
                <c:pt idx="6">
                  <c:v>528849.91166801669</c:v>
                </c:pt>
                <c:pt idx="7">
                  <c:v>577009.08618990704</c:v>
                </c:pt>
                <c:pt idx="8">
                  <c:v>627511.21648624889</c:v>
                </c:pt>
                <c:pt idx="9">
                  <c:v>680452.00708241528</c:v>
                </c:pt>
                <c:pt idx="10">
                  <c:v>735930.76557548461</c:v>
                </c:pt>
                <c:pt idx="11">
                  <c:v>794050.53217198257</c:v>
                </c:pt>
                <c:pt idx="12">
                  <c:v>854918.21375049476</c:v>
                </c:pt>
                <c:pt idx="13">
                  <c:v>918644.72260420909</c:v>
                </c:pt>
                <c:pt idx="14">
                  <c:v>985345.12002369075</c:v>
                </c:pt>
                <c:pt idx="15">
                  <c:v>1055138.7648856121</c:v>
                </c:pt>
                <c:pt idx="16">
                  <c:v>1128149.4674187608</c:v>
                </c:pt>
                <c:pt idx="17">
                  <c:v>1204505.648324437</c:v>
                </c:pt>
                <c:pt idx="18">
                  <c:v>1284340.503434334</c:v>
                </c:pt>
                <c:pt idx="19">
                  <c:v>1329896.4911744001</c:v>
                </c:pt>
                <c:pt idx="20">
                  <c:v>1377029.7662979951</c:v>
                </c:pt>
                <c:pt idx="21">
                  <c:v>1425794.052428402</c:v>
                </c:pt>
                <c:pt idx="22">
                  <c:v>1476244.8821803876</c:v>
                </c:pt>
                <c:pt idx="23">
                  <c:v>1528439.6575733584</c:v>
                </c:pt>
                <c:pt idx="24">
                  <c:v>1582437.7124499872</c:v>
                </c:pt>
                <c:pt idx="25">
                  <c:v>1638300.3769665875</c:v>
                </c:pt>
                <c:pt idx="26">
                  <c:v>1696091.0442236974</c:v>
                </c:pt>
                <c:pt idx="27">
                  <c:v>1755875.239107589</c:v>
                </c:pt>
                <c:pt idx="28">
                  <c:v>1817720.6894157503</c:v>
                </c:pt>
                <c:pt idx="29">
                  <c:v>1881697.3993417893</c:v>
                </c:pt>
                <c:pt idx="30">
                  <c:v>1947877.7253976942</c:v>
                </c:pt>
                <c:pt idx="31">
                  <c:v>2016336.4548539557</c:v>
                </c:pt>
                <c:pt idx="32">
                  <c:v>2087150.8867806986</c:v>
                </c:pt>
                <c:pt idx="33">
                  <c:v>2160400.9157757158</c:v>
                </c:pt>
                <c:pt idx="34">
                  <c:v>2236169.1184681202</c:v>
                </c:pt>
                <c:pt idx="35">
                  <c:v>2314540.8428892498</c:v>
                </c:pt>
                <c:pt idx="36">
                  <c:v>2395604.3008054849</c:v>
                </c:pt>
                <c:pt idx="37">
                  <c:v>2479450.6631107405</c:v>
                </c:pt>
                <c:pt idx="38">
                  <c:v>2566174.1583796223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90-4A13-8EB4-B9316B84713F}"/>
            </c:ext>
          </c:extLst>
        </c:ser>
        <c:ser>
          <c:idx val="1"/>
          <c:order val="1"/>
          <c:tx>
            <c:v>Bill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'Frank and Bill'!$A$125:$A$163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'Frank and Bill'!$S$125:$S$163</c:f>
              <c:numCache>
                <c:formatCode>"$"#,##0.00</c:formatCode>
                <c:ptCount val="39"/>
                <c:pt idx="0">
                  <c:v>262761.2</c:v>
                </c:pt>
                <c:pt idx="1">
                  <c:v>273690.86512000003</c:v>
                </c:pt>
                <c:pt idx="2">
                  <c:v>285035.92857291206</c:v>
                </c:pt>
                <c:pt idx="3">
                  <c:v>296811.40962563897</c:v>
                </c:pt>
                <c:pt idx="4">
                  <c:v>309032.85410521604</c:v>
                </c:pt>
                <c:pt idx="5">
                  <c:v>321716.35248797189</c:v>
                </c:pt>
                <c:pt idx="6">
                  <c:v>334878.5586014787</c:v>
                </c:pt>
                <c:pt idx="7">
                  <c:v>348536.70895984577</c:v>
                </c:pt>
                <c:pt idx="8">
                  <c:v>404700.0027535946</c:v>
                </c:pt>
                <c:pt idx="9">
                  <c:v>463814.24485206109</c:v>
                </c:pt>
                <c:pt idx="10">
                  <c:v>526003.63679315499</c:v>
                </c:pt>
                <c:pt idx="11">
                  <c:v>591397.12910050154</c:v>
                </c:pt>
                <c:pt idx="12">
                  <c:v>660128.59360076475</c:v>
                </c:pt>
                <c:pt idx="13">
                  <c:v>732337.00179602625</c:v>
                </c:pt>
                <c:pt idx="14">
                  <c:v>808166.60949955019</c:v>
                </c:pt>
                <c:pt idx="15">
                  <c:v>887767.14795033343</c:v>
                </c:pt>
                <c:pt idx="16">
                  <c:v>971294.02162913955</c:v>
                </c:pt>
                <c:pt idx="17">
                  <c:v>1058908.5130062655</c:v>
                </c:pt>
                <c:pt idx="18">
                  <c:v>1150777.9944590859</c:v>
                </c:pt>
                <c:pt idx="19">
                  <c:v>1199985.6259568611</c:v>
                </c:pt>
                <c:pt idx="20">
                  <c:v>1251089.7329634239</c:v>
                </c:pt>
                <c:pt idx="21">
                  <c:v>1304159.4482484099</c:v>
                </c:pt>
                <c:pt idx="22">
                  <c:v>1359266.3410014459</c:v>
                </c:pt>
                <c:pt idx="23">
                  <c:v>1416484.5008267344</c:v>
                </c:pt>
                <c:pt idx="24">
                  <c:v>1475890.624590043</c:v>
                </c:pt>
                <c:pt idx="25">
                  <c:v>1537564.1062139445</c:v>
                </c:pt>
                <c:pt idx="26">
                  <c:v>1601587.129520342</c:v>
                </c:pt>
                <c:pt idx="27">
                  <c:v>1668044.7642226235</c:v>
                </c:pt>
                <c:pt idx="28">
                  <c:v>1737025.0651731975</c:v>
                </c:pt>
                <c:pt idx="29">
                  <c:v>1808619.174975683</c:v>
                </c:pt>
                <c:pt idx="30">
                  <c:v>1882921.4300746755</c:v>
                </c:pt>
                <c:pt idx="31">
                  <c:v>1960029.4704397649</c:v>
                </c:pt>
                <c:pt idx="32">
                  <c:v>2040044.3529643724</c:v>
                </c:pt>
                <c:pt idx="33">
                  <c:v>2123070.6687039891</c:v>
                </c:pt>
                <c:pt idx="34">
                  <c:v>2209216.6640825416</c:v>
                </c:pt>
                <c:pt idx="35">
                  <c:v>2298594.3661999051</c:v>
                </c:pt>
                <c:pt idx="36">
                  <c:v>2391319.7123780013</c:v>
                </c:pt>
                <c:pt idx="37">
                  <c:v>2487512.6840875028</c:v>
                </c:pt>
                <c:pt idx="38">
                  <c:v>2587297.4454018837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90-4A13-8EB4-B9316B847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419840"/>
        <c:axId val="309420320"/>
      </c:lineChart>
      <c:catAx>
        <c:axId val="3094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420320"/>
        <c:crosses val="autoZero"/>
        <c:auto val="1"/>
        <c:lblAlgn val="ctr"/>
        <c:lblOffset val="100"/>
        <c:noMultiLvlLbl val="0"/>
      </c:catAx>
      <c:valAx>
        <c:axId val="30942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4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'Frank and Bill'!$R$21</c:f>
          <c:strCache>
            <c:ptCount val="1"/>
          </c:strCache>
        </c:strRef>
      </c:tx>
      <c:layout>
        <c:manualLayout>
          <c:xMode val="edge"/>
          <c:yMode val="edge"/>
          <c:x val="9.6402479855826118E-2"/>
          <c:y val="3.80443553747200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84678892740822"/>
          <c:y val="0.17162759818420584"/>
          <c:w val="0.77613756184605398"/>
          <c:h val="0.60489326798391507"/>
        </c:manualLayout>
      </c:layout>
      <c:lineChart>
        <c:grouping val="standard"/>
        <c:varyColors val="0"/>
        <c:ser>
          <c:idx val="0"/>
          <c:order val="0"/>
          <c:tx>
            <c:v>Franks 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'Frank and Bill'!$M$25:$M$63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'Frank and Bill'!$N$25:$N$63</c:f>
              <c:numCache>
                <c:formatCode>"$"#,##0.00_);[Red]\("$"#,##0.00\)</c:formatCode>
                <c:ptCount val="39"/>
                <c:pt idx="0">
                  <c:v>258150</c:v>
                </c:pt>
                <c:pt idx="1">
                  <c:v>266566.51</c:v>
                </c:pt>
                <c:pt idx="2">
                  <c:v>275257.418726</c:v>
                </c:pt>
                <c:pt idx="3">
                  <c:v>284231.67208896758</c:v>
                </c:pt>
                <c:pt idx="4">
                  <c:v>293498.50764938036</c:v>
                </c:pt>
                <c:pt idx="5">
                  <c:v>303067.46412532049</c:v>
                </c:pt>
                <c:pt idx="6">
                  <c:v>312948.39121054049</c:v>
                </c:pt>
                <c:pt idx="7">
                  <c:v>323151.45971260703</c:v>
                </c:pt>
                <c:pt idx="8">
                  <c:v>333687.17202155601</c:v>
                </c:pt>
                <c:pt idx="9">
                  <c:v>344566.37291983468</c:v>
                </c:pt>
                <c:pt idx="10">
                  <c:v>355800.26074465661</c:v>
                </c:pt>
                <c:pt idx="11">
                  <c:v>367400.39891425864</c:v>
                </c:pt>
                <c:pt idx="12">
                  <c:v>379378.72782992286</c:v>
                </c:pt>
                <c:pt idx="13">
                  <c:v>391747.57716601418</c:v>
                </c:pt>
                <c:pt idx="14">
                  <c:v>404519.67856068304</c:v>
                </c:pt>
                <c:pt idx="15">
                  <c:v>417708.1787202945</c:v>
                </c:pt>
                <c:pt idx="16">
                  <c:v>431326.65295107261</c:v>
                </c:pt>
                <c:pt idx="17">
                  <c:v>445389.11913188652</c:v>
                </c:pt>
                <c:pt idx="18">
                  <c:v>459910.05214256013</c:v>
                </c:pt>
                <c:pt idx="19">
                  <c:v>474904.39876255608</c:v>
                </c:pt>
                <c:pt idx="20">
                  <c:v>490387.59305536764</c:v>
                </c:pt>
                <c:pt idx="21">
                  <c:v>506375.57225445361</c:v>
                </c:pt>
                <c:pt idx="22">
                  <c:v>522884.79316706682</c:v>
                </c:pt>
                <c:pt idx="23">
                  <c:v>539932.24911285925</c:v>
                </c:pt>
                <c:pt idx="24">
                  <c:v>557535.48741469812</c:v>
                </c:pt>
                <c:pt idx="25">
                  <c:v>575712.62745969603</c:v>
                </c:pt>
                <c:pt idx="26">
                  <c:v>594482.37934904266</c:v>
                </c:pt>
                <c:pt idx="27">
                  <c:v>613864.06315583608</c:v>
                </c:pt>
                <c:pt idx="28">
                  <c:v>633877.62881073134</c:v>
                </c:pt>
                <c:pt idx="29">
                  <c:v>654543.67663587653</c:v>
                </c:pt>
                <c:pt idx="30">
                  <c:v>675883.47854826937</c:v>
                </c:pt>
                <c:pt idx="31">
                  <c:v>697918.99995435774</c:v>
                </c:pt>
                <c:pt idx="32">
                  <c:v>720672.92235841998</c:v>
                </c:pt>
                <c:pt idx="33">
                  <c:v>744168.66670799349</c:v>
                </c:pt>
                <c:pt idx="34">
                  <c:v>768430.41750038031</c:v>
                </c:pt>
                <c:pt idx="35">
                  <c:v>793483.14767504157</c:v>
                </c:pt>
                <c:pt idx="36">
                  <c:v>819352.64431750053</c:v>
                </c:pt>
                <c:pt idx="37">
                  <c:v>846065.53520120995</c:v>
                </c:pt>
                <c:pt idx="38">
                  <c:v>873649.31619470229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5A-43D7-A5C8-235710CD3336}"/>
            </c:ext>
          </c:extLst>
        </c:ser>
        <c:ser>
          <c:idx val="1"/>
          <c:order val="1"/>
          <c:tx>
            <c:v>Bills 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'Frank and Bill'!$M$25:$M$63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'Frank and Bill'!$O$25:$O$63</c:f>
              <c:numCache>
                <c:formatCode>"$"#,##0.00_);[Red]\("$"#,##0.00\)</c:formatCode>
                <c:ptCount val="39"/>
                <c:pt idx="0">
                  <c:v>234446</c:v>
                </c:pt>
                <c:pt idx="1">
                  <c:v>217792.33959999998</c:v>
                </c:pt>
                <c:pt idx="2">
                  <c:v>199988.35487095997</c:v>
                </c:pt>
                <c:pt idx="3">
                  <c:v>180981.35986475326</c:v>
                </c:pt>
                <c:pt idx="4">
                  <c:v>160716.57143696921</c:v>
                </c:pt>
                <c:pt idx="5">
                  <c:v>139137.03138745503</c:v>
                </c:pt>
                <c:pt idx="6">
                  <c:v>116183.52582536772</c:v>
                </c:pt>
                <c:pt idx="7">
                  <c:v>91794.501662323397</c:v>
                </c:pt>
                <c:pt idx="8">
                  <c:v>107897.34013394006</c:v>
                </c:pt>
                <c:pt idx="9">
                  <c:v>124852.88958266703</c:v>
                </c:pt>
                <c:pt idx="10">
                  <c:v>142697.14234743154</c:v>
                </c:pt>
                <c:pt idx="11">
                  <c:v>161467.46896643657</c:v>
                </c:pt>
                <c:pt idx="12">
                  <c:v>181202.66822768314</c:v>
                </c:pt>
                <c:pt idx="13">
                  <c:v>201943.01897916989</c:v>
                </c:pt>
                <c:pt idx="14">
                  <c:v>223730.33375933667</c:v>
                </c:pt>
                <c:pt idx="15">
                  <c:v>246608.01431037305</c:v>
                </c:pt>
                <c:pt idx="16">
                  <c:v>270621.10903913528</c:v>
                </c:pt>
                <c:pt idx="17">
                  <c:v>295816.37249261129</c:v>
                </c:pt>
                <c:pt idx="18">
                  <c:v>322242.32691714057</c:v>
                </c:pt>
                <c:pt idx="19">
                  <c:v>349949.3259729413</c:v>
                </c:pt>
                <c:pt idx="20">
                  <c:v>378989.62067791866</c:v>
                </c:pt>
                <c:pt idx="21">
                  <c:v>409417.42765723477</c:v>
                </c:pt>
                <c:pt idx="22">
                  <c:v>441288.99977770698</c:v>
                </c:pt>
                <c:pt idx="23">
                  <c:v>474662.6992487777</c:v>
                </c:pt>
                <c:pt idx="24">
                  <c:v>509599.07327456324</c:v>
                </c:pt>
                <c:pt idx="25">
                  <c:v>546160.93234434631</c:v>
                </c:pt>
                <c:pt idx="26">
                  <c:v>584413.43125183019</c:v>
                </c:pt>
                <c:pt idx="27">
                  <c:v>624424.15293652448</c:v>
                </c:pt>
                <c:pt idx="28">
                  <c:v>666263.1952437869</c:v>
                </c:pt>
                <c:pt idx="29">
                  <c:v>710003.26070330432</c:v>
                </c:pt>
                <c:pt idx="30">
                  <c:v>755719.7494291662</c:v>
                </c:pt>
                <c:pt idx="31">
                  <c:v>803490.85524816462</c:v>
                </c:pt>
                <c:pt idx="32">
                  <c:v>853397.66516655253</c:v>
                </c:pt>
                <c:pt idx="33">
                  <c:v>905524.26228921232</c:v>
                </c:pt>
                <c:pt idx="34">
                  <c:v>959957.83230902662</c:v>
                </c:pt>
                <c:pt idx="35">
                  <c:v>1016788.7736882165</c:v>
                </c:pt>
                <c:pt idx="36">
                  <c:v>1076110.8116575158</c:v>
                </c:pt>
                <c:pt idx="37">
                  <c:v>1138021.1161632908</c:v>
                </c:pt>
                <c:pt idx="38">
                  <c:v>1202620.4238970976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A-43D7-A5C8-235710CD3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587136"/>
        <c:axId val="940579936"/>
      </c:lineChart>
      <c:catAx>
        <c:axId val="94058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79936"/>
        <c:crosses val="autoZero"/>
        <c:auto val="1"/>
        <c:lblAlgn val="ctr"/>
        <c:lblOffset val="100"/>
        <c:noMultiLvlLbl val="0"/>
      </c:catAx>
      <c:valAx>
        <c:axId val="9405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8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'Frank and Bill'!$X$76</c:f>
          <c:strCache>
            <c:ptCount val="1"/>
            <c:pt idx="0">
              <c:v>Compare Saving of Married Frank and Bill at rate of return of 3.26% and Cola of 2.5% Yearly Expenses = $23704</c:v>
            </c:pt>
          </c:strCache>
        </c:strRef>
      </c:tx>
      <c:layout>
        <c:manualLayout>
          <c:xMode val="edge"/>
          <c:yMode val="edge"/>
          <c:x val="0.12119779161447015"/>
          <c:y val="2.16336817687304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Frank and spouse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'Frank and Bill'!$A$76:$A$114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'Frank and Bill'!$H$76:$H$114</c:f>
              <c:numCache>
                <c:formatCode>"$"#,##0.00</c:formatCode>
                <c:ptCount val="39"/>
                <c:pt idx="0">
                  <c:v>284160.8</c:v>
                </c:pt>
                <c:pt idx="1">
                  <c:v>320085.51207999996</c:v>
                </c:pt>
                <c:pt idx="2">
                  <c:v>357847.8965238079</c:v>
                </c:pt>
                <c:pt idx="3">
                  <c:v>397524.52461923403</c:v>
                </c:pt>
                <c:pt idx="4">
                  <c:v>439194.88045728975</c:v>
                </c:pt>
                <c:pt idx="5">
                  <c:v>482941.4663040528</c:v>
                </c:pt>
                <c:pt idx="6">
                  <c:v>528849.91166801669</c:v>
                </c:pt>
                <c:pt idx="7">
                  <c:v>577009.08618990704</c:v>
                </c:pt>
                <c:pt idx="8">
                  <c:v>627511.21648624889</c:v>
                </c:pt>
                <c:pt idx="9">
                  <c:v>680452.00708241528</c:v>
                </c:pt>
                <c:pt idx="10">
                  <c:v>735930.76557548461</c:v>
                </c:pt>
                <c:pt idx="11">
                  <c:v>794050.53217198257</c:v>
                </c:pt>
                <c:pt idx="12">
                  <c:v>854918.21375049476</c:v>
                </c:pt>
                <c:pt idx="13">
                  <c:v>918644.72260420909</c:v>
                </c:pt>
                <c:pt idx="14">
                  <c:v>985345.12002369075</c:v>
                </c:pt>
                <c:pt idx="15">
                  <c:v>1055138.7648856121</c:v>
                </c:pt>
                <c:pt idx="16">
                  <c:v>1128149.4674187608</c:v>
                </c:pt>
                <c:pt idx="17">
                  <c:v>1204505.648324437</c:v>
                </c:pt>
                <c:pt idx="18">
                  <c:v>1284340.503434334</c:v>
                </c:pt>
                <c:pt idx="19">
                  <c:v>1367792.1740951764</c:v>
                </c:pt>
                <c:pt idx="20">
                  <c:v>1455003.9234757845</c:v>
                </c:pt>
                <c:pt idx="21">
                  <c:v>1546124.3189988281</c:v>
                </c:pt>
                <c:pt idx="22">
                  <c:v>1641307.4211063662</c:v>
                </c:pt>
                <c:pt idx="23">
                  <c:v>1740712.9785753144</c:v>
                </c:pt>
                <c:pt idx="24">
                  <c:v>1844506.6306062723</c:v>
                </c:pt>
                <c:pt idx="25">
                  <c:v>1952860.1159166745</c:v>
                </c:pt>
                <c:pt idx="26">
                  <c:v>2065951.4890770118</c:v>
                </c:pt>
                <c:pt idx="27">
                  <c:v>2183965.3443369125</c:v>
                </c:pt>
                <c:pt idx="28">
                  <c:v>2307093.0471961857</c:v>
                </c:pt>
                <c:pt idx="29">
                  <c:v>2435532.9739845181</c:v>
                </c:pt>
                <c:pt idx="30">
                  <c:v>2569490.7597223939</c:v>
                </c:pt>
                <c:pt idx="31">
                  <c:v>2709179.5545449737</c:v>
                </c:pt>
                <c:pt idx="32">
                  <c:v>2854820.2889801608</c:v>
                </c:pt>
                <c:pt idx="33">
                  <c:v>3006641.9483818603</c:v>
                </c:pt>
                <c:pt idx="34">
                  <c:v>3164881.8568295785</c:v>
                </c:pt>
                <c:pt idx="35">
                  <c:v>3329785.9708159543</c:v>
                </c:pt>
                <c:pt idx="36">
                  <c:v>3501609.1830546292</c:v>
                </c:pt>
                <c:pt idx="37">
                  <c:v>3680615.6367520369</c:v>
                </c:pt>
                <c:pt idx="38">
                  <c:v>3867079.0506982259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3-4675-905D-313936A35BD7}"/>
            </c:ext>
          </c:extLst>
        </c:ser>
        <c:ser>
          <c:idx val="1"/>
          <c:order val="1"/>
          <c:tx>
            <c:v>Bill and spouse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'Frank and Bill'!$A$76:$A$114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'Frank and Bill'!$Q$76:$Q$114</c:f>
              <c:numCache>
                <c:formatCode>"$"#,##0.00</c:formatCode>
                <c:ptCount val="39"/>
                <c:pt idx="0">
                  <c:v>262761.2</c:v>
                </c:pt>
                <c:pt idx="1">
                  <c:v>273690.86512000003</c:v>
                </c:pt>
                <c:pt idx="2">
                  <c:v>285035.92857291206</c:v>
                </c:pt>
                <c:pt idx="3">
                  <c:v>296811.40962563897</c:v>
                </c:pt>
                <c:pt idx="4">
                  <c:v>309032.85410521604</c:v>
                </c:pt>
                <c:pt idx="5">
                  <c:v>321716.35248797189</c:v>
                </c:pt>
                <c:pt idx="6">
                  <c:v>334878.5586014787</c:v>
                </c:pt>
                <c:pt idx="7">
                  <c:v>348536.70895984577</c:v>
                </c:pt>
                <c:pt idx="8">
                  <c:v>404700.0027535946</c:v>
                </c:pt>
                <c:pt idx="9">
                  <c:v>463814.24485206109</c:v>
                </c:pt>
                <c:pt idx="10">
                  <c:v>526003.63679315499</c:v>
                </c:pt>
                <c:pt idx="11">
                  <c:v>591397.12910050154</c:v>
                </c:pt>
                <c:pt idx="12">
                  <c:v>660128.59360076475</c:v>
                </c:pt>
                <c:pt idx="13">
                  <c:v>732337.00179602625</c:v>
                </c:pt>
                <c:pt idx="14">
                  <c:v>808166.60949955019</c:v>
                </c:pt>
                <c:pt idx="15">
                  <c:v>887767.14795033343</c:v>
                </c:pt>
                <c:pt idx="16">
                  <c:v>971294.02162913955</c:v>
                </c:pt>
                <c:pt idx="17">
                  <c:v>1058908.5130062655</c:v>
                </c:pt>
                <c:pt idx="18">
                  <c:v>1150777.9944590859</c:v>
                </c:pt>
                <c:pt idx="19">
                  <c:v>1247076.1476054888</c:v>
                </c:pt>
                <c:pt idx="20">
                  <c:v>1347983.1903076402</c:v>
                </c:pt>
                <c:pt idx="21">
                  <c:v>1453686.1116091372</c:v>
                </c:pt>
                <c:pt idx="22">
                  <c:v>1564378.9148774997</c:v>
                </c:pt>
                <c:pt idx="23">
                  <c:v>1680262.8694331583</c:v>
                </c:pt>
                <c:pt idx="24">
                  <c:v>1801546.7709555977</c:v>
                </c:pt>
                <c:pt idx="25">
                  <c:v>1928447.2109671417</c:v>
                </c:pt>
                <c:pt idx="26">
                  <c:v>2061188.8557050219</c:v>
                </c:pt>
                <c:pt idx="27">
                  <c:v>2200004.7347028656</c:v>
                </c:pt>
                <c:pt idx="28">
                  <c:v>2345136.5394135853</c:v>
                </c:pt>
                <c:pt idx="29">
                  <c:v>2496834.9322168599</c:v>
                </c:pt>
                <c:pt idx="30">
                  <c:v>2655359.8661659812</c:v>
                </c:pt>
                <c:pt idx="31">
                  <c:v>2820980.9158408148</c:v>
                </c:pt>
                <c:pt idx="32">
                  <c:v>2993977.619685994</c:v>
                </c:pt>
                <c:pt idx="33">
                  <c:v>3174639.8342262446</c:v>
                </c:pt>
                <c:pt idx="34">
                  <c:v>3363268.1005639695</c:v>
                </c:pt>
                <c:pt idx="35">
                  <c:v>3560174.0235778531</c:v>
                </c:pt>
                <c:pt idx="36">
                  <c:v>3765680.6642553769</c:v>
                </c:pt>
                <c:pt idx="37">
                  <c:v>3980122.9456067099</c:v>
                </c:pt>
                <c:pt idx="38">
                  <c:v>4203848.0726225115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03-4675-905D-313936A35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521967"/>
        <c:axId val="72517647"/>
      </c:lineChart>
      <c:catAx>
        <c:axId val="7252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17647"/>
        <c:crosses val="autoZero"/>
        <c:auto val="1"/>
        <c:lblAlgn val="ctr"/>
        <c:lblOffset val="100"/>
        <c:noMultiLvlLbl val="0"/>
      </c:catAx>
      <c:valAx>
        <c:axId val="7251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2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'Frank and Bill'!$Y$137</c:f>
          <c:strCache>
            <c:ptCount val="1"/>
            <c:pt idx="0">
              <c:v>Compare Saving of Married Frank and Bill at rate of return of 3.26% and Cola of 2.5% Yearly Expenses = $23704 Frank and Bill pass at age 80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Frank's household savings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'Frank and Bill'!$A$125:$A$163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'Frank and Bill'!$I$125:$I$163</c:f>
              <c:numCache>
                <c:formatCode>"$"#,##0.00</c:formatCode>
                <c:ptCount val="39"/>
                <c:pt idx="0">
                  <c:v>284160.8</c:v>
                </c:pt>
                <c:pt idx="1">
                  <c:v>320085.51207999996</c:v>
                </c:pt>
                <c:pt idx="2">
                  <c:v>357847.8965238079</c:v>
                </c:pt>
                <c:pt idx="3">
                  <c:v>397524.52461923403</c:v>
                </c:pt>
                <c:pt idx="4">
                  <c:v>439194.88045728975</c:v>
                </c:pt>
                <c:pt idx="5">
                  <c:v>482941.4663040528</c:v>
                </c:pt>
                <c:pt idx="6">
                  <c:v>528849.91166801669</c:v>
                </c:pt>
                <c:pt idx="7">
                  <c:v>577009.08618990704</c:v>
                </c:pt>
                <c:pt idx="8">
                  <c:v>627511.21648624889</c:v>
                </c:pt>
                <c:pt idx="9">
                  <c:v>680452.00708241528</c:v>
                </c:pt>
                <c:pt idx="10">
                  <c:v>735930.76557548461</c:v>
                </c:pt>
                <c:pt idx="11">
                  <c:v>794050.53217198257</c:v>
                </c:pt>
                <c:pt idx="12">
                  <c:v>854918.21375049476</c:v>
                </c:pt>
                <c:pt idx="13">
                  <c:v>918644.72260420909</c:v>
                </c:pt>
                <c:pt idx="14">
                  <c:v>985345.12002369075</c:v>
                </c:pt>
                <c:pt idx="15">
                  <c:v>1055138.7648856121</c:v>
                </c:pt>
                <c:pt idx="16">
                  <c:v>1128149.4674187608</c:v>
                </c:pt>
                <c:pt idx="17">
                  <c:v>1204505.648324437</c:v>
                </c:pt>
                <c:pt idx="18">
                  <c:v>1284340.503434334</c:v>
                </c:pt>
                <c:pt idx="19">
                  <c:v>1329896.4911744001</c:v>
                </c:pt>
                <c:pt idx="20">
                  <c:v>1377029.7662979951</c:v>
                </c:pt>
                <c:pt idx="21">
                  <c:v>1425794.052428402</c:v>
                </c:pt>
                <c:pt idx="22">
                  <c:v>1476244.8821803876</c:v>
                </c:pt>
                <c:pt idx="23">
                  <c:v>1528439.6575733584</c:v>
                </c:pt>
                <c:pt idx="24">
                  <c:v>1582437.7124499872</c:v>
                </c:pt>
                <c:pt idx="25">
                  <c:v>1638300.3769665875</c:v>
                </c:pt>
                <c:pt idx="26">
                  <c:v>1696091.0442236974</c:v>
                </c:pt>
                <c:pt idx="27">
                  <c:v>1755875.239107589</c:v>
                </c:pt>
                <c:pt idx="28">
                  <c:v>1817720.6894157503</c:v>
                </c:pt>
                <c:pt idx="29">
                  <c:v>1881697.3993417893</c:v>
                </c:pt>
                <c:pt idx="30">
                  <c:v>1947877.7253976942</c:v>
                </c:pt>
                <c:pt idx="31">
                  <c:v>2016336.4548539557</c:v>
                </c:pt>
                <c:pt idx="32">
                  <c:v>2087150.8867806986</c:v>
                </c:pt>
                <c:pt idx="33">
                  <c:v>2160400.9157757158</c:v>
                </c:pt>
                <c:pt idx="34">
                  <c:v>2236169.1184681202</c:v>
                </c:pt>
                <c:pt idx="35">
                  <c:v>2314540.8428892498</c:v>
                </c:pt>
                <c:pt idx="36">
                  <c:v>2395604.3008054849</c:v>
                </c:pt>
                <c:pt idx="37">
                  <c:v>2479450.6631107405</c:v>
                </c:pt>
                <c:pt idx="38">
                  <c:v>2566174.1583796223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B0-4DDE-988A-474E1C899FFC}"/>
            </c:ext>
          </c:extLst>
        </c:ser>
        <c:ser>
          <c:idx val="1"/>
          <c:order val="1"/>
          <c:tx>
            <c:v>Bill's Household savings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'Frank and Bill'!$A$125:$A$163</c:f>
              <c:numCache>
                <c:formatCode>General</c:formatCode>
                <c:ptCount val="39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</c:numCache>
            </c:numRef>
          </c:cat>
          <c:val>
            <c:numRef>
              <c:f>'Frank and Bill'!$S$125:$S$163</c:f>
              <c:numCache>
                <c:formatCode>"$"#,##0.00</c:formatCode>
                <c:ptCount val="39"/>
                <c:pt idx="0">
                  <c:v>262761.2</c:v>
                </c:pt>
                <c:pt idx="1">
                  <c:v>273690.86512000003</c:v>
                </c:pt>
                <c:pt idx="2">
                  <c:v>285035.92857291206</c:v>
                </c:pt>
                <c:pt idx="3">
                  <c:v>296811.40962563897</c:v>
                </c:pt>
                <c:pt idx="4">
                  <c:v>309032.85410521604</c:v>
                </c:pt>
                <c:pt idx="5">
                  <c:v>321716.35248797189</c:v>
                </c:pt>
                <c:pt idx="6">
                  <c:v>334878.5586014787</c:v>
                </c:pt>
                <c:pt idx="7">
                  <c:v>348536.70895984577</c:v>
                </c:pt>
                <c:pt idx="8">
                  <c:v>404700.0027535946</c:v>
                </c:pt>
                <c:pt idx="9">
                  <c:v>463814.24485206109</c:v>
                </c:pt>
                <c:pt idx="10">
                  <c:v>526003.63679315499</c:v>
                </c:pt>
                <c:pt idx="11">
                  <c:v>591397.12910050154</c:v>
                </c:pt>
                <c:pt idx="12">
                  <c:v>660128.59360076475</c:v>
                </c:pt>
                <c:pt idx="13">
                  <c:v>732337.00179602625</c:v>
                </c:pt>
                <c:pt idx="14">
                  <c:v>808166.60949955019</c:v>
                </c:pt>
                <c:pt idx="15">
                  <c:v>887767.14795033343</c:v>
                </c:pt>
                <c:pt idx="16">
                  <c:v>971294.02162913955</c:v>
                </c:pt>
                <c:pt idx="17">
                  <c:v>1058908.5130062655</c:v>
                </c:pt>
                <c:pt idx="18">
                  <c:v>1150777.9944590859</c:v>
                </c:pt>
                <c:pt idx="19">
                  <c:v>1199985.6259568611</c:v>
                </c:pt>
                <c:pt idx="20">
                  <c:v>1251089.7329634239</c:v>
                </c:pt>
                <c:pt idx="21">
                  <c:v>1304159.4482484099</c:v>
                </c:pt>
                <c:pt idx="22">
                  <c:v>1359266.3410014459</c:v>
                </c:pt>
                <c:pt idx="23">
                  <c:v>1416484.5008267344</c:v>
                </c:pt>
                <c:pt idx="24">
                  <c:v>1475890.624590043</c:v>
                </c:pt>
                <c:pt idx="25">
                  <c:v>1537564.1062139445</c:v>
                </c:pt>
                <c:pt idx="26">
                  <c:v>1601587.129520342</c:v>
                </c:pt>
                <c:pt idx="27">
                  <c:v>1668044.7642226235</c:v>
                </c:pt>
                <c:pt idx="28">
                  <c:v>1737025.0651731975</c:v>
                </c:pt>
                <c:pt idx="29">
                  <c:v>1808619.174975683</c:v>
                </c:pt>
                <c:pt idx="30">
                  <c:v>1882921.4300746755</c:v>
                </c:pt>
                <c:pt idx="31">
                  <c:v>1960029.4704397649</c:v>
                </c:pt>
                <c:pt idx="32">
                  <c:v>2040044.3529643724</c:v>
                </c:pt>
                <c:pt idx="33">
                  <c:v>2123070.6687039891</c:v>
                </c:pt>
                <c:pt idx="34">
                  <c:v>2209216.6640825416</c:v>
                </c:pt>
                <c:pt idx="35">
                  <c:v>2298594.3661999051</c:v>
                </c:pt>
                <c:pt idx="36">
                  <c:v>2391319.7123780013</c:v>
                </c:pt>
                <c:pt idx="37">
                  <c:v>2487512.6840875028</c:v>
                </c:pt>
                <c:pt idx="38">
                  <c:v>2587297.4454018837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B0-4DDE-988A-474E1C899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53295"/>
        <c:axId val="35173455"/>
      </c:lineChart>
      <c:catAx>
        <c:axId val="35153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73455"/>
        <c:crosses val="autoZero"/>
        <c:auto val="1"/>
        <c:lblAlgn val="ctr"/>
        <c:lblOffset val="100"/>
        <c:noMultiLvlLbl val="0"/>
      </c:catAx>
      <c:valAx>
        <c:axId val="3517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5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1202871</xdr:colOff>
      <xdr:row>146</xdr:row>
      <xdr:rowOff>105228</xdr:rowOff>
    </xdr:from>
    <xdr:to>
      <xdr:col>5</xdr:col>
      <xdr:colOff>550333</xdr:colOff>
      <xdr:row>150</xdr:row>
      <xdr:rowOff>114905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A29996-7BEE-9FE9-5500-48C94FB5EFDD}"/>
            </a:ext>
          </a:extLst>
        </xdr:cNvPr>
        <xdr:cNvSpPr txBox="1"/>
      </xdr:nvSpPr>
      <xdr:spPr>
        <a:xfrm>
          <a:off x="2285395" y="27319514"/>
          <a:ext cx="3979938" cy="7353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benefits</a:t>
          </a:r>
          <a:r>
            <a:rPr lang="en-US" sz="1100" baseline="0"/>
            <a:t> paid before 70 are compunded with the rate of return.  This then is compounded for the life separtate from the benefits ( after 69). The separate total of benefits after 69 is kept and they are added to gether for the running total </a:t>
          </a:r>
          <a:endParaRPr lang="en-US" sz="1100"/>
        </a:p>
      </xdr:txBody>
    </xdr:sp>
    <xdr:clientData/>
  </xdr:twoCellAnchor>
  <xdr:twoCellAnchor>
    <xdr:from>
      <xdr:col>4</xdr:col>
      <xdr:colOff>488885</xdr:colOff>
      <xdr:row>27</xdr:row>
      <xdr:rowOff>82368</xdr:rowOff>
    </xdr:from>
    <xdr:to>
      <xdr:col>11</xdr:col>
      <xdr:colOff>312821</xdr:colOff>
      <xdr:row>51</xdr:row>
      <xdr:rowOff>128337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5103F5-5BFF-8FFE-7CFB-1BFF30315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353930</xdr:colOff>
      <xdr:row>105</xdr:row>
      <xdr:rowOff>40103</xdr:rowOff>
    </xdr:from>
    <xdr:to>
      <xdr:col>24</xdr:col>
      <xdr:colOff>489284</xdr:colOff>
      <xdr:row>129</xdr:row>
      <xdr:rowOff>160421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6BD2E2-E93C-26DB-AFAD-0584D3A8F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969306</xdr:colOff>
      <xdr:row>152</xdr:row>
      <xdr:rowOff>40342</xdr:rowOff>
    </xdr:from>
    <xdr:to>
      <xdr:col>19</xdr:col>
      <xdr:colOff>201705</xdr:colOff>
      <xdr:row>190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DECA7C-FEA8-5933-D443-5678DCF9F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40105</xdr:colOff>
      <xdr:row>70</xdr:row>
      <xdr:rowOff>147387</xdr:rowOff>
    </xdr:from>
    <xdr:to>
      <xdr:col>19</xdr:col>
      <xdr:colOff>0</xdr:colOff>
      <xdr:row>96</xdr:row>
      <xdr:rowOff>90237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F041E7-3030-DB46-D388-D24CA9CB6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100263</xdr:colOff>
      <xdr:row>1</xdr:row>
      <xdr:rowOff>180474</xdr:rowOff>
    </xdr:from>
    <xdr:to>
      <xdr:col>7</xdr:col>
      <xdr:colOff>861515</xdr:colOff>
      <xdr:row>5</xdr:row>
      <xdr:rowOff>14689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6AE5F66-09AD-41F0-AE9D-713596819DAD}"/>
            </a:ext>
          </a:extLst>
        </xdr:cNvPr>
        <xdr:cNvSpPr txBox="1"/>
      </xdr:nvSpPr>
      <xdr:spPr>
        <a:xfrm>
          <a:off x="5975684" y="370974"/>
          <a:ext cx="2696331" cy="997268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Average montly SS payment in 2025 was about $1976. FRA of $2822  makes benefit at 62 equal $1975.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965200</xdr:colOff>
      <xdr:row>48</xdr:row>
      <xdr:rowOff>38100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1D077E-038E-EE57-116B-146F3C0CA091}"/>
            </a:ext>
          </a:extLst>
        </xdr:cNvPr>
        <xdr:cNvSpPr txBox="1"/>
      </xdr:nvSpPr>
      <xdr:spPr>
        <a:xfrm>
          <a:off x="2559050" y="923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158750</xdr:colOff>
      <xdr:row>49</xdr:row>
      <xdr:rowOff>107950</xdr:rowOff>
    </xdr:from>
    <xdr:to>
      <xdr:col>7</xdr:col>
      <xdr:colOff>88900</xdr:colOff>
      <xdr:row>53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FA2444-7626-A12D-DA8C-AEA39DF80CED}"/>
            </a:ext>
          </a:extLst>
        </xdr:cNvPr>
        <xdr:cNvSpPr txBox="1"/>
      </xdr:nvSpPr>
      <xdr:spPr>
        <a:xfrm>
          <a:off x="2774950" y="9493250"/>
          <a:ext cx="3524250" cy="70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Survior benefits,</a:t>
          </a:r>
        </a:p>
        <a:p>
          <a:pPr algn="ctr"/>
          <a:r>
            <a:rPr lang="en-US" sz="1100" b="1"/>
            <a:t> The</a:t>
          </a:r>
          <a:r>
            <a:rPr lang="en-US" sz="1100" b="1" baseline="0"/>
            <a:t> l</a:t>
          </a:r>
          <a:r>
            <a:rPr lang="en-US" sz="1100" b="1"/>
            <a:t>ower income spouse</a:t>
          </a:r>
          <a:r>
            <a:rPr lang="en-US" sz="1100" b="1" baseline="0"/>
            <a:t> takes at 65.</a:t>
          </a:r>
        </a:p>
        <a:p>
          <a:pPr algn="ctr"/>
          <a:r>
            <a:rPr lang="en-US" sz="1100" b="1" baseline="0"/>
            <a:t>What should the higher income spouse do?</a:t>
          </a:r>
        </a:p>
        <a:p>
          <a:pPr algn="ctr"/>
          <a:r>
            <a:rPr lang="en-US" sz="1100" b="1" baseline="0"/>
            <a:t>Take at 62, 67 or 70</a:t>
          </a:r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65</xdr:row>
      <xdr:rowOff>49530</xdr:rowOff>
    </xdr:from>
    <xdr:to>
      <xdr:col>8</xdr:col>
      <xdr:colOff>824726</xdr:colOff>
      <xdr:row>70</xdr:row>
      <xdr:rowOff>162622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93234D-27DC-A2E6-FDEE-FB193CEB0295}"/>
            </a:ext>
          </a:extLst>
        </xdr:cNvPr>
        <xdr:cNvSpPr txBox="1"/>
      </xdr:nvSpPr>
      <xdr:spPr>
        <a:xfrm>
          <a:off x="2457450" y="13198676"/>
          <a:ext cx="6149898" cy="10423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Frank</a:t>
          </a:r>
          <a:r>
            <a:rPr lang="en-US" sz="1400" b="1" baseline="0"/>
            <a:t> and Bill are mairred.  Their wifes are both the same age,65 at the age they (Bill and Frank)  are 62. Their wifes take early SS benefits at 65.</a:t>
          </a:r>
          <a:endParaRPr lang="en-US" sz="1400" b="1"/>
        </a:p>
      </xdr:txBody>
    </xdr:sp>
    <xdr:clientData/>
  </xdr:twoCellAnchor>
  <xdr:twoCellAnchor>
    <xdr:from>
      <xdr:col>2</xdr:col>
      <xdr:colOff>750570</xdr:colOff>
      <xdr:row>116</xdr:row>
      <xdr:rowOff>80010</xdr:rowOff>
    </xdr:from>
    <xdr:to>
      <xdr:col>5</xdr:col>
      <xdr:colOff>746760</xdr:colOff>
      <xdr:row>121</xdr:row>
      <xdr:rowOff>80010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F2AA65B-A8A0-5237-21CE-DAE7DAD67B91}"/>
            </a:ext>
          </a:extLst>
        </xdr:cNvPr>
        <xdr:cNvSpPr txBox="1"/>
      </xdr:nvSpPr>
      <xdr:spPr>
        <a:xfrm>
          <a:off x="2708910" y="22475190"/>
          <a:ext cx="270891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Sadly Frank and Bill passed on too soon.</a:t>
          </a:r>
        </a:p>
        <a:p>
          <a:r>
            <a:rPr lang="en-US" sz="1100" baseline="0"/>
            <a:t>Select the age at the top. Their spouses started their SS benifits at 65 so they will recieve 90% of Frank or Bills Benefit.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210</xdr:row>
      <xdr:rowOff>34708</xdr:rowOff>
    </xdr:from>
    <xdr:to>
      <xdr:col>9</xdr:col>
      <xdr:colOff>0</xdr:colOff>
      <xdr:row>243</xdr:row>
      <xdr:rowOff>129152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B157C9-6C8C-7E57-7B33-4ABF4EA47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750190</xdr:colOff>
      <xdr:row>5</xdr:row>
      <xdr:rowOff>135762</xdr:rowOff>
    </xdr:from>
    <xdr:to>
      <xdr:col>5</xdr:col>
      <xdr:colOff>807302</xdr:colOff>
      <xdr:row>8</xdr:row>
      <xdr:rowOff>180530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D9C577-D7D8-D00A-9A12-008097D1A850}"/>
            </a:ext>
          </a:extLst>
        </xdr:cNvPr>
        <xdr:cNvSpPr txBox="1"/>
      </xdr:nvSpPr>
      <xdr:spPr>
        <a:xfrm>
          <a:off x="2655190" y="1683575"/>
          <a:ext cx="2696331" cy="997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Averag</a:t>
          </a:r>
          <a:r>
            <a:rPr lang="en-US" sz="1100" b="1" baseline="0"/>
            <a:t>e montly SS payment in 2025 was about $1976. FRA of $2822  makes benefit at 62 equal $1975.</a:t>
          </a:r>
          <a:endParaRPr lang="en-US" sz="1100" b="1"/>
        </a:p>
      </xdr:txBody>
    </xdr:sp>
    <xdr:clientData/>
  </xdr:twoCellAnchor>
  <xdr:twoCellAnchor>
    <xdr:from>
      <xdr:col>15</xdr:col>
      <xdr:colOff>710890</xdr:colOff>
      <xdr:row>23</xdr:row>
      <xdr:rowOff>277851</xdr:rowOff>
    </xdr:from>
    <xdr:to>
      <xdr:col>24</xdr:col>
      <xdr:colOff>110718</xdr:colOff>
      <xdr:row>46</xdr:row>
      <xdr:rowOff>13025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DC9F60-1AB2-9D5E-2093-2A47D6CDE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502782</xdr:colOff>
      <xdr:row>81</xdr:row>
      <xdr:rowOff>97970</xdr:rowOff>
    </xdr:from>
    <xdr:to>
      <xdr:col>37</xdr:col>
      <xdr:colOff>581185</xdr:colOff>
      <xdr:row>125</xdr:row>
      <xdr:rowOff>154983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8B2BFC-C69E-869D-DC29-02A7AFFE8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215986</xdr:colOff>
      <xdr:row>138</xdr:row>
      <xdr:rowOff>117520</xdr:rowOff>
    </xdr:from>
    <xdr:to>
      <xdr:col>38</xdr:col>
      <xdr:colOff>590281</xdr:colOff>
      <xdr:row>171</xdr:row>
      <xdr:rowOff>80493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00C8DE-06D0-CDFD-FDF5-483C28DCC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BAADD4-EA81-4A60-885B-ED29FF403188}" autoFormatId="16" applyNumberFormats="0" applyBorderFormats="0" applyFontFormats="0" applyPatternFormats="0" applyAlignmentFormats="0" applyWidthHeightFormats="0">
  <queryTableRefresh nextId="7">
    <queryTableFields count="6">
      <queryTableField id="1" name="Series ID" tableColumnId="1"/>
      <queryTableField id="2" name="Year" tableColumnId="2"/>
      <queryTableField id="3" name="Period" tableColumnId="3"/>
      <queryTableField id="4" name="Label" tableColumnId="4"/>
      <queryTableField id="5" name="Value" tableColumnId="5"/>
      <queryTableField id="6" name="12-Month % Chang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C62D7EC-FFB2-4E42-B5E2-2DCAE34A529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60DF8B-1B04-4B37-9349-34C8CFF29B26}" name="Cpi_index_inflation_montly_1925_2025" displayName="Cpi_index_inflation_montly_1925_2025" ref="A1:F1210" tableType="queryTable" totalsRowShown="0">
  <autoFilter ref="A1:F1210" xr:uid="{5560DF8B-1B04-4B37-9349-34C8CFF29B26}">
    <filterColumn colId="2">
      <filters>
        <filter val="M01"/>
      </filters>
    </filterColumn>
  </autoFilter>
  <tableColumns count="6">
    <tableColumn id="1" xr3:uid="{BAB9FE29-80AE-4ADC-9918-C8868E827848}" uniqueName="1" name="Series ID" queryTableFieldId="1" dataDxfId="5"/>
    <tableColumn id="2" xr3:uid="{88FDB5AE-37FC-4785-8BC1-B5B64E39D01B}" uniqueName="2" name="Year" queryTableFieldId="2"/>
    <tableColumn id="3" xr3:uid="{BB59CD75-1FA8-4B1B-ADF3-9E9468235A20}" uniqueName="3" name="Period" queryTableFieldId="3" dataDxfId="4"/>
    <tableColumn id="4" xr3:uid="{C147958E-460D-42E8-9F1B-70C8F7C25B62}" uniqueName="4" name="Label" queryTableFieldId="4" dataDxfId="3"/>
    <tableColumn id="5" xr3:uid="{D2D0A972-5698-4D60-8B46-BD745CC5010D}" uniqueName="5" name="Value" queryTableFieldId="5"/>
    <tableColumn id="6" xr3:uid="{A4665810-387F-4809-AE9B-5B4D6ECD076C}" uniqueName="6" name="12-Month % Chang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D69DE5-2040-44E9-A9DA-415322DA561E}" name="s_p_returns" displayName="s_p_returns" ref="B2:C101" tableType="queryTable" totalsRowShown="0">
  <autoFilter ref="B2:C101" xr:uid="{71D69DE5-2040-44E9-A9DA-415322DA561E}"/>
  <tableColumns count="2">
    <tableColumn id="1" xr3:uid="{1E47CAFA-ABC7-4C94-B086-1D0A97E18AA6}" uniqueName="1" name="Column1" queryTableFieldId="1"/>
    <tableColumn id="2" xr3:uid="{3EB9DF86-F0C0-40A6-815E-DF98916F7409}" uniqueName="2" name="Column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ls.gov/oes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BEDC-8FD4-4979-9DFD-E365123978DC}">
  <dimension ref="A2:N204"/>
  <sheetViews>
    <sheetView tabSelected="1" topLeftCell="A186" zoomScale="95" zoomScaleNormal="95" workbookViewId="0">
      <selection activeCell="B195" sqref="B195:D204"/>
    </sheetView>
  </sheetViews>
  <sheetFormatPr defaultRowHeight="15"/>
  <cols>
    <col min="1" max="1" width="15.7109375" customWidth="1"/>
    <col min="2" max="2" width="17.7109375" customWidth="1"/>
    <col min="3" max="3" width="16.140625" customWidth="1"/>
    <col min="4" max="4" width="18.7109375" customWidth="1"/>
    <col min="5" max="5" width="19.85546875" customWidth="1"/>
    <col min="6" max="6" width="13.7109375" customWidth="1"/>
    <col min="7" max="7" width="15.28515625" customWidth="1"/>
    <col min="8" max="8" width="16.7109375" customWidth="1"/>
    <col min="9" max="9" width="14.28515625" customWidth="1"/>
    <col min="10" max="10" width="12.28515625" customWidth="1"/>
    <col min="11" max="11" width="9.28515625" bestFit="1" customWidth="1"/>
    <col min="12" max="12" width="14.28515625" customWidth="1"/>
    <col min="14" max="14" width="12.7109375" bestFit="1" customWidth="1"/>
  </cols>
  <sheetData>
    <row r="2" spans="1:7" ht="15.75" thickBot="1"/>
    <row r="3" spans="1:7" ht="30">
      <c r="A3" s="129" t="s">
        <v>200</v>
      </c>
      <c r="B3" s="130">
        <v>2822</v>
      </c>
    </row>
    <row r="4" spans="1:7" ht="15.75" thickBot="1">
      <c r="A4" s="54" t="s">
        <v>122</v>
      </c>
      <c r="B4" s="42">
        <v>22</v>
      </c>
    </row>
    <row r="5" spans="1:7" ht="30">
      <c r="A5" s="54" t="s">
        <v>123</v>
      </c>
      <c r="B5" s="58">
        <v>2.5000000000000001E-2</v>
      </c>
      <c r="D5" s="113" t="s">
        <v>198</v>
      </c>
      <c r="E5" s="131">
        <f>'SS Benefit Cal'!F3</f>
        <v>3.7294117647058829</v>
      </c>
    </row>
    <row r="6" spans="1:7" ht="30.75" thickBot="1">
      <c r="A6" s="54" t="s">
        <v>191</v>
      </c>
      <c r="B6" s="58">
        <v>2.5000000000000001E-2</v>
      </c>
      <c r="D6" s="132" t="s">
        <v>199</v>
      </c>
      <c r="E6" s="44">
        <f>Inflation!P123</f>
        <v>3.2639639639639652E-2</v>
      </c>
    </row>
    <row r="7" spans="1:7" ht="15.75" thickBot="1">
      <c r="A7" s="55" t="s">
        <v>94</v>
      </c>
      <c r="B7" s="44">
        <v>2.5000000000000001E-2</v>
      </c>
    </row>
    <row r="9" spans="1:7" ht="15.75" thickBot="1"/>
    <row r="10" spans="1:7" ht="15.75" thickBot="1">
      <c r="A10" s="65" t="s">
        <v>2</v>
      </c>
      <c r="B10" s="51" t="s">
        <v>201</v>
      </c>
      <c r="C10" s="66" t="s">
        <v>108</v>
      </c>
      <c r="D10" s="67" t="s">
        <v>4</v>
      </c>
    </row>
    <row r="11" spans="1:7">
      <c r="A11" s="61">
        <v>62</v>
      </c>
      <c r="B11" s="62">
        <f t="shared" ref="B11:B15" si="0">$B$3*C11</f>
        <v>1975.3999999999999</v>
      </c>
      <c r="C11" s="63">
        <v>0.7</v>
      </c>
      <c r="D11" s="64"/>
    </row>
    <row r="12" spans="1:7">
      <c r="A12" s="41">
        <v>63</v>
      </c>
      <c r="B12" s="56">
        <f t="shared" si="0"/>
        <v>2116.5</v>
      </c>
      <c r="C12" s="57">
        <v>0.75</v>
      </c>
      <c r="D12" s="58">
        <f>(B12-B11)/B11</f>
        <v>7.1428571428571508E-2</v>
      </c>
    </row>
    <row r="13" spans="1:7">
      <c r="A13" s="41">
        <v>64</v>
      </c>
      <c r="B13" s="56">
        <f t="shared" si="0"/>
        <v>2257.6</v>
      </c>
      <c r="C13" s="57">
        <v>0.8</v>
      </c>
      <c r="D13" s="58">
        <f t="shared" ref="D13:D19" si="1">(B13-B12)/B12</f>
        <v>6.6666666666666624E-2</v>
      </c>
    </row>
    <row r="14" spans="1:7">
      <c r="A14" s="41">
        <v>65</v>
      </c>
      <c r="B14" s="56">
        <f t="shared" si="0"/>
        <v>2446.674</v>
      </c>
      <c r="C14" s="38">
        <v>0.86699999999999999</v>
      </c>
      <c r="D14" s="58">
        <f t="shared" si="1"/>
        <v>8.3750000000000033E-2</v>
      </c>
    </row>
    <row r="15" spans="1:7">
      <c r="A15" s="41">
        <v>66</v>
      </c>
      <c r="B15" s="56">
        <f t="shared" si="0"/>
        <v>2632.9259999999999</v>
      </c>
      <c r="C15" s="38">
        <v>0.93300000000000005</v>
      </c>
      <c r="D15" s="58">
        <f t="shared" si="1"/>
        <v>7.612456747404843E-2</v>
      </c>
    </row>
    <row r="16" spans="1:7">
      <c r="A16" s="41">
        <v>67</v>
      </c>
      <c r="B16" s="56">
        <f>$B$3*C16</f>
        <v>2822</v>
      </c>
      <c r="C16" s="57">
        <v>1</v>
      </c>
      <c r="D16" s="58">
        <f t="shared" si="1"/>
        <v>7.1811361200428747E-2</v>
      </c>
      <c r="G16" t="str">
        <f xml:space="preserve">  "Monthly benefit with " &amp; B5*100 &amp; "%  Cola "</f>
        <v xml:space="preserve">Monthly benefit with 2.5%  Cola </v>
      </c>
    </row>
    <row r="17" spans="1:9">
      <c r="A17" s="41">
        <v>68</v>
      </c>
      <c r="B17" s="56">
        <f t="shared" ref="B17:B19" si="2">$B$3*C17</f>
        <v>3047.76</v>
      </c>
      <c r="C17" s="57">
        <v>1.08</v>
      </c>
      <c r="D17" s="58">
        <f t="shared" si="1"/>
        <v>8.0000000000000071E-2</v>
      </c>
    </row>
    <row r="18" spans="1:9">
      <c r="A18" s="41">
        <v>69</v>
      </c>
      <c r="B18" s="56">
        <f t="shared" si="2"/>
        <v>3273.52</v>
      </c>
      <c r="C18" s="57">
        <v>1.1599999999999999</v>
      </c>
      <c r="D18" s="58">
        <f t="shared" si="1"/>
        <v>7.4074074074073987E-2</v>
      </c>
    </row>
    <row r="19" spans="1:9" ht="15.75" thickBot="1">
      <c r="A19" s="43">
        <v>70</v>
      </c>
      <c r="B19" s="59">
        <f t="shared" si="2"/>
        <v>3499.28</v>
      </c>
      <c r="C19" s="60">
        <v>1.24</v>
      </c>
      <c r="D19" s="44">
        <f t="shared" si="1"/>
        <v>6.8965517241379379E-2</v>
      </c>
    </row>
    <row r="23" spans="1:9" ht="45.75" thickBot="1">
      <c r="B23" s="21" t="s">
        <v>103</v>
      </c>
      <c r="C23" s="21" t="s">
        <v>104</v>
      </c>
      <c r="D23" s="21" t="s">
        <v>107</v>
      </c>
      <c r="G23" s="21"/>
      <c r="H23" s="21"/>
      <c r="I23" s="21"/>
    </row>
    <row r="24" spans="1:9">
      <c r="A24" s="39">
        <v>62</v>
      </c>
      <c r="B24" s="68">
        <f>B11</f>
        <v>1975.3999999999999</v>
      </c>
      <c r="C24" s="68"/>
      <c r="D24" s="69"/>
      <c r="G24" s="2"/>
      <c r="H24" s="2"/>
    </row>
    <row r="25" spans="1:9">
      <c r="A25" s="41">
        <v>63</v>
      </c>
      <c r="B25" s="56">
        <f>B24*(1+$B$5)</f>
        <v>2024.7849999999996</v>
      </c>
      <c r="C25" s="56"/>
      <c r="D25" s="42"/>
      <c r="G25" s="2"/>
      <c r="H25" s="2"/>
    </row>
    <row r="26" spans="1:9">
      <c r="A26" s="41">
        <v>64</v>
      </c>
      <c r="B26" s="56">
        <f t="shared" ref="B26:B62" si="3">B25*(1+$B$5)</f>
        <v>2075.4046249999992</v>
      </c>
      <c r="C26" s="56"/>
      <c r="D26" s="42"/>
      <c r="G26" s="2"/>
      <c r="H26" s="2"/>
    </row>
    <row r="27" spans="1:9">
      <c r="A27" s="41">
        <v>65</v>
      </c>
      <c r="B27" s="56">
        <f t="shared" si="3"/>
        <v>2127.289740624999</v>
      </c>
      <c r="C27" s="56"/>
      <c r="D27" s="42"/>
      <c r="G27" s="2"/>
      <c r="H27" s="2"/>
    </row>
    <row r="28" spans="1:9">
      <c r="A28" s="41">
        <v>66</v>
      </c>
      <c r="B28" s="56">
        <f t="shared" si="3"/>
        <v>2180.4719841406236</v>
      </c>
      <c r="C28" s="56"/>
      <c r="D28" s="42"/>
      <c r="G28" s="2"/>
      <c r="H28" s="2"/>
    </row>
    <row r="29" spans="1:9">
      <c r="A29" s="41">
        <v>67</v>
      </c>
      <c r="B29" s="56">
        <f t="shared" si="3"/>
        <v>2234.9837837441391</v>
      </c>
      <c r="C29" s="56">
        <f>B16</f>
        <v>2822</v>
      </c>
      <c r="D29" s="42"/>
      <c r="G29" s="2"/>
      <c r="H29" s="2"/>
    </row>
    <row r="30" spans="1:9">
      <c r="A30" s="41">
        <v>68</v>
      </c>
      <c r="B30" s="56">
        <f t="shared" si="3"/>
        <v>2290.8583783377426</v>
      </c>
      <c r="C30" s="56">
        <f>C29*(1+$B$5)</f>
        <v>2892.5499999999997</v>
      </c>
      <c r="D30" s="42"/>
      <c r="G30" s="2"/>
      <c r="H30" s="2"/>
    </row>
    <row r="31" spans="1:9">
      <c r="A31" s="41">
        <v>69</v>
      </c>
      <c r="B31" s="56">
        <f t="shared" si="3"/>
        <v>2348.1298377961862</v>
      </c>
      <c r="C31" s="56">
        <f t="shared" ref="C31:C62" si="4">C30*(1+$B$5)</f>
        <v>2964.8637499999995</v>
      </c>
      <c r="D31" s="42"/>
      <c r="G31" s="2"/>
      <c r="H31" s="2"/>
    </row>
    <row r="32" spans="1:9">
      <c r="A32" s="41">
        <v>70</v>
      </c>
      <c r="B32" s="56">
        <f t="shared" si="3"/>
        <v>2406.8330837410908</v>
      </c>
      <c r="C32" s="56">
        <f t="shared" si="4"/>
        <v>3038.9853437499992</v>
      </c>
      <c r="D32" s="70">
        <f>B19</f>
        <v>3499.28</v>
      </c>
      <c r="G32" s="2"/>
      <c r="H32" s="2"/>
      <c r="I32" s="2"/>
    </row>
    <row r="33" spans="1:9">
      <c r="A33" s="41">
        <v>71</v>
      </c>
      <c r="B33" s="56">
        <f t="shared" si="3"/>
        <v>2467.0039108346177</v>
      </c>
      <c r="C33" s="56">
        <f t="shared" si="4"/>
        <v>3114.959977343749</v>
      </c>
      <c r="D33" s="70">
        <f>D32*(1+$B$5)</f>
        <v>3586.7619999999997</v>
      </c>
      <c r="G33" s="2"/>
      <c r="H33" s="2"/>
      <c r="I33" s="2"/>
    </row>
    <row r="34" spans="1:9">
      <c r="A34" s="41">
        <v>72</v>
      </c>
      <c r="B34" s="56">
        <f t="shared" si="3"/>
        <v>2528.679008605483</v>
      </c>
      <c r="C34" s="56">
        <f t="shared" si="4"/>
        <v>3192.8339767773423</v>
      </c>
      <c r="D34" s="70">
        <f t="shared" ref="D34:D62" si="5">D33*(1+$B$5)</f>
        <v>3676.4310499999992</v>
      </c>
      <c r="G34" s="2"/>
      <c r="H34" s="2"/>
      <c r="I34" s="2"/>
    </row>
    <row r="35" spans="1:9">
      <c r="A35" s="41">
        <v>73</v>
      </c>
      <c r="B35" s="56">
        <f t="shared" si="3"/>
        <v>2591.8959838206197</v>
      </c>
      <c r="C35" s="56">
        <f t="shared" si="4"/>
        <v>3272.6548261967755</v>
      </c>
      <c r="D35" s="70">
        <f t="shared" si="5"/>
        <v>3768.341826249999</v>
      </c>
      <c r="G35" s="2"/>
      <c r="H35" s="2"/>
      <c r="I35" s="2"/>
    </row>
    <row r="36" spans="1:9">
      <c r="A36" s="41">
        <v>74</v>
      </c>
      <c r="B36" s="56">
        <f t="shared" si="3"/>
        <v>2656.693383416135</v>
      </c>
      <c r="C36" s="56">
        <f t="shared" si="4"/>
        <v>3354.4711968516945</v>
      </c>
      <c r="D36" s="70">
        <f t="shared" si="5"/>
        <v>3862.5503719062485</v>
      </c>
      <c r="G36" s="2"/>
      <c r="H36" s="2"/>
      <c r="I36" s="2"/>
    </row>
    <row r="37" spans="1:9">
      <c r="A37" s="41">
        <v>75</v>
      </c>
      <c r="B37" s="56">
        <f t="shared" si="3"/>
        <v>2723.1107180015383</v>
      </c>
      <c r="C37" s="56">
        <f t="shared" si="4"/>
        <v>3438.3329767729865</v>
      </c>
      <c r="D37" s="70">
        <f t="shared" si="5"/>
        <v>3959.1141312039044</v>
      </c>
      <c r="G37" s="2"/>
      <c r="H37" s="2"/>
      <c r="I37" s="2"/>
    </row>
    <row r="38" spans="1:9">
      <c r="A38" s="41">
        <v>76</v>
      </c>
      <c r="B38" s="56">
        <f t="shared" si="3"/>
        <v>2791.1884859515767</v>
      </c>
      <c r="C38" s="56">
        <f t="shared" si="4"/>
        <v>3524.291301192311</v>
      </c>
      <c r="D38" s="70">
        <f t="shared" si="5"/>
        <v>4058.0919844840018</v>
      </c>
      <c r="G38" s="2"/>
      <c r="H38" s="2"/>
      <c r="I38" s="2"/>
    </row>
    <row r="39" spans="1:9">
      <c r="A39" s="41">
        <v>77</v>
      </c>
      <c r="B39" s="56">
        <f t="shared" si="3"/>
        <v>2860.968198100366</v>
      </c>
      <c r="C39" s="56">
        <f t="shared" si="4"/>
        <v>3612.3985837221185</v>
      </c>
      <c r="D39" s="70">
        <f t="shared" si="5"/>
        <v>4159.5442840961014</v>
      </c>
      <c r="G39" s="2"/>
      <c r="H39" s="2"/>
      <c r="I39" s="2"/>
    </row>
    <row r="40" spans="1:9">
      <c r="A40" s="41">
        <v>78</v>
      </c>
      <c r="B40" s="56">
        <f t="shared" si="3"/>
        <v>2932.492403052875</v>
      </c>
      <c r="C40" s="56">
        <f t="shared" si="4"/>
        <v>3702.7085483151709</v>
      </c>
      <c r="D40" s="70">
        <f t="shared" si="5"/>
        <v>4263.5328911985034</v>
      </c>
      <c r="G40" s="2"/>
      <c r="H40" s="2"/>
      <c r="I40" s="2"/>
    </row>
    <row r="41" spans="1:9">
      <c r="A41" s="41">
        <v>79</v>
      </c>
      <c r="B41" s="56">
        <f t="shared" si="3"/>
        <v>3005.8047131291964</v>
      </c>
      <c r="C41" s="56">
        <f t="shared" si="4"/>
        <v>3795.2762620230496</v>
      </c>
      <c r="D41" s="70">
        <f t="shared" si="5"/>
        <v>4370.1212134784655</v>
      </c>
      <c r="G41" s="2"/>
      <c r="H41" s="2"/>
      <c r="I41" s="2"/>
    </row>
    <row r="42" spans="1:9">
      <c r="A42" s="41">
        <v>80</v>
      </c>
      <c r="B42" s="56">
        <f t="shared" si="3"/>
        <v>3080.949830957426</v>
      </c>
      <c r="C42" s="56">
        <f t="shared" si="4"/>
        <v>3890.1581685736255</v>
      </c>
      <c r="D42" s="70">
        <f t="shared" si="5"/>
        <v>4479.3742438154268</v>
      </c>
      <c r="G42" s="2"/>
      <c r="H42" s="2"/>
      <c r="I42" s="2"/>
    </row>
    <row r="43" spans="1:9">
      <c r="A43" s="41">
        <v>81</v>
      </c>
      <c r="B43" s="56">
        <f t="shared" si="3"/>
        <v>3157.9735767313614</v>
      </c>
      <c r="C43" s="56">
        <f t="shared" si="4"/>
        <v>3987.4121227879659</v>
      </c>
      <c r="D43" s="70">
        <f t="shared" si="5"/>
        <v>4591.3585999108118</v>
      </c>
      <c r="G43" s="2"/>
      <c r="H43" s="2"/>
      <c r="I43" s="2"/>
    </row>
    <row r="44" spans="1:9">
      <c r="A44" s="41">
        <v>82</v>
      </c>
      <c r="B44" s="56">
        <f t="shared" si="3"/>
        <v>3236.9229161496451</v>
      </c>
      <c r="C44" s="56">
        <f t="shared" si="4"/>
        <v>4087.0974258576648</v>
      </c>
      <c r="D44" s="70">
        <f t="shared" si="5"/>
        <v>4706.1425649085813</v>
      </c>
      <c r="G44" s="2"/>
      <c r="H44" s="2"/>
      <c r="I44" s="2"/>
    </row>
    <row r="45" spans="1:9">
      <c r="A45" s="41">
        <v>83</v>
      </c>
      <c r="B45" s="56">
        <f t="shared" si="3"/>
        <v>3317.8459890533859</v>
      </c>
      <c r="C45" s="56">
        <f t="shared" si="4"/>
        <v>4189.2748615041064</v>
      </c>
      <c r="D45" s="70">
        <f t="shared" si="5"/>
        <v>4823.7961290312951</v>
      </c>
      <c r="G45" s="2"/>
      <c r="H45" s="2"/>
      <c r="I45" s="2"/>
    </row>
    <row r="46" spans="1:9">
      <c r="A46" s="41">
        <v>84</v>
      </c>
      <c r="B46" s="56">
        <f t="shared" si="3"/>
        <v>3400.7921387797201</v>
      </c>
      <c r="C46" s="56">
        <f t="shared" si="4"/>
        <v>4294.0067330417087</v>
      </c>
      <c r="D46" s="70">
        <f t="shared" si="5"/>
        <v>4944.3910322570773</v>
      </c>
      <c r="G46" s="2"/>
      <c r="H46" s="2"/>
      <c r="I46" s="2"/>
    </row>
    <row r="47" spans="1:9">
      <c r="A47" s="41">
        <v>85</v>
      </c>
      <c r="B47" s="56">
        <f t="shared" si="3"/>
        <v>3485.8119422492127</v>
      </c>
      <c r="C47" s="56">
        <f t="shared" si="4"/>
        <v>4401.3569013677507</v>
      </c>
      <c r="D47" s="70">
        <f t="shared" si="5"/>
        <v>5068.0008080635034</v>
      </c>
      <c r="G47" s="2"/>
      <c r="H47" s="2"/>
      <c r="I47" s="2"/>
    </row>
    <row r="48" spans="1:9">
      <c r="A48" s="41">
        <v>86</v>
      </c>
      <c r="B48" s="56">
        <f t="shared" si="3"/>
        <v>3572.9572408054428</v>
      </c>
      <c r="C48" s="56">
        <f t="shared" si="4"/>
        <v>4511.3908239019438</v>
      </c>
      <c r="D48" s="70">
        <f t="shared" si="5"/>
        <v>5194.7008282650904</v>
      </c>
      <c r="G48" s="2"/>
      <c r="H48" s="2"/>
      <c r="I48" s="2"/>
    </row>
    <row r="49" spans="1:9">
      <c r="A49" s="41">
        <v>87</v>
      </c>
      <c r="B49" s="56">
        <f t="shared" si="3"/>
        <v>3662.2811718255784</v>
      </c>
      <c r="C49" s="56">
        <f t="shared" si="4"/>
        <v>4624.175594499492</v>
      </c>
      <c r="D49" s="70">
        <f t="shared" si="5"/>
        <v>5324.5683489717176</v>
      </c>
      <c r="G49" s="2"/>
      <c r="H49" s="2"/>
      <c r="I49" s="2"/>
    </row>
    <row r="50" spans="1:9">
      <c r="A50" s="41">
        <v>88</v>
      </c>
      <c r="B50" s="56">
        <f t="shared" si="3"/>
        <v>3753.8382011212175</v>
      </c>
      <c r="C50" s="56">
        <f t="shared" si="4"/>
        <v>4739.7799843619787</v>
      </c>
      <c r="D50" s="70">
        <f t="shared" si="5"/>
        <v>5457.68255769601</v>
      </c>
      <c r="G50" s="2"/>
      <c r="H50" s="2"/>
      <c r="I50" s="2"/>
    </row>
    <row r="51" spans="1:9">
      <c r="A51" s="41">
        <v>89</v>
      </c>
      <c r="B51" s="56">
        <f t="shared" si="3"/>
        <v>3847.6841561492474</v>
      </c>
      <c r="C51" s="56">
        <f t="shared" si="4"/>
        <v>4858.2744839710276</v>
      </c>
      <c r="D51" s="70">
        <f t="shared" si="5"/>
        <v>5594.1246216384097</v>
      </c>
      <c r="G51" s="2"/>
      <c r="H51" s="2"/>
      <c r="I51" s="2"/>
    </row>
    <row r="52" spans="1:9">
      <c r="A52" s="41">
        <v>90</v>
      </c>
      <c r="B52" s="56">
        <f t="shared" si="3"/>
        <v>3943.8762600529781</v>
      </c>
      <c r="C52" s="56">
        <f t="shared" si="4"/>
        <v>4979.7313460703026</v>
      </c>
      <c r="D52" s="70">
        <f t="shared" si="5"/>
        <v>5733.9777371793698</v>
      </c>
      <c r="G52" s="2"/>
      <c r="H52" s="2"/>
      <c r="I52" s="2"/>
    </row>
    <row r="53" spans="1:9">
      <c r="A53" s="41">
        <v>91</v>
      </c>
      <c r="B53" s="56">
        <f t="shared" si="3"/>
        <v>4042.4731665543022</v>
      </c>
      <c r="C53" s="56">
        <f t="shared" si="4"/>
        <v>5104.2246297220599</v>
      </c>
      <c r="D53" s="70">
        <f t="shared" si="5"/>
        <v>5877.3271806088533</v>
      </c>
      <c r="G53" s="2"/>
      <c r="H53" s="2"/>
      <c r="I53" s="2"/>
    </row>
    <row r="54" spans="1:9">
      <c r="A54" s="41">
        <v>92</v>
      </c>
      <c r="B54" s="56">
        <f t="shared" si="3"/>
        <v>4143.5349957181597</v>
      </c>
      <c r="C54" s="56">
        <f t="shared" si="4"/>
        <v>5231.8302454651111</v>
      </c>
      <c r="D54" s="70">
        <f t="shared" si="5"/>
        <v>6024.2603601240744</v>
      </c>
      <c r="G54" s="2"/>
      <c r="H54" s="2"/>
      <c r="I54" s="2"/>
    </row>
    <row r="55" spans="1:9">
      <c r="A55" s="41">
        <v>93</v>
      </c>
      <c r="B55" s="56">
        <f t="shared" si="3"/>
        <v>4247.1233706111134</v>
      </c>
      <c r="C55" s="56">
        <f t="shared" si="4"/>
        <v>5362.6260016017386</v>
      </c>
      <c r="D55" s="70">
        <f t="shared" si="5"/>
        <v>6174.866869127176</v>
      </c>
      <c r="G55" s="2"/>
      <c r="H55" s="2"/>
      <c r="I55" s="2"/>
    </row>
    <row r="56" spans="1:9">
      <c r="A56" s="41">
        <v>94</v>
      </c>
      <c r="B56" s="56">
        <f t="shared" si="3"/>
        <v>4353.3014548763913</v>
      </c>
      <c r="C56" s="56">
        <f t="shared" si="4"/>
        <v>5496.6916516417814</v>
      </c>
      <c r="D56" s="70">
        <f t="shared" si="5"/>
        <v>6329.2385408553546</v>
      </c>
      <c r="G56" s="2"/>
      <c r="H56" s="2"/>
      <c r="I56" s="2"/>
    </row>
    <row r="57" spans="1:9">
      <c r="A57" s="41">
        <v>95</v>
      </c>
      <c r="B57" s="56">
        <f t="shared" si="3"/>
        <v>4462.1339912483008</v>
      </c>
      <c r="C57" s="56">
        <f t="shared" si="4"/>
        <v>5634.1089429328258</v>
      </c>
      <c r="D57" s="70">
        <f t="shared" si="5"/>
        <v>6487.4695043767379</v>
      </c>
      <c r="G57" s="2"/>
      <c r="H57" s="2"/>
      <c r="I57" s="2"/>
    </row>
    <row r="58" spans="1:9">
      <c r="A58" s="41">
        <v>96</v>
      </c>
      <c r="B58" s="56">
        <f t="shared" si="3"/>
        <v>4573.6873410295084</v>
      </c>
      <c r="C58" s="56">
        <f t="shared" si="4"/>
        <v>5774.9616665061458</v>
      </c>
      <c r="D58" s="70">
        <f t="shared" si="5"/>
        <v>6649.6562419861557</v>
      </c>
      <c r="G58" s="2"/>
      <c r="H58" s="2"/>
      <c r="I58" s="2"/>
    </row>
    <row r="59" spans="1:9">
      <c r="A59" s="41">
        <v>97</v>
      </c>
      <c r="B59" s="56">
        <f t="shared" si="3"/>
        <v>4688.0295245552461</v>
      </c>
      <c r="C59" s="56">
        <f t="shared" si="4"/>
        <v>5919.3357081687991</v>
      </c>
      <c r="D59" s="70">
        <f t="shared" si="5"/>
        <v>6815.8976480358087</v>
      </c>
      <c r="G59" s="2"/>
      <c r="H59" s="2"/>
      <c r="I59" s="2"/>
    </row>
    <row r="60" spans="1:9">
      <c r="A60" s="41">
        <v>98</v>
      </c>
      <c r="B60" s="56">
        <f t="shared" si="3"/>
        <v>4805.2302626691271</v>
      </c>
      <c r="C60" s="56">
        <f t="shared" si="4"/>
        <v>6067.3191008730182</v>
      </c>
      <c r="D60" s="70">
        <f t="shared" si="5"/>
        <v>6986.2950892367035</v>
      </c>
      <c r="G60" s="2"/>
      <c r="H60" s="2"/>
      <c r="I60" s="2"/>
    </row>
    <row r="61" spans="1:9">
      <c r="A61" s="41">
        <v>99</v>
      </c>
      <c r="B61" s="56">
        <f t="shared" si="3"/>
        <v>4925.3610192358547</v>
      </c>
      <c r="C61" s="56">
        <f t="shared" si="4"/>
        <v>6219.002078394843</v>
      </c>
      <c r="D61" s="70">
        <f t="shared" si="5"/>
        <v>7160.9524664676201</v>
      </c>
      <c r="G61" s="2"/>
      <c r="H61" s="2"/>
      <c r="I61" s="2"/>
    </row>
    <row r="62" spans="1:9" ht="15.75" thickBot="1">
      <c r="A62" s="43">
        <v>100</v>
      </c>
      <c r="B62" s="59">
        <f t="shared" si="3"/>
        <v>5048.4950447167503</v>
      </c>
      <c r="C62" s="59">
        <f t="shared" si="4"/>
        <v>6374.4771303547132</v>
      </c>
      <c r="D62" s="71">
        <f t="shared" si="5"/>
        <v>7339.9762781293102</v>
      </c>
      <c r="G62" s="2"/>
      <c r="H62" s="2"/>
      <c r="I62" s="2"/>
    </row>
    <row r="64" spans="1:9" ht="15.75" thickBot="1"/>
    <row r="65" spans="1:13" ht="45.75" thickBot="1">
      <c r="A65" s="113" t="s">
        <v>133</v>
      </c>
      <c r="B65" s="72" t="s">
        <v>105</v>
      </c>
      <c r="C65" s="73" t="s">
        <v>106</v>
      </c>
      <c r="D65" s="74" t="s">
        <v>87</v>
      </c>
      <c r="F65" s="92" t="s">
        <v>145</v>
      </c>
      <c r="G65" s="50" t="s">
        <v>146</v>
      </c>
      <c r="H65" s="52" t="s">
        <v>147</v>
      </c>
    </row>
    <row r="66" spans="1:13">
      <c r="A66" s="41">
        <v>62</v>
      </c>
      <c r="B66" s="56">
        <f>B24*12</f>
        <v>23704.799999999999</v>
      </c>
      <c r="C66" s="37"/>
      <c r="D66" s="42"/>
      <c r="F66" s="91">
        <f>B66</f>
        <v>23704.799999999999</v>
      </c>
      <c r="G66" s="46">
        <f>0</f>
        <v>0</v>
      </c>
      <c r="H66" s="64">
        <v>0</v>
      </c>
    </row>
    <row r="67" spans="1:13">
      <c r="A67" s="41">
        <v>63</v>
      </c>
      <c r="B67" s="56">
        <f>B66+B66</f>
        <v>47409.599999999999</v>
      </c>
      <c r="C67" s="37"/>
      <c r="D67" s="42"/>
      <c r="F67" s="90">
        <f>F66</f>
        <v>23704.799999999999</v>
      </c>
      <c r="G67" s="37">
        <f>0</f>
        <v>0</v>
      </c>
      <c r="H67" s="42">
        <v>0</v>
      </c>
      <c r="M67" t="str">
        <f>"Running total SS Benefit payout, No cola applied, No Time Value of money adjustment"</f>
        <v>Running total SS Benefit payout, No cola applied, No Time Value of money adjustment</v>
      </c>
    </row>
    <row r="68" spans="1:13">
      <c r="A68" s="41">
        <v>64</v>
      </c>
      <c r="B68" s="56">
        <f>B67+$B$66</f>
        <v>71114.399999999994</v>
      </c>
      <c r="C68" s="37"/>
      <c r="D68" s="42"/>
      <c r="F68" s="90">
        <f t="shared" ref="F68:F104" si="6">F67</f>
        <v>23704.799999999999</v>
      </c>
      <c r="G68" s="37">
        <f>0</f>
        <v>0</v>
      </c>
      <c r="H68" s="42">
        <v>0</v>
      </c>
    </row>
    <row r="69" spans="1:13">
      <c r="A69" s="41">
        <v>65</v>
      </c>
      <c r="B69" s="56">
        <f t="shared" ref="B69:B104" si="7">B68+$B$66</f>
        <v>94819.199999999997</v>
      </c>
      <c r="C69" s="37"/>
      <c r="D69" s="42"/>
      <c r="F69" s="90">
        <f t="shared" si="6"/>
        <v>23704.799999999999</v>
      </c>
      <c r="G69" s="37">
        <f>0</f>
        <v>0</v>
      </c>
      <c r="H69" s="42">
        <v>0</v>
      </c>
    </row>
    <row r="70" spans="1:13">
      <c r="A70" s="41">
        <v>66</v>
      </c>
      <c r="B70" s="56">
        <f t="shared" si="7"/>
        <v>118524</v>
      </c>
      <c r="C70" s="37"/>
      <c r="D70" s="42"/>
      <c r="F70" s="90">
        <f t="shared" si="6"/>
        <v>23704.799999999999</v>
      </c>
      <c r="G70" s="37">
        <f>0</f>
        <v>0</v>
      </c>
      <c r="H70" s="42">
        <v>0</v>
      </c>
    </row>
    <row r="71" spans="1:13">
      <c r="A71" s="41">
        <v>67</v>
      </c>
      <c r="B71" s="56">
        <f t="shared" si="7"/>
        <v>142228.79999999999</v>
      </c>
      <c r="C71" s="56">
        <f>C29 *12</f>
        <v>33864</v>
      </c>
      <c r="D71" s="42"/>
      <c r="F71" s="90">
        <f t="shared" si="6"/>
        <v>23704.799999999999</v>
      </c>
      <c r="G71" s="56">
        <f>C71</f>
        <v>33864</v>
      </c>
      <c r="H71" s="42">
        <v>0</v>
      </c>
    </row>
    <row r="72" spans="1:13">
      <c r="A72" s="41">
        <v>68</v>
      </c>
      <c r="B72" s="56">
        <f t="shared" si="7"/>
        <v>165933.59999999998</v>
      </c>
      <c r="C72" s="56">
        <f>C71+$C$71</f>
        <v>67728</v>
      </c>
      <c r="D72" s="42"/>
      <c r="F72" s="90">
        <f t="shared" si="6"/>
        <v>23704.799999999999</v>
      </c>
      <c r="G72" s="56">
        <f>G71</f>
        <v>33864</v>
      </c>
      <c r="H72" s="42">
        <v>0</v>
      </c>
    </row>
    <row r="73" spans="1:13">
      <c r="A73" s="41">
        <v>69</v>
      </c>
      <c r="B73" s="56">
        <f t="shared" si="7"/>
        <v>189638.39999999997</v>
      </c>
      <c r="C73" s="56">
        <f>C72+$C$71</f>
        <v>101592</v>
      </c>
      <c r="D73" s="42"/>
      <c r="F73" s="90">
        <f t="shared" si="6"/>
        <v>23704.799999999999</v>
      </c>
      <c r="G73" s="56">
        <f t="shared" ref="G73:G104" si="8">G72</f>
        <v>33864</v>
      </c>
      <c r="H73" s="42">
        <v>0</v>
      </c>
    </row>
    <row r="74" spans="1:13">
      <c r="A74" s="41">
        <v>70</v>
      </c>
      <c r="B74" s="56">
        <f t="shared" si="7"/>
        <v>213343.19999999995</v>
      </c>
      <c r="C74" s="56">
        <f t="shared" ref="C74:C104" si="9">C73+$C$71</f>
        <v>135456</v>
      </c>
      <c r="D74" s="70">
        <f>D32*12</f>
        <v>41991.360000000001</v>
      </c>
      <c r="F74" s="90">
        <f t="shared" si="6"/>
        <v>23704.799999999999</v>
      </c>
      <c r="G74" s="56">
        <f t="shared" si="8"/>
        <v>33864</v>
      </c>
      <c r="H74" s="70">
        <f>D74</f>
        <v>41991.360000000001</v>
      </c>
    </row>
    <row r="75" spans="1:13">
      <c r="A75" s="41">
        <v>71</v>
      </c>
      <c r="B75" s="56">
        <f t="shared" si="7"/>
        <v>237047.99999999994</v>
      </c>
      <c r="C75" s="56">
        <f t="shared" si="9"/>
        <v>169320</v>
      </c>
      <c r="D75" s="70">
        <f>D74+D74</f>
        <v>83982.720000000001</v>
      </c>
      <c r="F75" s="90">
        <f t="shared" si="6"/>
        <v>23704.799999999999</v>
      </c>
      <c r="G75" s="56">
        <f t="shared" si="8"/>
        <v>33864</v>
      </c>
      <c r="H75" s="70">
        <f>H74</f>
        <v>41991.360000000001</v>
      </c>
    </row>
    <row r="76" spans="1:13">
      <c r="A76" s="41">
        <v>72</v>
      </c>
      <c r="B76" s="56">
        <f t="shared" si="7"/>
        <v>260752.79999999993</v>
      </c>
      <c r="C76" s="56">
        <f t="shared" si="9"/>
        <v>203184</v>
      </c>
      <c r="D76" s="70">
        <f>D75+$D$74</f>
        <v>125974.08</v>
      </c>
      <c r="F76" s="90">
        <f t="shared" si="6"/>
        <v>23704.799999999999</v>
      </c>
      <c r="G76" s="56">
        <f t="shared" si="8"/>
        <v>33864</v>
      </c>
      <c r="H76" s="70">
        <f t="shared" ref="H76:H104" si="10">H75</f>
        <v>41991.360000000001</v>
      </c>
    </row>
    <row r="77" spans="1:13">
      <c r="A77" s="41">
        <v>73</v>
      </c>
      <c r="B77" s="56">
        <f t="shared" si="7"/>
        <v>284457.59999999992</v>
      </c>
      <c r="C77" s="56">
        <f t="shared" si="9"/>
        <v>237048</v>
      </c>
      <c r="D77" s="70">
        <f>D76+$D$74</f>
        <v>167965.44</v>
      </c>
      <c r="F77" s="90">
        <f t="shared" si="6"/>
        <v>23704.799999999999</v>
      </c>
      <c r="G77" s="56">
        <f t="shared" si="8"/>
        <v>33864</v>
      </c>
      <c r="H77" s="70">
        <f t="shared" si="10"/>
        <v>41991.360000000001</v>
      </c>
    </row>
    <row r="78" spans="1:13">
      <c r="A78" s="41">
        <v>74</v>
      </c>
      <c r="B78" s="56">
        <f t="shared" si="7"/>
        <v>308162.39999999991</v>
      </c>
      <c r="C78" s="56">
        <f t="shared" si="9"/>
        <v>270912</v>
      </c>
      <c r="D78" s="70">
        <f>D77+$D$74</f>
        <v>209956.8</v>
      </c>
      <c r="F78" s="90">
        <f t="shared" si="6"/>
        <v>23704.799999999999</v>
      </c>
      <c r="G78" s="56">
        <f t="shared" si="8"/>
        <v>33864</v>
      </c>
      <c r="H78" s="70">
        <f t="shared" si="10"/>
        <v>41991.360000000001</v>
      </c>
    </row>
    <row r="79" spans="1:13">
      <c r="A79" s="41">
        <v>75</v>
      </c>
      <c r="B79" s="56">
        <f t="shared" si="7"/>
        <v>331867.1999999999</v>
      </c>
      <c r="C79" s="56">
        <f t="shared" si="9"/>
        <v>304776</v>
      </c>
      <c r="D79" s="70">
        <f>D78+$D$74</f>
        <v>251948.15999999997</v>
      </c>
      <c r="F79" s="90">
        <f t="shared" si="6"/>
        <v>23704.799999999999</v>
      </c>
      <c r="G79" s="56">
        <f t="shared" si="8"/>
        <v>33864</v>
      </c>
      <c r="H79" s="70">
        <f t="shared" si="10"/>
        <v>41991.360000000001</v>
      </c>
    </row>
    <row r="80" spans="1:13">
      <c r="A80" s="41">
        <v>76</v>
      </c>
      <c r="B80" s="56">
        <f t="shared" si="7"/>
        <v>355571.99999999988</v>
      </c>
      <c r="C80" s="56">
        <f t="shared" si="9"/>
        <v>338640</v>
      </c>
      <c r="D80" s="70">
        <f t="shared" ref="D80:D104" si="11">D79+$D$74</f>
        <v>293939.51999999996</v>
      </c>
      <c r="F80" s="90">
        <f t="shared" si="6"/>
        <v>23704.799999999999</v>
      </c>
      <c r="G80" s="56">
        <f t="shared" si="8"/>
        <v>33864</v>
      </c>
      <c r="H80" s="70">
        <f t="shared" si="10"/>
        <v>41991.360000000001</v>
      </c>
    </row>
    <row r="81" spans="1:8">
      <c r="A81" s="41">
        <v>77</v>
      </c>
      <c r="B81" s="56">
        <f t="shared" si="7"/>
        <v>379276.79999999987</v>
      </c>
      <c r="C81" s="56">
        <f t="shared" si="9"/>
        <v>372504</v>
      </c>
      <c r="D81" s="70">
        <f t="shared" si="11"/>
        <v>335930.87999999995</v>
      </c>
      <c r="F81" s="90">
        <f t="shared" si="6"/>
        <v>23704.799999999999</v>
      </c>
      <c r="G81" s="56">
        <f t="shared" si="8"/>
        <v>33864</v>
      </c>
      <c r="H81" s="70">
        <f t="shared" si="10"/>
        <v>41991.360000000001</v>
      </c>
    </row>
    <row r="82" spans="1:8">
      <c r="A82" s="41">
        <v>78</v>
      </c>
      <c r="B82" s="56">
        <f t="shared" si="7"/>
        <v>402981.59999999986</v>
      </c>
      <c r="C82" s="56">
        <f t="shared" si="9"/>
        <v>406368</v>
      </c>
      <c r="D82" s="70">
        <f t="shared" si="11"/>
        <v>377922.23999999993</v>
      </c>
      <c r="F82" s="90">
        <f t="shared" si="6"/>
        <v>23704.799999999999</v>
      </c>
      <c r="G82" s="56">
        <f t="shared" si="8"/>
        <v>33864</v>
      </c>
      <c r="H82" s="70">
        <f t="shared" si="10"/>
        <v>41991.360000000001</v>
      </c>
    </row>
    <row r="83" spans="1:8">
      <c r="A83" s="41">
        <v>79</v>
      </c>
      <c r="B83" s="56">
        <f t="shared" si="7"/>
        <v>426686.39999999985</v>
      </c>
      <c r="C83" s="56">
        <f t="shared" si="9"/>
        <v>440232</v>
      </c>
      <c r="D83" s="70">
        <f t="shared" si="11"/>
        <v>419913.59999999992</v>
      </c>
      <c r="F83" s="90">
        <f t="shared" si="6"/>
        <v>23704.799999999999</v>
      </c>
      <c r="G83" s="56">
        <f t="shared" si="8"/>
        <v>33864</v>
      </c>
      <c r="H83" s="70">
        <f t="shared" si="10"/>
        <v>41991.360000000001</v>
      </c>
    </row>
    <row r="84" spans="1:8">
      <c r="A84" s="41">
        <v>80</v>
      </c>
      <c r="B84" s="56">
        <f t="shared" si="7"/>
        <v>450391.19999999984</v>
      </c>
      <c r="C84" s="56">
        <f t="shared" si="9"/>
        <v>474096</v>
      </c>
      <c r="D84" s="70">
        <f t="shared" si="11"/>
        <v>461904.9599999999</v>
      </c>
      <c r="F84" s="90">
        <f t="shared" si="6"/>
        <v>23704.799999999999</v>
      </c>
      <c r="G84" s="56">
        <f t="shared" si="8"/>
        <v>33864</v>
      </c>
      <c r="H84" s="70">
        <f t="shared" si="10"/>
        <v>41991.360000000001</v>
      </c>
    </row>
    <row r="85" spans="1:8">
      <c r="A85" s="41">
        <v>81</v>
      </c>
      <c r="B85" s="56">
        <f t="shared" si="7"/>
        <v>474095.99999999983</v>
      </c>
      <c r="C85" s="56">
        <f t="shared" si="9"/>
        <v>507960</v>
      </c>
      <c r="D85" s="70">
        <f t="shared" si="11"/>
        <v>503896.31999999989</v>
      </c>
      <c r="F85" s="90">
        <f t="shared" si="6"/>
        <v>23704.799999999999</v>
      </c>
      <c r="G85" s="56">
        <f t="shared" si="8"/>
        <v>33864</v>
      </c>
      <c r="H85" s="70">
        <f t="shared" si="10"/>
        <v>41991.360000000001</v>
      </c>
    </row>
    <row r="86" spans="1:8">
      <c r="A86" s="41">
        <v>82</v>
      </c>
      <c r="B86" s="56">
        <f t="shared" si="7"/>
        <v>497800.79999999981</v>
      </c>
      <c r="C86" s="56">
        <f t="shared" si="9"/>
        <v>541824</v>
      </c>
      <c r="D86" s="70">
        <f t="shared" si="11"/>
        <v>545887.67999999993</v>
      </c>
      <c r="F86" s="90">
        <f t="shared" si="6"/>
        <v>23704.799999999999</v>
      </c>
      <c r="G86" s="56">
        <f t="shared" si="8"/>
        <v>33864</v>
      </c>
      <c r="H86" s="70">
        <f t="shared" si="10"/>
        <v>41991.360000000001</v>
      </c>
    </row>
    <row r="87" spans="1:8">
      <c r="A87" s="41">
        <v>83</v>
      </c>
      <c r="B87" s="56">
        <f t="shared" si="7"/>
        <v>521505.5999999998</v>
      </c>
      <c r="C87" s="56">
        <f t="shared" si="9"/>
        <v>575688</v>
      </c>
      <c r="D87" s="70">
        <f t="shared" si="11"/>
        <v>587879.03999999992</v>
      </c>
      <c r="F87" s="90">
        <f t="shared" si="6"/>
        <v>23704.799999999999</v>
      </c>
      <c r="G87" s="56">
        <f t="shared" si="8"/>
        <v>33864</v>
      </c>
      <c r="H87" s="70">
        <f t="shared" si="10"/>
        <v>41991.360000000001</v>
      </c>
    </row>
    <row r="88" spans="1:8">
      <c r="A88" s="41">
        <v>84</v>
      </c>
      <c r="B88" s="56">
        <f t="shared" si="7"/>
        <v>545210.39999999979</v>
      </c>
      <c r="C88" s="56">
        <f t="shared" si="9"/>
        <v>609552</v>
      </c>
      <c r="D88" s="70">
        <f t="shared" si="11"/>
        <v>629870.39999999991</v>
      </c>
      <c r="F88" s="90">
        <f t="shared" si="6"/>
        <v>23704.799999999999</v>
      </c>
      <c r="G88" s="56">
        <f t="shared" si="8"/>
        <v>33864</v>
      </c>
      <c r="H88" s="70">
        <f t="shared" si="10"/>
        <v>41991.360000000001</v>
      </c>
    </row>
    <row r="89" spans="1:8">
      <c r="A89" s="41">
        <v>85</v>
      </c>
      <c r="B89" s="56">
        <f t="shared" si="7"/>
        <v>568915.19999999984</v>
      </c>
      <c r="C89" s="56">
        <f t="shared" si="9"/>
        <v>643416</v>
      </c>
      <c r="D89" s="70">
        <f t="shared" si="11"/>
        <v>671861.75999999989</v>
      </c>
      <c r="F89" s="90">
        <f t="shared" si="6"/>
        <v>23704.799999999999</v>
      </c>
      <c r="G89" s="56">
        <f t="shared" si="8"/>
        <v>33864</v>
      </c>
      <c r="H89" s="70">
        <f t="shared" si="10"/>
        <v>41991.360000000001</v>
      </c>
    </row>
    <row r="90" spans="1:8">
      <c r="A90" s="41">
        <v>86</v>
      </c>
      <c r="B90" s="56">
        <f t="shared" si="7"/>
        <v>592619.99999999988</v>
      </c>
      <c r="C90" s="56">
        <f t="shared" si="9"/>
        <v>677280</v>
      </c>
      <c r="D90" s="70">
        <f t="shared" si="11"/>
        <v>713853.11999999988</v>
      </c>
      <c r="F90" s="90">
        <f t="shared" si="6"/>
        <v>23704.799999999999</v>
      </c>
      <c r="G90" s="56">
        <f t="shared" si="8"/>
        <v>33864</v>
      </c>
      <c r="H90" s="70">
        <f t="shared" si="10"/>
        <v>41991.360000000001</v>
      </c>
    </row>
    <row r="91" spans="1:8">
      <c r="A91" s="41">
        <v>87</v>
      </c>
      <c r="B91" s="56">
        <f t="shared" si="7"/>
        <v>616324.79999999993</v>
      </c>
      <c r="C91" s="56">
        <f t="shared" si="9"/>
        <v>711144</v>
      </c>
      <c r="D91" s="70">
        <f t="shared" si="11"/>
        <v>755844.47999999986</v>
      </c>
      <c r="F91" s="90">
        <f t="shared" si="6"/>
        <v>23704.799999999999</v>
      </c>
      <c r="G91" s="56">
        <f t="shared" si="8"/>
        <v>33864</v>
      </c>
      <c r="H91" s="70">
        <f t="shared" si="10"/>
        <v>41991.360000000001</v>
      </c>
    </row>
    <row r="92" spans="1:8">
      <c r="A92" s="41">
        <v>88</v>
      </c>
      <c r="B92" s="56">
        <f t="shared" si="7"/>
        <v>640029.6</v>
      </c>
      <c r="C92" s="56">
        <f t="shared" si="9"/>
        <v>745008</v>
      </c>
      <c r="D92" s="70">
        <f t="shared" si="11"/>
        <v>797835.83999999985</v>
      </c>
      <c r="F92" s="90">
        <f t="shared" si="6"/>
        <v>23704.799999999999</v>
      </c>
      <c r="G92" s="56">
        <f t="shared" si="8"/>
        <v>33864</v>
      </c>
      <c r="H92" s="70">
        <f t="shared" si="10"/>
        <v>41991.360000000001</v>
      </c>
    </row>
    <row r="93" spans="1:8">
      <c r="A93" s="41">
        <v>89</v>
      </c>
      <c r="B93" s="56">
        <f t="shared" si="7"/>
        <v>663734.4</v>
      </c>
      <c r="C93" s="56">
        <f t="shared" si="9"/>
        <v>778872</v>
      </c>
      <c r="D93" s="70">
        <f t="shared" si="11"/>
        <v>839827.19999999984</v>
      </c>
      <c r="F93" s="90">
        <f t="shared" si="6"/>
        <v>23704.799999999999</v>
      </c>
      <c r="G93" s="56">
        <f t="shared" si="8"/>
        <v>33864</v>
      </c>
      <c r="H93" s="70">
        <f t="shared" si="10"/>
        <v>41991.360000000001</v>
      </c>
    </row>
    <row r="94" spans="1:8">
      <c r="A94" s="41">
        <v>90</v>
      </c>
      <c r="B94" s="56">
        <f t="shared" si="7"/>
        <v>687439.20000000007</v>
      </c>
      <c r="C94" s="56">
        <f t="shared" si="9"/>
        <v>812736</v>
      </c>
      <c r="D94" s="70">
        <f t="shared" si="11"/>
        <v>881818.55999999982</v>
      </c>
      <c r="F94" s="90">
        <f t="shared" si="6"/>
        <v>23704.799999999999</v>
      </c>
      <c r="G94" s="56">
        <f t="shared" si="8"/>
        <v>33864</v>
      </c>
      <c r="H94" s="70">
        <f t="shared" si="10"/>
        <v>41991.360000000001</v>
      </c>
    </row>
    <row r="95" spans="1:8">
      <c r="A95" s="41">
        <v>91</v>
      </c>
      <c r="B95" s="56">
        <f t="shared" si="7"/>
        <v>711144.00000000012</v>
      </c>
      <c r="C95" s="56">
        <f t="shared" si="9"/>
        <v>846600</v>
      </c>
      <c r="D95" s="70">
        <f t="shared" si="11"/>
        <v>923809.91999999981</v>
      </c>
      <c r="F95" s="90">
        <f t="shared" si="6"/>
        <v>23704.799999999999</v>
      </c>
      <c r="G95" s="56">
        <f t="shared" si="8"/>
        <v>33864</v>
      </c>
      <c r="H95" s="70">
        <f t="shared" si="10"/>
        <v>41991.360000000001</v>
      </c>
    </row>
    <row r="96" spans="1:8">
      <c r="A96" s="41">
        <v>92</v>
      </c>
      <c r="B96" s="56">
        <f t="shared" si="7"/>
        <v>734848.80000000016</v>
      </c>
      <c r="C96" s="56">
        <f t="shared" si="9"/>
        <v>880464</v>
      </c>
      <c r="D96" s="70">
        <f t="shared" si="11"/>
        <v>965801.2799999998</v>
      </c>
      <c r="F96" s="90">
        <f t="shared" si="6"/>
        <v>23704.799999999999</v>
      </c>
      <c r="G96" s="56">
        <f t="shared" si="8"/>
        <v>33864</v>
      </c>
      <c r="H96" s="70">
        <f t="shared" si="10"/>
        <v>41991.360000000001</v>
      </c>
    </row>
    <row r="97" spans="1:12">
      <c r="A97" s="41">
        <v>93</v>
      </c>
      <c r="B97" s="56">
        <f t="shared" si="7"/>
        <v>758553.60000000021</v>
      </c>
      <c r="C97" s="56">
        <f t="shared" si="9"/>
        <v>914328</v>
      </c>
      <c r="D97" s="70">
        <f t="shared" si="11"/>
        <v>1007792.6399999998</v>
      </c>
      <c r="F97" s="90">
        <f t="shared" si="6"/>
        <v>23704.799999999999</v>
      </c>
      <c r="G97" s="56">
        <f t="shared" si="8"/>
        <v>33864</v>
      </c>
      <c r="H97" s="70">
        <f t="shared" si="10"/>
        <v>41991.360000000001</v>
      </c>
    </row>
    <row r="98" spans="1:12">
      <c r="A98" s="41">
        <v>94</v>
      </c>
      <c r="B98" s="56">
        <f t="shared" si="7"/>
        <v>782258.40000000026</v>
      </c>
      <c r="C98" s="56">
        <f t="shared" si="9"/>
        <v>948192</v>
      </c>
      <c r="D98" s="70">
        <f t="shared" si="11"/>
        <v>1049783.9999999998</v>
      </c>
      <c r="F98" s="90">
        <f t="shared" si="6"/>
        <v>23704.799999999999</v>
      </c>
      <c r="G98" s="56">
        <f t="shared" si="8"/>
        <v>33864</v>
      </c>
      <c r="H98" s="70">
        <f t="shared" si="10"/>
        <v>41991.360000000001</v>
      </c>
    </row>
    <row r="99" spans="1:12">
      <c r="A99" s="41">
        <v>95</v>
      </c>
      <c r="B99" s="56">
        <f t="shared" si="7"/>
        <v>805963.2000000003</v>
      </c>
      <c r="C99" s="56">
        <f t="shared" si="9"/>
        <v>982056</v>
      </c>
      <c r="D99" s="70">
        <f t="shared" si="11"/>
        <v>1091775.3599999999</v>
      </c>
      <c r="F99" s="90">
        <f t="shared" si="6"/>
        <v>23704.799999999999</v>
      </c>
      <c r="G99" s="56">
        <f t="shared" si="8"/>
        <v>33864</v>
      </c>
      <c r="H99" s="70">
        <f t="shared" si="10"/>
        <v>41991.360000000001</v>
      </c>
    </row>
    <row r="100" spans="1:12">
      <c r="A100" s="41">
        <v>96</v>
      </c>
      <c r="B100" s="56">
        <f t="shared" si="7"/>
        <v>829668.00000000035</v>
      </c>
      <c r="C100" s="56">
        <f t="shared" si="9"/>
        <v>1015920</v>
      </c>
      <c r="D100" s="70">
        <f t="shared" si="11"/>
        <v>1133766.72</v>
      </c>
      <c r="F100" s="90">
        <f t="shared" si="6"/>
        <v>23704.799999999999</v>
      </c>
      <c r="G100" s="56">
        <f t="shared" si="8"/>
        <v>33864</v>
      </c>
      <c r="H100" s="70">
        <f t="shared" si="10"/>
        <v>41991.360000000001</v>
      </c>
    </row>
    <row r="101" spans="1:12">
      <c r="A101" s="41">
        <v>97</v>
      </c>
      <c r="B101" s="56">
        <f t="shared" si="7"/>
        <v>853372.8000000004</v>
      </c>
      <c r="C101" s="56">
        <f t="shared" si="9"/>
        <v>1049784</v>
      </c>
      <c r="D101" s="70">
        <f t="shared" si="11"/>
        <v>1175758.08</v>
      </c>
      <c r="F101" s="90">
        <f t="shared" si="6"/>
        <v>23704.799999999999</v>
      </c>
      <c r="G101" s="56">
        <f t="shared" si="8"/>
        <v>33864</v>
      </c>
      <c r="H101" s="70">
        <f t="shared" si="10"/>
        <v>41991.360000000001</v>
      </c>
    </row>
    <row r="102" spans="1:12">
      <c r="A102" s="41">
        <v>98</v>
      </c>
      <c r="B102" s="56">
        <f t="shared" si="7"/>
        <v>877077.60000000044</v>
      </c>
      <c r="C102" s="56">
        <f t="shared" si="9"/>
        <v>1083648</v>
      </c>
      <c r="D102" s="70">
        <f t="shared" si="11"/>
        <v>1217749.4400000002</v>
      </c>
      <c r="F102" s="90">
        <f t="shared" si="6"/>
        <v>23704.799999999999</v>
      </c>
      <c r="G102" s="56">
        <f t="shared" si="8"/>
        <v>33864</v>
      </c>
      <c r="H102" s="70">
        <f t="shared" si="10"/>
        <v>41991.360000000001</v>
      </c>
    </row>
    <row r="103" spans="1:12">
      <c r="A103" s="41">
        <v>99</v>
      </c>
      <c r="B103" s="56">
        <f t="shared" si="7"/>
        <v>900782.40000000049</v>
      </c>
      <c r="C103" s="56">
        <f t="shared" si="9"/>
        <v>1117512</v>
      </c>
      <c r="D103" s="70">
        <f t="shared" si="11"/>
        <v>1259740.8000000003</v>
      </c>
      <c r="F103" s="90">
        <f t="shared" si="6"/>
        <v>23704.799999999999</v>
      </c>
      <c r="G103" s="56">
        <f t="shared" si="8"/>
        <v>33864</v>
      </c>
      <c r="H103" s="70">
        <f t="shared" si="10"/>
        <v>41991.360000000001</v>
      </c>
    </row>
    <row r="104" spans="1:12" ht="15.75" thickBot="1">
      <c r="A104" s="43">
        <v>100</v>
      </c>
      <c r="B104" s="59">
        <f t="shared" si="7"/>
        <v>924487.20000000054</v>
      </c>
      <c r="C104" s="59">
        <f t="shared" si="9"/>
        <v>1151376</v>
      </c>
      <c r="D104" s="71">
        <f t="shared" si="11"/>
        <v>1301732.1600000004</v>
      </c>
      <c r="F104" s="83">
        <f t="shared" si="6"/>
        <v>23704.799999999999</v>
      </c>
      <c r="G104" s="59">
        <f t="shared" si="8"/>
        <v>33864</v>
      </c>
      <c r="H104" s="71">
        <f t="shared" si="10"/>
        <v>41991.360000000001</v>
      </c>
      <c r="K104" t="str">
        <f>"Totals with Cola of " &amp; B5*100 &amp; "%  Rate of Return = 0.0 % "</f>
        <v xml:space="preserve">Totals with Cola of 2.5%  Rate of Return = 0.0 % </v>
      </c>
    </row>
    <row r="106" spans="1:12" ht="15.75" thickBot="1"/>
    <row r="107" spans="1:12" ht="45.75" thickBot="1">
      <c r="A107" s="115" t="s">
        <v>133</v>
      </c>
      <c r="B107" s="77" t="s">
        <v>89</v>
      </c>
      <c r="C107" s="77" t="s">
        <v>88</v>
      </c>
      <c r="D107" s="50" t="s">
        <v>91</v>
      </c>
      <c r="E107" s="50" t="s">
        <v>90</v>
      </c>
      <c r="F107" s="50" t="s">
        <v>93</v>
      </c>
      <c r="G107" s="145" t="s">
        <v>92</v>
      </c>
      <c r="H107" s="149" t="s">
        <v>213</v>
      </c>
      <c r="I107" s="149" t="s">
        <v>214</v>
      </c>
      <c r="J107" s="149" t="s">
        <v>215</v>
      </c>
      <c r="K107" s="149" t="str">
        <f>"Discount rate = " &amp; B7*100 &amp; " %"</f>
        <v>Discount rate = 2.5 %</v>
      </c>
      <c r="L107" s="149" t="str">
        <f>"Rate of return = " &amp; B6*100 &amp; " %"</f>
        <v>Rate of return = 2.5 %</v>
      </c>
    </row>
    <row r="108" spans="1:12">
      <c r="A108" s="75">
        <v>62</v>
      </c>
      <c r="B108" s="62">
        <f>B66</f>
        <v>23704.799999999999</v>
      </c>
      <c r="C108" s="62">
        <f>B108</f>
        <v>23704.799999999999</v>
      </c>
      <c r="D108" s="46">
        <v>0</v>
      </c>
      <c r="E108" s="46">
        <v>0</v>
      </c>
      <c r="F108" s="46">
        <v>0</v>
      </c>
      <c r="G108" s="146">
        <v>0</v>
      </c>
      <c r="H108" s="56">
        <f>C108</f>
        <v>23704.799999999999</v>
      </c>
      <c r="I108" s="37">
        <f>D108</f>
        <v>0</v>
      </c>
      <c r="J108" s="37">
        <v>0</v>
      </c>
      <c r="K108" s="150">
        <v>1000</v>
      </c>
      <c r="L108" s="150">
        <f>1000</f>
        <v>1000</v>
      </c>
    </row>
    <row r="109" spans="1:12">
      <c r="A109" s="54">
        <v>63</v>
      </c>
      <c r="B109" s="56">
        <f>B108+(B108*$B$5)</f>
        <v>24297.42</v>
      </c>
      <c r="C109" s="56">
        <f>C108+B109</f>
        <v>48002.22</v>
      </c>
      <c r="D109" s="37">
        <v>0</v>
      </c>
      <c r="E109" s="37">
        <v>0</v>
      </c>
      <c r="F109" s="37">
        <v>0</v>
      </c>
      <c r="G109" s="147">
        <v>0</v>
      </c>
      <c r="H109" s="56">
        <f>C109/(1+$B$7)^(A109-$A$108)</f>
        <v>46831.434146341468</v>
      </c>
      <c r="I109" s="37">
        <f t="shared" ref="I109:I112" si="12">D109</f>
        <v>0</v>
      </c>
      <c r="J109" s="37">
        <v>0</v>
      </c>
      <c r="K109" s="150">
        <f>$K$108/(1+$B$7)^(A109-$A$108)</f>
        <v>975.6097560975611</v>
      </c>
      <c r="L109" s="150">
        <f>$L$108*(1+$B$6)^(A109-$A$108)</f>
        <v>1025</v>
      </c>
    </row>
    <row r="110" spans="1:12">
      <c r="A110" s="54">
        <v>64</v>
      </c>
      <c r="B110" s="56">
        <f t="shared" ref="B110:B146" si="13">B109+(B109*$B$5)</f>
        <v>24904.855499999998</v>
      </c>
      <c r="C110" s="56">
        <f t="shared" ref="C110:C146" si="14">C109+B110</f>
        <v>72907.075500000006</v>
      </c>
      <c r="D110" s="37">
        <v>0</v>
      </c>
      <c r="E110" s="37">
        <v>0</v>
      </c>
      <c r="F110" s="37">
        <v>0</v>
      </c>
      <c r="G110" s="147">
        <v>0</v>
      </c>
      <c r="H110" s="56">
        <f>C110/(1+$B$7)^(A110-$A$108)</f>
        <v>69394.004045211201</v>
      </c>
      <c r="I110" s="37">
        <f t="shared" si="12"/>
        <v>0</v>
      </c>
      <c r="J110" s="37">
        <v>0</v>
      </c>
      <c r="K110" s="150">
        <f>$K$108/(1+$B$7)^(A110-$A$108)</f>
        <v>951.81439619274249</v>
      </c>
      <c r="L110" s="150">
        <f>$L$108*(1+$B$6)^(A110-$A$108)</f>
        <v>1050.625</v>
      </c>
    </row>
    <row r="111" spans="1:12">
      <c r="A111" s="54">
        <v>65</v>
      </c>
      <c r="B111" s="56">
        <f t="shared" si="13"/>
        <v>25527.476887499997</v>
      </c>
      <c r="C111" s="56">
        <f t="shared" si="14"/>
        <v>98434.552387500007</v>
      </c>
      <c r="D111" s="37">
        <v>0</v>
      </c>
      <c r="E111" s="37">
        <v>0</v>
      </c>
      <c r="F111" s="37">
        <v>0</v>
      </c>
      <c r="G111" s="147">
        <v>0</v>
      </c>
      <c r="H111" s="56">
        <f t="shared" ref="H111:H146" si="15">C111/(1+$B$7)^(A111-$A$108)</f>
        <v>91406.267361181657</v>
      </c>
      <c r="I111" s="37">
        <f t="shared" si="12"/>
        <v>0</v>
      </c>
      <c r="J111" s="37">
        <v>0</v>
      </c>
      <c r="K111" s="150">
        <f t="shared" ref="K111:K146" si="16">$K$108/(1+$B$7)^(A111-$A$108)</f>
        <v>928.59941091974883</v>
      </c>
      <c r="L111" s="150">
        <f t="shared" ref="L111:L146" si="17">$L$108*(1+$B$6)^(A111-$A$108)</f>
        <v>1076.8906249999998</v>
      </c>
    </row>
    <row r="112" spans="1:12">
      <c r="A112" s="54">
        <v>66</v>
      </c>
      <c r="B112" s="56">
        <f t="shared" si="13"/>
        <v>26165.663809687496</v>
      </c>
      <c r="C112" s="56">
        <f t="shared" si="14"/>
        <v>124600.2161971875</v>
      </c>
      <c r="D112" s="37">
        <v>0</v>
      </c>
      <c r="E112" s="37">
        <v>0</v>
      </c>
      <c r="F112" s="37">
        <v>0</v>
      </c>
      <c r="G112" s="147">
        <v>0</v>
      </c>
      <c r="H112" s="56">
        <f t="shared" si="15"/>
        <v>112881.6462060309</v>
      </c>
      <c r="I112" s="37">
        <f t="shared" si="12"/>
        <v>0</v>
      </c>
      <c r="J112" s="37">
        <v>0</v>
      </c>
      <c r="K112" s="150">
        <f t="shared" si="16"/>
        <v>905.95064479975497</v>
      </c>
      <c r="L112" s="150">
        <f t="shared" si="17"/>
        <v>1103.8128906249997</v>
      </c>
    </row>
    <row r="113" spans="1:14">
      <c r="A113" s="54">
        <v>67</v>
      </c>
      <c r="B113" s="56">
        <f t="shared" si="13"/>
        <v>26819.805404929684</v>
      </c>
      <c r="C113" s="56">
        <f t="shared" si="14"/>
        <v>151420.02160211719</v>
      </c>
      <c r="D113" s="56">
        <f>C71</f>
        <v>33864</v>
      </c>
      <c r="E113" s="56">
        <f>D113</f>
        <v>33864</v>
      </c>
      <c r="F113" s="37">
        <v>0</v>
      </c>
      <c r="G113" s="147">
        <v>0</v>
      </c>
      <c r="H113" s="56">
        <f t="shared" si="15"/>
        <v>133833.23532295699</v>
      </c>
      <c r="I113" s="56">
        <f>E113</f>
        <v>33864</v>
      </c>
      <c r="J113" s="37">
        <v>0</v>
      </c>
      <c r="K113" s="150">
        <f t="shared" si="16"/>
        <v>883.8542876095172</v>
      </c>
      <c r="L113" s="150">
        <f t="shared" si="17"/>
        <v>1131.4082128906246</v>
      </c>
    </row>
    <row r="114" spans="1:14">
      <c r="A114" s="54">
        <v>68</v>
      </c>
      <c r="B114" s="56">
        <f t="shared" si="13"/>
        <v>27490.300540052925</v>
      </c>
      <c r="C114" s="56">
        <f t="shared" si="14"/>
        <v>178910.32214217013</v>
      </c>
      <c r="D114" s="56">
        <f>D113+D113*$B$5</f>
        <v>34710.6</v>
      </c>
      <c r="E114" s="56">
        <f t="shared" ref="E114:E146" si="18">E113+D114</f>
        <v>68574.600000000006</v>
      </c>
      <c r="F114" s="37">
        <v>0</v>
      </c>
      <c r="G114" s="147">
        <v>0</v>
      </c>
      <c r="H114" s="56">
        <f t="shared" si="15"/>
        <v>154273.81007117758</v>
      </c>
      <c r="I114" s="56">
        <f>E114/(1+$B$7)^(A114-$A$108)</f>
        <v>59131.662664495227</v>
      </c>
      <c r="J114" s="37">
        <v>0</v>
      </c>
      <c r="K114" s="150">
        <f t="shared" si="16"/>
        <v>862.29686596050465</v>
      </c>
      <c r="L114" s="150">
        <f t="shared" si="17"/>
        <v>1159.6934182128903</v>
      </c>
    </row>
    <row r="115" spans="1:14">
      <c r="A115" s="54">
        <v>69</v>
      </c>
      <c r="B115" s="56">
        <f t="shared" si="13"/>
        <v>28177.55805355425</v>
      </c>
      <c r="C115" s="56">
        <f t="shared" si="14"/>
        <v>207087.88019572437</v>
      </c>
      <c r="D115" s="56">
        <f t="shared" ref="D115:D146" si="19">D114+D114*$B$5</f>
        <v>35578.364999999998</v>
      </c>
      <c r="E115" s="56">
        <f t="shared" si="18"/>
        <v>104152.965</v>
      </c>
      <c r="F115" s="37">
        <v>0</v>
      </c>
      <c r="G115" s="147">
        <v>0</v>
      </c>
      <c r="H115" s="56">
        <f t="shared" si="15"/>
        <v>174215.83421578299</v>
      </c>
      <c r="I115" s="56">
        <f t="shared" ref="I115:I146" si="20">E115/(1+$B$7)^(A115-$A$108)</f>
        <v>87620.268585360114</v>
      </c>
      <c r="J115" s="37">
        <v>0</v>
      </c>
      <c r="K115" s="150">
        <f t="shared" si="16"/>
        <v>841.26523508341916</v>
      </c>
      <c r="L115" s="150">
        <f t="shared" si="17"/>
        <v>1188.6857536682126</v>
      </c>
    </row>
    <row r="116" spans="1:14">
      <c r="A116" s="54">
        <v>70</v>
      </c>
      <c r="B116" s="56">
        <f t="shared" si="13"/>
        <v>28881.997004893106</v>
      </c>
      <c r="C116" s="56">
        <f t="shared" si="14"/>
        <v>235969.87720061748</v>
      </c>
      <c r="D116" s="56">
        <f t="shared" si="19"/>
        <v>36467.824124999999</v>
      </c>
      <c r="E116" s="56">
        <f t="shared" si="18"/>
        <v>140620.78912500001</v>
      </c>
      <c r="F116" s="56">
        <f>D74</f>
        <v>41991.360000000001</v>
      </c>
      <c r="G116" s="97">
        <f>D74</f>
        <v>41991.360000000001</v>
      </c>
      <c r="H116" s="56">
        <f t="shared" si="15"/>
        <v>193671.46752759319</v>
      </c>
      <c r="I116" s="56">
        <f t="shared" si="20"/>
        <v>115414.03045937468</v>
      </c>
      <c r="J116" s="56">
        <f>G116</f>
        <v>41991.360000000001</v>
      </c>
      <c r="K116" s="150">
        <f t="shared" si="16"/>
        <v>820.74657081309192</v>
      </c>
      <c r="L116" s="150">
        <f t="shared" si="17"/>
        <v>1218.4028975099177</v>
      </c>
    </row>
    <row r="117" spans="1:14">
      <c r="A117" s="54">
        <v>71</v>
      </c>
      <c r="B117" s="56">
        <f t="shared" si="13"/>
        <v>29604.046930015433</v>
      </c>
      <c r="C117" s="56">
        <f t="shared" si="14"/>
        <v>265573.92413063289</v>
      </c>
      <c r="D117" s="56">
        <f t="shared" si="19"/>
        <v>37379.519728125</v>
      </c>
      <c r="E117" s="56">
        <f t="shared" si="18"/>
        <v>178000.30885312503</v>
      </c>
      <c r="F117" s="56">
        <f>F116 +F116*$B$5</f>
        <v>43041.144</v>
      </c>
      <c r="G117" s="97">
        <f>G116+F117</f>
        <v>85032.504000000001</v>
      </c>
      <c r="H117" s="56">
        <f t="shared" si="15"/>
        <v>212652.57319765192</v>
      </c>
      <c r="I117" s="56">
        <f t="shared" si="20"/>
        <v>142529.89570231573</v>
      </c>
      <c r="J117" s="56">
        <f>G117/(1+$B$7)^(A117-$A$108)</f>
        <v>68087.937625024904</v>
      </c>
      <c r="K117" s="150">
        <f t="shared" si="16"/>
        <v>800.72836176887029</v>
      </c>
      <c r="L117" s="150">
        <f t="shared" si="17"/>
        <v>1248.8629699476655</v>
      </c>
      <c r="N117" s="2">
        <f>PV(B7,A117-A108,0,G117)</f>
        <v>-68087.937625024904</v>
      </c>
    </row>
    <row r="118" spans="1:14">
      <c r="A118" s="54">
        <v>72</v>
      </c>
      <c r="B118" s="56">
        <f t="shared" si="13"/>
        <v>30344.148103265819</v>
      </c>
      <c r="C118" s="56">
        <f t="shared" si="14"/>
        <v>295918.07223389868</v>
      </c>
      <c r="D118" s="56">
        <f t="shared" si="19"/>
        <v>38314.007721328126</v>
      </c>
      <c r="E118" s="56">
        <f t="shared" si="18"/>
        <v>216314.31657445314</v>
      </c>
      <c r="F118" s="56">
        <f t="shared" ref="F118:F146" si="21">F117 +F117*$B$5</f>
        <v>44117.172599999998</v>
      </c>
      <c r="G118" s="97">
        <f>G117+F118</f>
        <v>129149.67660000001</v>
      </c>
      <c r="H118" s="56">
        <f t="shared" si="15"/>
        <v>231170.72507087991</v>
      </c>
      <c r="I118" s="56">
        <f t="shared" si="20"/>
        <v>168984.39837835575</v>
      </c>
      <c r="J118" s="56">
        <f>G118/(1+$B$7)^(A118-$A$108)</f>
        <v>100891.52094331454</v>
      </c>
      <c r="K118" s="150">
        <f t="shared" si="16"/>
        <v>781.19840172572708</v>
      </c>
      <c r="L118" s="150">
        <f t="shared" si="17"/>
        <v>1280.084544196357</v>
      </c>
    </row>
    <row r="119" spans="1:14">
      <c r="A119" s="54">
        <v>73</v>
      </c>
      <c r="B119" s="56">
        <f t="shared" si="13"/>
        <v>31102.751805847463</v>
      </c>
      <c r="C119" s="56">
        <f t="shared" si="14"/>
        <v>327020.82403974613</v>
      </c>
      <c r="D119" s="56">
        <f t="shared" si="19"/>
        <v>39271.857914361331</v>
      </c>
      <c r="E119" s="56">
        <f t="shared" si="18"/>
        <v>255586.17448881449</v>
      </c>
      <c r="F119" s="56">
        <f t="shared" si="21"/>
        <v>45220.101914999999</v>
      </c>
      <c r="G119" s="97">
        <f t="shared" ref="G119:G146" si="22">G118+F119</f>
        <v>174369.77851500001</v>
      </c>
      <c r="H119" s="56">
        <f t="shared" si="15"/>
        <v>249237.21470329748</v>
      </c>
      <c r="I119" s="56">
        <f t="shared" si="20"/>
        <v>194793.66928180945</v>
      </c>
      <c r="J119" s="56">
        <f t="shared" ref="J119:J146" si="23">G119/(1+$B$7)^(A119-$A$108)</f>
        <v>132895.01686359712</v>
      </c>
      <c r="K119" s="150">
        <f t="shared" si="16"/>
        <v>762.14478217144108</v>
      </c>
      <c r="L119" s="150">
        <f t="shared" si="17"/>
        <v>1312.086657801266</v>
      </c>
    </row>
    <row r="120" spans="1:14">
      <c r="A120" s="54">
        <v>74</v>
      </c>
      <c r="B120" s="56">
        <f t="shared" si="13"/>
        <v>31880.320600993651</v>
      </c>
      <c r="C120" s="56">
        <f t="shared" si="14"/>
        <v>358901.14464073977</v>
      </c>
      <c r="D120" s="56">
        <f t="shared" si="19"/>
        <v>40253.654362220368</v>
      </c>
      <c r="E120" s="56">
        <f t="shared" si="18"/>
        <v>295839.82885103486</v>
      </c>
      <c r="F120" s="56">
        <f t="shared" si="21"/>
        <v>46350.604462875002</v>
      </c>
      <c r="G120" s="97">
        <f t="shared" si="22"/>
        <v>220720.38297787501</v>
      </c>
      <c r="H120" s="56">
        <f t="shared" si="15"/>
        <v>266863.05824711954</v>
      </c>
      <c r="I120" s="56">
        <f t="shared" si="20"/>
        <v>219973.4457729838</v>
      </c>
      <c r="J120" s="56">
        <f t="shared" si="23"/>
        <v>164117.93971265329</v>
      </c>
      <c r="K120" s="150">
        <f t="shared" si="16"/>
        <v>743.5558850453084</v>
      </c>
      <c r="L120" s="150">
        <f t="shared" si="17"/>
        <v>1344.8888242462974</v>
      </c>
    </row>
    <row r="121" spans="1:14">
      <c r="A121" s="54">
        <v>75</v>
      </c>
      <c r="B121" s="56">
        <f t="shared" si="13"/>
        <v>32677.328616018494</v>
      </c>
      <c r="C121" s="56">
        <f t="shared" si="14"/>
        <v>391578.4732567583</v>
      </c>
      <c r="D121" s="56">
        <f t="shared" si="19"/>
        <v>41259.995721275875</v>
      </c>
      <c r="E121" s="56">
        <f t="shared" si="18"/>
        <v>337099.82457231072</v>
      </c>
      <c r="F121" s="56">
        <f t="shared" si="21"/>
        <v>47509.369574446879</v>
      </c>
      <c r="G121" s="97">
        <f t="shared" si="22"/>
        <v>268229.75255232188</v>
      </c>
      <c r="H121" s="56">
        <f t="shared" si="15"/>
        <v>284059.0031679215</v>
      </c>
      <c r="I121" s="56">
        <f t="shared" si="20"/>
        <v>244539.08137412948</v>
      </c>
      <c r="J121" s="56">
        <f t="shared" si="23"/>
        <v>194579.32785807393</v>
      </c>
      <c r="K121" s="150">
        <f t="shared" si="16"/>
        <v>725.42037565395947</v>
      </c>
      <c r="L121" s="150">
        <f t="shared" si="17"/>
        <v>1378.5110448524549</v>
      </c>
    </row>
    <row r="122" spans="1:14">
      <c r="A122" s="54">
        <v>76</v>
      </c>
      <c r="B122" s="56">
        <f t="shared" si="13"/>
        <v>33494.26183141896</v>
      </c>
      <c r="C122" s="56">
        <f t="shared" si="14"/>
        <v>425072.73508817726</v>
      </c>
      <c r="D122" s="56">
        <f t="shared" si="19"/>
        <v>42291.495614307772</v>
      </c>
      <c r="E122" s="56">
        <f t="shared" si="18"/>
        <v>379391.32018661848</v>
      </c>
      <c r="F122" s="56">
        <f t="shared" si="21"/>
        <v>48697.103813808048</v>
      </c>
      <c r="G122" s="97">
        <f t="shared" si="22"/>
        <v>316926.85636612994</v>
      </c>
      <c r="H122" s="56">
        <f t="shared" si="15"/>
        <v>300835.53479797224</v>
      </c>
      <c r="I122" s="56">
        <f t="shared" si="20"/>
        <v>268505.55513134482</v>
      </c>
      <c r="J122" s="56">
        <f t="shared" si="23"/>
        <v>224297.75531702093</v>
      </c>
      <c r="K122" s="150">
        <f t="shared" si="16"/>
        <v>707.72719575996052</v>
      </c>
      <c r="L122" s="150">
        <f t="shared" si="17"/>
        <v>1412.9738209737661</v>
      </c>
    </row>
    <row r="123" spans="1:14">
      <c r="A123" s="54">
        <v>77</v>
      </c>
      <c r="B123" s="56">
        <f t="shared" si="13"/>
        <v>34331.618377204431</v>
      </c>
      <c r="C123" s="56">
        <f t="shared" si="14"/>
        <v>459404.35346538166</v>
      </c>
      <c r="D123" s="56">
        <f t="shared" si="19"/>
        <v>43348.783004665464</v>
      </c>
      <c r="E123" s="56">
        <f t="shared" si="18"/>
        <v>422740.10319128394</v>
      </c>
      <c r="F123" s="56">
        <f t="shared" si="21"/>
        <v>49914.531409153249</v>
      </c>
      <c r="G123" s="97">
        <f t="shared" si="22"/>
        <v>366841.38777528319</v>
      </c>
      <c r="H123" s="56">
        <f t="shared" si="15"/>
        <v>317202.882729729</v>
      </c>
      <c r="I123" s="56">
        <f t="shared" si="20"/>
        <v>291887.48074814019</v>
      </c>
      <c r="J123" s="56">
        <f t="shared" si="23"/>
        <v>253291.34308184721</v>
      </c>
      <c r="K123" s="150">
        <f t="shared" si="16"/>
        <v>690.46555683898578</v>
      </c>
      <c r="L123" s="150">
        <f t="shared" si="17"/>
        <v>1448.2981664981105</v>
      </c>
    </row>
    <row r="124" spans="1:14">
      <c r="A124" s="54">
        <v>78</v>
      </c>
      <c r="B124" s="56">
        <f t="shared" si="13"/>
        <v>35189.908836634539</v>
      </c>
      <c r="C124" s="56">
        <f t="shared" si="14"/>
        <v>494594.2623020162</v>
      </c>
      <c r="D124" s="56">
        <f t="shared" si="19"/>
        <v>44432.5025797821</v>
      </c>
      <c r="E124" s="56">
        <f t="shared" si="18"/>
        <v>467172.60577106604</v>
      </c>
      <c r="F124" s="56">
        <f t="shared" si="21"/>
        <v>51162.394694382077</v>
      </c>
      <c r="G124" s="97">
        <f t="shared" si="22"/>
        <v>418003.78246966528</v>
      </c>
      <c r="H124" s="56">
        <f t="shared" si="15"/>
        <v>333171.02705339418</v>
      </c>
      <c r="I124" s="56">
        <f t="shared" si="20"/>
        <v>314699.11549623328</v>
      </c>
      <c r="J124" s="56">
        <f t="shared" si="23"/>
        <v>281577.77016948268</v>
      </c>
      <c r="K124" s="150">
        <f t="shared" si="16"/>
        <v>673.62493350144962</v>
      </c>
      <c r="L124" s="150">
        <f t="shared" si="17"/>
        <v>1484.5056206605632</v>
      </c>
    </row>
    <row r="125" spans="1:14">
      <c r="A125" s="54">
        <v>79</v>
      </c>
      <c r="B125" s="56">
        <f t="shared" si="13"/>
        <v>36069.656557550399</v>
      </c>
      <c r="C125" s="56">
        <f t="shared" si="14"/>
        <v>530663.91885956656</v>
      </c>
      <c r="D125" s="56">
        <f t="shared" si="19"/>
        <v>45543.315144276654</v>
      </c>
      <c r="E125" s="56">
        <f t="shared" si="18"/>
        <v>512715.92091534269</v>
      </c>
      <c r="F125" s="56">
        <f t="shared" si="21"/>
        <v>52441.45456174163</v>
      </c>
      <c r="G125" s="97">
        <f t="shared" si="22"/>
        <v>470445.2370314069</v>
      </c>
      <c r="H125" s="56">
        <f t="shared" si="15"/>
        <v>348749.70444233582</v>
      </c>
      <c r="I125" s="56">
        <f t="shared" si="20"/>
        <v>336954.36890900711</v>
      </c>
      <c r="J125" s="56">
        <f t="shared" si="23"/>
        <v>309174.28440132213</v>
      </c>
      <c r="K125" s="150">
        <f t="shared" si="16"/>
        <v>657.19505707458507</v>
      </c>
      <c r="L125" s="150">
        <f t="shared" si="17"/>
        <v>1521.6182611770771</v>
      </c>
    </row>
    <row r="126" spans="1:14">
      <c r="A126" s="54">
        <v>80</v>
      </c>
      <c r="B126" s="56">
        <f t="shared" si="13"/>
        <v>36971.397971489161</v>
      </c>
      <c r="C126" s="56">
        <f t="shared" si="14"/>
        <v>567635.31683105568</v>
      </c>
      <c r="D126" s="56">
        <f t="shared" si="19"/>
        <v>46681.898022883572</v>
      </c>
      <c r="E126" s="56">
        <f t="shared" si="18"/>
        <v>559397.81893822621</v>
      </c>
      <c r="F126" s="56">
        <f t="shared" si="21"/>
        <v>53752.490925785169</v>
      </c>
      <c r="G126" s="97">
        <f t="shared" si="22"/>
        <v>524197.72795719205</v>
      </c>
      <c r="H126" s="56">
        <f t="shared" si="15"/>
        <v>363948.41409008368</v>
      </c>
      <c r="I126" s="56">
        <f t="shared" si="20"/>
        <v>358666.81126293266</v>
      </c>
      <c r="J126" s="56">
        <f t="shared" si="23"/>
        <v>336097.71292018989</v>
      </c>
      <c r="K126" s="150">
        <f t="shared" si="16"/>
        <v>641.16590934105852</v>
      </c>
      <c r="L126" s="150">
        <f t="shared" si="17"/>
        <v>1559.6587177065039</v>
      </c>
    </row>
    <row r="127" spans="1:14">
      <c r="A127" s="54">
        <v>81</v>
      </c>
      <c r="B127" s="56">
        <f t="shared" si="13"/>
        <v>37895.682920776388</v>
      </c>
      <c r="C127" s="56">
        <f t="shared" si="14"/>
        <v>605530.9997518321</v>
      </c>
      <c r="D127" s="56">
        <f t="shared" si="19"/>
        <v>47848.945473455664</v>
      </c>
      <c r="E127" s="56">
        <f t="shared" si="18"/>
        <v>607246.76441168191</v>
      </c>
      <c r="F127" s="56">
        <f t="shared" si="21"/>
        <v>55096.303198929796</v>
      </c>
      <c r="G127" s="97">
        <f t="shared" si="22"/>
        <v>579294.03115612187</v>
      </c>
      <c r="H127" s="56">
        <f t="shared" si="15"/>
        <v>378776.42350252072</v>
      </c>
      <c r="I127" s="56">
        <f t="shared" si="20"/>
        <v>379849.68185212836</v>
      </c>
      <c r="J127" s="56">
        <f t="shared" si="23"/>
        <v>362364.47245079256</v>
      </c>
      <c r="K127" s="150">
        <f t="shared" si="16"/>
        <v>625.52771643030098</v>
      </c>
      <c r="L127" s="150">
        <f t="shared" si="17"/>
        <v>1598.6501856491666</v>
      </c>
    </row>
    <row r="128" spans="1:14">
      <c r="A128" s="54">
        <v>82</v>
      </c>
      <c r="B128" s="56">
        <f t="shared" si="13"/>
        <v>38843.074993795795</v>
      </c>
      <c r="C128" s="56">
        <f t="shared" si="14"/>
        <v>644374.07474562794</v>
      </c>
      <c r="D128" s="56">
        <f t="shared" si="19"/>
        <v>49045.169110292052</v>
      </c>
      <c r="E128" s="56">
        <f t="shared" si="18"/>
        <v>656291.93352197402</v>
      </c>
      <c r="F128" s="56">
        <f t="shared" si="21"/>
        <v>56473.710778903042</v>
      </c>
      <c r="G128" s="97">
        <f t="shared" si="22"/>
        <v>635767.74193502497</v>
      </c>
      <c r="H128" s="56">
        <f t="shared" si="15"/>
        <v>393242.77414880082</v>
      </c>
      <c r="I128" s="56">
        <f t="shared" si="20"/>
        <v>400515.89706109988</v>
      </c>
      <c r="J128" s="56">
        <f t="shared" si="23"/>
        <v>387990.57930991723</v>
      </c>
      <c r="K128" s="150">
        <f t="shared" si="16"/>
        <v>610.27094285883038</v>
      </c>
      <c r="L128" s="150">
        <f t="shared" si="17"/>
        <v>1638.6164402903955</v>
      </c>
    </row>
    <row r="129" spans="1:12">
      <c r="A129" s="54">
        <v>83</v>
      </c>
      <c r="B129" s="56">
        <f t="shared" si="13"/>
        <v>39814.151868640693</v>
      </c>
      <c r="C129" s="56">
        <f t="shared" si="14"/>
        <v>684188.22661426861</v>
      </c>
      <c r="D129" s="56">
        <f t="shared" si="19"/>
        <v>50271.298338049353</v>
      </c>
      <c r="E129" s="56">
        <f t="shared" si="18"/>
        <v>706563.23186002334</v>
      </c>
      <c r="F129" s="56">
        <f t="shared" si="21"/>
        <v>57885.553548375618</v>
      </c>
      <c r="G129" s="97">
        <f t="shared" si="22"/>
        <v>693653.29548340058</v>
      </c>
      <c r="H129" s="56">
        <f t="shared" si="15"/>
        <v>407356.28697443986</v>
      </c>
      <c r="I129" s="56">
        <f t="shared" si="20"/>
        <v>420678.05824058427</v>
      </c>
      <c r="J129" s="56">
        <f t="shared" si="23"/>
        <v>412991.65917247784</v>
      </c>
      <c r="K129" s="150">
        <f t="shared" si="16"/>
        <v>595.3862857159321</v>
      </c>
      <c r="L129" s="150">
        <f t="shared" si="17"/>
        <v>1679.5818512976552</v>
      </c>
    </row>
    <row r="130" spans="1:12">
      <c r="A130" s="54">
        <v>84</v>
      </c>
      <c r="B130" s="56">
        <f t="shared" si="13"/>
        <v>40809.505665356708</v>
      </c>
      <c r="C130" s="56">
        <f t="shared" si="14"/>
        <v>724997.73227962537</v>
      </c>
      <c r="D130" s="56">
        <f t="shared" si="19"/>
        <v>51528.080796500588</v>
      </c>
      <c r="E130" s="56">
        <f t="shared" si="18"/>
        <v>758091.31265652389</v>
      </c>
      <c r="F130" s="56">
        <f t="shared" si="21"/>
        <v>59332.692387085008</v>
      </c>
      <c r="G130" s="97">
        <f t="shared" si="22"/>
        <v>752985.98787048564</v>
      </c>
      <c r="H130" s="56">
        <f t="shared" si="15"/>
        <v>421125.56777994137</v>
      </c>
      <c r="I130" s="56">
        <f t="shared" si="20"/>
        <v>440348.45939130068</v>
      </c>
      <c r="J130" s="56">
        <f t="shared" si="23"/>
        <v>437382.95659936621</v>
      </c>
      <c r="K130" s="150">
        <f t="shared" si="16"/>
        <v>580.86466899115328</v>
      </c>
      <c r="L130" s="150">
        <f t="shared" si="17"/>
        <v>1721.5713975800966</v>
      </c>
    </row>
    <row r="131" spans="1:12">
      <c r="A131" s="54">
        <v>85</v>
      </c>
      <c r="B131" s="56">
        <f t="shared" si="13"/>
        <v>41829.743306990626</v>
      </c>
      <c r="C131" s="56">
        <f t="shared" si="14"/>
        <v>766827.47558661597</v>
      </c>
      <c r="D131" s="56">
        <f t="shared" si="19"/>
        <v>52816.282816413106</v>
      </c>
      <c r="E131" s="56">
        <f t="shared" si="18"/>
        <v>810907.59547293698</v>
      </c>
      <c r="F131" s="56">
        <f t="shared" si="21"/>
        <v>60816.009696762136</v>
      </c>
      <c r="G131" s="97">
        <f t="shared" si="22"/>
        <v>813801.99756724783</v>
      </c>
      <c r="H131" s="56">
        <f t="shared" si="15"/>
        <v>434559.01246823545</v>
      </c>
      <c r="I131" s="56">
        <f t="shared" si="20"/>
        <v>459539.09466029226</v>
      </c>
      <c r="J131" s="56">
        <f t="shared" si="23"/>
        <v>461179.34433291585</v>
      </c>
      <c r="K131" s="150">
        <f t="shared" si="16"/>
        <v>566.6972380401495</v>
      </c>
      <c r="L131" s="150">
        <f t="shared" si="17"/>
        <v>1764.6106825195991</v>
      </c>
    </row>
    <row r="132" spans="1:12">
      <c r="A132" s="54">
        <v>86</v>
      </c>
      <c r="B132" s="56">
        <f t="shared" si="13"/>
        <v>42875.486889665393</v>
      </c>
      <c r="C132" s="56">
        <f t="shared" si="14"/>
        <v>809702.96247628133</v>
      </c>
      <c r="D132" s="56">
        <f t="shared" si="19"/>
        <v>54136.689886823435</v>
      </c>
      <c r="E132" s="56">
        <f t="shared" si="18"/>
        <v>865044.2853597604</v>
      </c>
      <c r="F132" s="56">
        <f t="shared" si="21"/>
        <v>62336.409939181191</v>
      </c>
      <c r="G132" s="97">
        <f>G131+F132</f>
        <v>876138.40750642901</v>
      </c>
      <c r="H132" s="56">
        <f t="shared" si="15"/>
        <v>447664.81216413219</v>
      </c>
      <c r="I132" s="56">
        <f t="shared" si="20"/>
        <v>478261.66565443046</v>
      </c>
      <c r="J132" s="56">
        <f t="shared" si="23"/>
        <v>484395.33236564719</v>
      </c>
      <c r="K132" s="150">
        <f t="shared" si="16"/>
        <v>552.87535418551181</v>
      </c>
      <c r="L132" s="150">
        <f t="shared" si="17"/>
        <v>1808.725949582589</v>
      </c>
    </row>
    <row r="133" spans="1:12">
      <c r="A133" s="54">
        <v>87</v>
      </c>
      <c r="B133" s="56">
        <f t="shared" si="13"/>
        <v>43947.37406190703</v>
      </c>
      <c r="C133" s="56">
        <f t="shared" si="14"/>
        <v>853650.33653818839</v>
      </c>
      <c r="D133" s="56">
        <f t="shared" si="19"/>
        <v>55490.107133994024</v>
      </c>
      <c r="E133" s="56">
        <f t="shared" si="18"/>
        <v>920534.39249375439</v>
      </c>
      <c r="F133" s="56">
        <f t="shared" si="21"/>
        <v>63894.82018766072</v>
      </c>
      <c r="G133" s="97">
        <f t="shared" si="22"/>
        <v>940033.22769408976</v>
      </c>
      <c r="H133" s="56">
        <f t="shared" si="15"/>
        <v>460450.95820890961</v>
      </c>
      <c r="I133" s="56">
        <f t="shared" si="20"/>
        <v>496527.58857554093</v>
      </c>
      <c r="J133" s="56">
        <f t="shared" si="23"/>
        <v>507045.07678782422</v>
      </c>
      <c r="K133" s="150">
        <f t="shared" si="16"/>
        <v>539.3905894492799</v>
      </c>
      <c r="L133" s="150">
        <f t="shared" si="17"/>
        <v>1853.9440983221534</v>
      </c>
    </row>
    <row r="134" spans="1:12">
      <c r="A134" s="54">
        <v>88</v>
      </c>
      <c r="B134" s="56">
        <f t="shared" si="13"/>
        <v>45046.05841345471</v>
      </c>
      <c r="C134" s="56">
        <f t="shared" si="14"/>
        <v>898696.39495164307</v>
      </c>
      <c r="D134" s="56">
        <f t="shared" si="19"/>
        <v>56877.359812343871</v>
      </c>
      <c r="E134" s="56">
        <f t="shared" si="18"/>
        <v>977411.75230609823</v>
      </c>
      <c r="F134" s="56">
        <f t="shared" si="21"/>
        <v>65492.19069235224</v>
      </c>
      <c r="G134" s="97">
        <f t="shared" si="22"/>
        <v>1005525.418386442</v>
      </c>
      <c r="H134" s="56">
        <f t="shared" si="15"/>
        <v>472925.24703308259</v>
      </c>
      <c r="I134" s="56">
        <f t="shared" si="20"/>
        <v>514348.00118150236</v>
      </c>
      <c r="J134" s="56">
        <f t="shared" si="23"/>
        <v>529142.38841921638</v>
      </c>
      <c r="K134" s="150">
        <f t="shared" si="16"/>
        <v>526.23472141393165</v>
      </c>
      <c r="L134" s="150">
        <f t="shared" si="17"/>
        <v>1900.292700780207</v>
      </c>
    </row>
    <row r="135" spans="1:12">
      <c r="A135" s="54">
        <v>89</v>
      </c>
      <c r="B135" s="56">
        <f t="shared" si="13"/>
        <v>46172.209873791078</v>
      </c>
      <c r="C135" s="56">
        <f t="shared" si="14"/>
        <v>944868.60482543416</v>
      </c>
      <c r="D135" s="56">
        <f t="shared" si="19"/>
        <v>58299.293807652466</v>
      </c>
      <c r="E135" s="56">
        <f t="shared" si="18"/>
        <v>1035711.0461137507</v>
      </c>
      <c r="F135" s="56">
        <f t="shared" si="21"/>
        <v>67129.495459661048</v>
      </c>
      <c r="G135" s="97">
        <f t="shared" si="22"/>
        <v>1072654.913846103</v>
      </c>
      <c r="H135" s="56">
        <f t="shared" si="15"/>
        <v>485095.2849103245</v>
      </c>
      <c r="I135" s="56">
        <f t="shared" si="20"/>
        <v>531733.76957756223</v>
      </c>
      <c r="J135" s="56">
        <f t="shared" si="23"/>
        <v>550700.74123033066</v>
      </c>
      <c r="K135" s="150">
        <f t="shared" si="16"/>
        <v>513.39972820871378</v>
      </c>
      <c r="L135" s="150">
        <f t="shared" si="17"/>
        <v>1947.8000182997121</v>
      </c>
    </row>
    <row r="136" spans="1:12">
      <c r="A136" s="54">
        <v>90</v>
      </c>
      <c r="B136" s="56">
        <f t="shared" si="13"/>
        <v>47326.515120635857</v>
      </c>
      <c r="C136" s="56">
        <f t="shared" si="14"/>
        <v>992195.11994607002</v>
      </c>
      <c r="D136" s="56">
        <f t="shared" si="19"/>
        <v>59756.776152843777</v>
      </c>
      <c r="E136" s="56">
        <f t="shared" si="18"/>
        <v>1095467.8222665945</v>
      </c>
      <c r="F136" s="56">
        <f t="shared" si="21"/>
        <v>68807.732846152576</v>
      </c>
      <c r="G136" s="97">
        <f t="shared" si="22"/>
        <v>1141462.6466922555</v>
      </c>
      <c r="H136" s="56">
        <f t="shared" si="15"/>
        <v>496968.49259543861</v>
      </c>
      <c r="I136" s="56">
        <f t="shared" si="20"/>
        <v>548695.49484201102</v>
      </c>
      <c r="J136" s="56">
        <f t="shared" si="23"/>
        <v>571733.280558247</v>
      </c>
      <c r="K136" s="150">
        <f t="shared" si="16"/>
        <v>500.87778361825741</v>
      </c>
      <c r="L136" s="150">
        <f t="shared" si="17"/>
        <v>1996.4950187572049</v>
      </c>
    </row>
    <row r="137" spans="1:12">
      <c r="A137" s="54">
        <v>91</v>
      </c>
      <c r="B137" s="56">
        <f t="shared" si="13"/>
        <v>48509.67799865175</v>
      </c>
      <c r="C137" s="56">
        <f t="shared" si="14"/>
        <v>1040704.7979447218</v>
      </c>
      <c r="D137" s="56">
        <f t="shared" si="19"/>
        <v>61250.695556664868</v>
      </c>
      <c r="E137" s="56">
        <f t="shared" si="18"/>
        <v>1156718.5178232593</v>
      </c>
      <c r="F137" s="56">
        <f t="shared" si="21"/>
        <v>70527.926167306388</v>
      </c>
      <c r="G137" s="97">
        <f t="shared" si="22"/>
        <v>1211990.572859562</v>
      </c>
      <c r="H137" s="56">
        <f t="shared" si="15"/>
        <v>508552.10984920838</v>
      </c>
      <c r="I137" s="56">
        <f t="shared" si="20"/>
        <v>565243.51949025353</v>
      </c>
      <c r="J137" s="56">
        <f t="shared" si="23"/>
        <v>592252.83112206776</v>
      </c>
      <c r="K137" s="150">
        <f t="shared" si="16"/>
        <v>488.661252310495</v>
      </c>
      <c r="L137" s="150">
        <f t="shared" si="17"/>
        <v>2046.4073942261352</v>
      </c>
    </row>
    <row r="138" spans="1:12">
      <c r="A138" s="54">
        <v>92</v>
      </c>
      <c r="B138" s="56">
        <f t="shared" si="13"/>
        <v>49722.419948618044</v>
      </c>
      <c r="C138" s="56">
        <f t="shared" si="14"/>
        <v>1090427.2178933397</v>
      </c>
      <c r="D138" s="56">
        <f t="shared" si="19"/>
        <v>62781.962945581487</v>
      </c>
      <c r="E138" s="56">
        <f t="shared" si="18"/>
        <v>1219500.4807688408</v>
      </c>
      <c r="F138" s="56">
        <f t="shared" si="21"/>
        <v>72291.124321489042</v>
      </c>
      <c r="G138" s="97">
        <f t="shared" si="22"/>
        <v>1284281.6971810511</v>
      </c>
      <c r="H138" s="56">
        <f t="shared" si="15"/>
        <v>519853.19985288632</v>
      </c>
      <c r="I138" s="56">
        <f t="shared" si="20"/>
        <v>581387.93378122197</v>
      </c>
      <c r="J138" s="56">
        <f t="shared" si="23"/>
        <v>612271.9048428688</v>
      </c>
      <c r="K138" s="150">
        <f t="shared" si="16"/>
        <v>476.74268518097085</v>
      </c>
      <c r="L138" s="150">
        <f t="shared" si="17"/>
        <v>2097.5675790817882</v>
      </c>
    </row>
    <row r="139" spans="1:12">
      <c r="A139" s="54">
        <v>93</v>
      </c>
      <c r="B139" s="56">
        <f t="shared" si="13"/>
        <v>50965.480447333495</v>
      </c>
      <c r="C139" s="56">
        <f t="shared" si="14"/>
        <v>1141392.6983406732</v>
      </c>
      <c r="D139" s="56">
        <f t="shared" si="19"/>
        <v>64351.512019221023</v>
      </c>
      <c r="E139" s="56">
        <f t="shared" si="18"/>
        <v>1283851.9927880617</v>
      </c>
      <c r="F139" s="56">
        <f t="shared" si="21"/>
        <v>74098.402429526264</v>
      </c>
      <c r="G139" s="97">
        <f t="shared" si="22"/>
        <v>1358380.0996105773</v>
      </c>
      <c r="H139" s="56">
        <f t="shared" si="15"/>
        <v>530878.65351501096</v>
      </c>
      <c r="I139" s="56">
        <f t="shared" si="20"/>
        <v>597138.58186997147</v>
      </c>
      <c r="J139" s="56">
        <f t="shared" si="23"/>
        <v>631802.70847291814</v>
      </c>
      <c r="K139" s="150">
        <f t="shared" si="16"/>
        <v>465.11481481070314</v>
      </c>
      <c r="L139" s="150">
        <f t="shared" si="17"/>
        <v>2150.0067685588333</v>
      </c>
    </row>
    <row r="140" spans="1:12">
      <c r="A140" s="54">
        <v>94</v>
      </c>
      <c r="B140" s="56">
        <f t="shared" si="13"/>
        <v>52239.617458516834</v>
      </c>
      <c r="C140" s="56">
        <f t="shared" si="14"/>
        <v>1193632.31579919</v>
      </c>
      <c r="D140" s="56">
        <f t="shared" si="19"/>
        <v>65960.299819701555</v>
      </c>
      <c r="E140" s="56">
        <f t="shared" si="18"/>
        <v>1349812.2926077633</v>
      </c>
      <c r="F140" s="56">
        <f t="shared" si="21"/>
        <v>75950.862490264422</v>
      </c>
      <c r="G140" s="97">
        <f t="shared" si="22"/>
        <v>1434330.9621008418</v>
      </c>
      <c r="H140" s="56">
        <f t="shared" si="15"/>
        <v>541635.19367318158</v>
      </c>
      <c r="I140" s="56">
        <f t="shared" si="20"/>
        <v>612505.06781021517</v>
      </c>
      <c r="J140" s="56">
        <f t="shared" si="23"/>
        <v>650857.15103882027</v>
      </c>
      <c r="K140" s="150">
        <f t="shared" si="16"/>
        <v>453.77055103483241</v>
      </c>
      <c r="L140" s="150">
        <f t="shared" si="17"/>
        <v>2203.7569377728037</v>
      </c>
    </row>
    <row r="141" spans="1:12">
      <c r="A141" s="54">
        <v>95</v>
      </c>
      <c r="B141" s="56">
        <f t="shared" si="13"/>
        <v>53545.607894979752</v>
      </c>
      <c r="C141" s="56">
        <f t="shared" si="14"/>
        <v>1247177.9236941696</v>
      </c>
      <c r="D141" s="56">
        <f t="shared" si="19"/>
        <v>67609.307315194092</v>
      </c>
      <c r="E141" s="56">
        <f t="shared" si="18"/>
        <v>1417421.5999229574</v>
      </c>
      <c r="F141" s="56">
        <f t="shared" si="21"/>
        <v>77849.63405252104</v>
      </c>
      <c r="G141" s="97">
        <f t="shared" si="22"/>
        <v>1512180.5961533629</v>
      </c>
      <c r="H141" s="56">
        <f t="shared" si="15"/>
        <v>552129.37919334788</v>
      </c>
      <c r="I141" s="56">
        <f t="shared" si="20"/>
        <v>627496.76141045289</v>
      </c>
      <c r="J141" s="56">
        <f t="shared" si="23"/>
        <v>669446.85110311501</v>
      </c>
      <c r="K141" s="150">
        <f t="shared" si="16"/>
        <v>442.7029766193487</v>
      </c>
      <c r="L141" s="150">
        <f t="shared" si="17"/>
        <v>2258.8508612171236</v>
      </c>
    </row>
    <row r="142" spans="1:12">
      <c r="A142" s="54">
        <v>96</v>
      </c>
      <c r="B142" s="56">
        <f t="shared" si="13"/>
        <v>54884.248092354246</v>
      </c>
      <c r="C142" s="56">
        <f t="shared" si="14"/>
        <v>1302062.1717865239</v>
      </c>
      <c r="D142" s="56">
        <f t="shared" si="19"/>
        <v>69299.539998073946</v>
      </c>
      <c r="E142" s="56">
        <f t="shared" si="18"/>
        <v>1486721.1399210314</v>
      </c>
      <c r="F142" s="56">
        <f t="shared" si="21"/>
        <v>79795.874903834061</v>
      </c>
      <c r="G142" s="97">
        <f t="shared" si="22"/>
        <v>1591976.4710571968</v>
      </c>
      <c r="H142" s="56">
        <f t="shared" si="15"/>
        <v>562367.60896911996</v>
      </c>
      <c r="I142" s="56">
        <f t="shared" si="20"/>
        <v>642122.80394727015</v>
      </c>
      <c r="J142" s="56">
        <f t="shared" si="23"/>
        <v>687583.14384876832</v>
      </c>
      <c r="K142" s="150">
        <f t="shared" si="16"/>
        <v>431.90534304326707</v>
      </c>
      <c r="L142" s="150">
        <f t="shared" si="17"/>
        <v>2315.3221327475517</v>
      </c>
    </row>
    <row r="143" spans="1:12">
      <c r="A143" s="54">
        <v>97</v>
      </c>
      <c r="B143" s="56">
        <f t="shared" si="13"/>
        <v>56256.354294663106</v>
      </c>
      <c r="C143" s="56">
        <f t="shared" si="14"/>
        <v>1358318.526081187</v>
      </c>
      <c r="D143" s="56">
        <f t="shared" si="19"/>
        <v>71032.0284980258</v>
      </c>
      <c r="E143" s="56">
        <f t="shared" si="18"/>
        <v>1557753.1684190573</v>
      </c>
      <c r="F143" s="56">
        <f t="shared" si="21"/>
        <v>81790.771776429916</v>
      </c>
      <c r="G143" s="97">
        <f t="shared" si="22"/>
        <v>1673767.2428336267</v>
      </c>
      <c r="H143" s="56">
        <f t="shared" si="15"/>
        <v>572356.12582353165</v>
      </c>
      <c r="I143" s="56">
        <f t="shared" si="20"/>
        <v>656392.11373928702</v>
      </c>
      <c r="J143" s="56">
        <f t="shared" si="23"/>
        <v>705277.08799086919</v>
      </c>
      <c r="K143" s="150">
        <f t="shared" si="16"/>
        <v>421.37106638367521</v>
      </c>
      <c r="L143" s="150">
        <f t="shared" si="17"/>
        <v>2373.20518606624</v>
      </c>
    </row>
    <row r="144" spans="1:12">
      <c r="A144" s="54">
        <v>98</v>
      </c>
      <c r="B144" s="56">
        <f t="shared" si="13"/>
        <v>57662.763152029685</v>
      </c>
      <c r="C144" s="56">
        <f t="shared" si="14"/>
        <v>1415981.2892332166</v>
      </c>
      <c r="D144" s="56">
        <f t="shared" si="19"/>
        <v>72807.82921047644</v>
      </c>
      <c r="E144" s="56">
        <f t="shared" si="18"/>
        <v>1630560.9976295338</v>
      </c>
      <c r="F144" s="56">
        <f t="shared" si="21"/>
        <v>83835.541070840671</v>
      </c>
      <c r="G144" s="97">
        <f t="shared" si="22"/>
        <v>1757602.7839044672</v>
      </c>
      <c r="H144" s="56">
        <f t="shared" si="15"/>
        <v>582101.02031564061</v>
      </c>
      <c r="I144" s="56">
        <f t="shared" si="20"/>
        <v>670313.39158515702</v>
      </c>
      <c r="J144" s="56">
        <f t="shared" si="23"/>
        <v>722539.47251974791</v>
      </c>
      <c r="K144" s="150">
        <f t="shared" si="16"/>
        <v>411.0937233011465</v>
      </c>
      <c r="L144" s="150">
        <f t="shared" si="17"/>
        <v>2432.5353157178965</v>
      </c>
    </row>
    <row r="145" spans="1:12">
      <c r="A145" s="54">
        <v>99</v>
      </c>
      <c r="B145" s="56">
        <f t="shared" si="13"/>
        <v>59104.332230830427</v>
      </c>
      <c r="C145" s="56">
        <f t="shared" si="14"/>
        <v>1475085.6214640469</v>
      </c>
      <c r="D145" s="56">
        <f t="shared" si="19"/>
        <v>74628.024940738353</v>
      </c>
      <c r="E145" s="56">
        <f t="shared" si="18"/>
        <v>1705189.0225702722</v>
      </c>
      <c r="F145" s="56">
        <f t="shared" si="21"/>
        <v>85931.429597611685</v>
      </c>
      <c r="G145" s="97">
        <f t="shared" si="22"/>
        <v>1843534.213502079</v>
      </c>
      <c r="H145" s="56">
        <f t="shared" si="15"/>
        <v>591608.23445428361</v>
      </c>
      <c r="I145" s="56">
        <f t="shared" si="20"/>
        <v>683895.1260689327</v>
      </c>
      <c r="J145" s="56">
        <f t="shared" si="23"/>
        <v>739380.82327962981</v>
      </c>
      <c r="K145" s="150">
        <f t="shared" si="16"/>
        <v>401.06704712306981</v>
      </c>
      <c r="L145" s="150">
        <f t="shared" si="17"/>
        <v>2493.3486986108437</v>
      </c>
    </row>
    <row r="146" spans="1:12" ht="15.75" thickBot="1">
      <c r="A146" s="55">
        <v>100</v>
      </c>
      <c r="B146" s="59">
        <f t="shared" si="13"/>
        <v>60581.940536601185</v>
      </c>
      <c r="C146" s="59">
        <f t="shared" si="14"/>
        <v>1535667.5620006481</v>
      </c>
      <c r="D146" s="59">
        <f t="shared" si="19"/>
        <v>76493.725564256805</v>
      </c>
      <c r="E146" s="59">
        <f t="shared" si="18"/>
        <v>1781682.748134529</v>
      </c>
      <c r="F146" s="59">
        <f t="shared" si="21"/>
        <v>88079.71533755197</v>
      </c>
      <c r="G146" s="148">
        <f t="shared" si="22"/>
        <v>1931613.9288396309</v>
      </c>
      <c r="H146" s="56">
        <f t="shared" si="15"/>
        <v>600883.56532125256</v>
      </c>
      <c r="I146" s="56">
        <f t="shared" si="20"/>
        <v>697145.5987360311</v>
      </c>
      <c r="J146" s="56">
        <f t="shared" si="23"/>
        <v>755811.40938683168</v>
      </c>
      <c r="K146" s="150">
        <f t="shared" si="16"/>
        <v>391.28492402250725</v>
      </c>
      <c r="L146" s="150">
        <f t="shared" si="17"/>
        <v>2555.6824160761139</v>
      </c>
    </row>
    <row r="148" spans="1:12">
      <c r="L148" s="14" t="str">
        <f>"Totals with Cola of " &amp; B5*100 &amp; "%  Rate of Return = " &amp; B6*100 &amp; "% "</f>
        <v xml:space="preserve">Totals with Cola of 2.5%  Rate of Return = 2.5% </v>
      </c>
    </row>
    <row r="149" spans="1:12">
      <c r="B149" s="2"/>
      <c r="D149" s="2"/>
    </row>
    <row r="151" spans="1:12" ht="15.75" thickBot="1"/>
    <row r="152" spans="1:12" ht="30.75" thickBot="1">
      <c r="A152" s="114" t="s">
        <v>133</v>
      </c>
      <c r="B152" s="50" t="s">
        <v>143</v>
      </c>
      <c r="C152" s="51" t="s">
        <v>125</v>
      </c>
      <c r="D152" s="50" t="s">
        <v>126</v>
      </c>
      <c r="E152" s="50" t="s">
        <v>96</v>
      </c>
      <c r="F152" s="50" t="s">
        <v>97</v>
      </c>
      <c r="G152" s="52" t="s">
        <v>196</v>
      </c>
    </row>
    <row r="153" spans="1:12">
      <c r="A153" s="61">
        <v>62</v>
      </c>
      <c r="B153" s="62">
        <f t="shared" ref="B153:B191" si="24">B108</f>
        <v>23704.799999999999</v>
      </c>
      <c r="C153" s="62">
        <f>B108</f>
        <v>23704.799999999999</v>
      </c>
      <c r="D153" s="62">
        <f>C153</f>
        <v>23704.799999999999</v>
      </c>
      <c r="E153" s="62">
        <v>0</v>
      </c>
      <c r="F153" s="62">
        <v>0</v>
      </c>
      <c r="G153" s="64">
        <v>0</v>
      </c>
    </row>
    <row r="154" spans="1:12">
      <c r="A154" s="41">
        <v>63</v>
      </c>
      <c r="B154" s="56">
        <f>B109</f>
        <v>24297.42</v>
      </c>
      <c r="C154" s="56">
        <f t="shared" ref="C154:C160" si="25">B109+(1+$B$6)*C153</f>
        <v>48594.84</v>
      </c>
      <c r="D154" s="56">
        <f t="shared" ref="D154:D160" si="26">C154</f>
        <v>48594.84</v>
      </c>
      <c r="E154" s="56">
        <v>0</v>
      </c>
      <c r="F154" s="56">
        <v>0</v>
      </c>
      <c r="G154" s="42">
        <v>0</v>
      </c>
    </row>
    <row r="155" spans="1:12">
      <c r="A155" s="41">
        <v>64</v>
      </c>
      <c r="B155" s="56">
        <f t="shared" si="24"/>
        <v>24904.855499999998</v>
      </c>
      <c r="C155" s="56">
        <f t="shared" si="25"/>
        <v>74714.566499999986</v>
      </c>
      <c r="D155" s="56">
        <f t="shared" si="26"/>
        <v>74714.566499999986</v>
      </c>
      <c r="E155" s="56">
        <v>0</v>
      </c>
      <c r="F155" s="56">
        <v>0</v>
      </c>
      <c r="G155" s="42">
        <v>0</v>
      </c>
    </row>
    <row r="156" spans="1:12">
      <c r="A156" s="41">
        <v>65</v>
      </c>
      <c r="B156" s="56">
        <f t="shared" si="24"/>
        <v>25527.476887499997</v>
      </c>
      <c r="C156" s="56">
        <f t="shared" si="25"/>
        <v>102109.90754999997</v>
      </c>
      <c r="D156" s="56">
        <f t="shared" si="26"/>
        <v>102109.90754999997</v>
      </c>
      <c r="E156" s="56">
        <v>0</v>
      </c>
      <c r="F156" s="56">
        <v>0</v>
      </c>
      <c r="G156" s="42">
        <v>0</v>
      </c>
    </row>
    <row r="157" spans="1:12">
      <c r="A157" s="41">
        <v>66</v>
      </c>
      <c r="B157" s="56">
        <f t="shared" si="24"/>
        <v>26165.663809687496</v>
      </c>
      <c r="C157" s="56">
        <f t="shared" si="25"/>
        <v>130828.31904843746</v>
      </c>
      <c r="D157" s="56">
        <f t="shared" si="26"/>
        <v>130828.31904843746</v>
      </c>
      <c r="E157" s="56">
        <v>0</v>
      </c>
      <c r="F157" s="56">
        <v>0</v>
      </c>
      <c r="G157" s="42">
        <v>0</v>
      </c>
    </row>
    <row r="158" spans="1:12">
      <c r="A158" s="41">
        <v>67</v>
      </c>
      <c r="B158" s="56">
        <f t="shared" si="24"/>
        <v>26819.805404929684</v>
      </c>
      <c r="C158" s="56">
        <f t="shared" si="25"/>
        <v>160918.83242957806</v>
      </c>
      <c r="D158" s="56">
        <f t="shared" si="26"/>
        <v>160918.83242957806</v>
      </c>
      <c r="E158" s="56">
        <f>D113</f>
        <v>33864</v>
      </c>
      <c r="F158" s="56">
        <v>0</v>
      </c>
      <c r="G158" s="42">
        <v>0</v>
      </c>
    </row>
    <row r="159" spans="1:12">
      <c r="A159" s="41">
        <v>68</v>
      </c>
      <c r="B159" s="56">
        <f t="shared" si="24"/>
        <v>27490.300540052925</v>
      </c>
      <c r="C159" s="56">
        <f t="shared" si="25"/>
        <v>192432.10378037044</v>
      </c>
      <c r="D159" s="56">
        <f t="shared" si="26"/>
        <v>192432.10378037044</v>
      </c>
      <c r="E159" s="56">
        <f>E158*(1+$B$6)+D114</f>
        <v>69421.2</v>
      </c>
      <c r="F159" s="56">
        <v>0</v>
      </c>
      <c r="G159" s="42">
        <v>0</v>
      </c>
    </row>
    <row r="160" spans="1:12">
      <c r="A160" s="41">
        <v>69</v>
      </c>
      <c r="B160" s="56">
        <f t="shared" si="24"/>
        <v>28177.55805355425</v>
      </c>
      <c r="C160" s="56">
        <f t="shared" si="25"/>
        <v>225420.46442843392</v>
      </c>
      <c r="D160" s="56">
        <f t="shared" si="26"/>
        <v>225420.46442843392</v>
      </c>
      <c r="E160" s="56">
        <f>E159*(1+$B$6)+D115</f>
        <v>106735.095</v>
      </c>
      <c r="F160" s="56">
        <v>0</v>
      </c>
      <c r="G160" s="42">
        <v>0</v>
      </c>
    </row>
    <row r="161" spans="1:7">
      <c r="A161" s="41">
        <v>70</v>
      </c>
      <c r="B161" s="56">
        <f t="shared" si="24"/>
        <v>28881.997004893106</v>
      </c>
      <c r="C161" s="56">
        <f t="shared" ref="C161:C191" si="27">(1+$B$6)*C160</f>
        <v>231055.97603914473</v>
      </c>
      <c r="D161" s="56">
        <f>B161+(1+$B$6)*D160</f>
        <v>259937.97304403785</v>
      </c>
      <c r="E161" s="56">
        <f t="shared" ref="E161:E191" si="28">E160*(1+$B$6)+D116</f>
        <v>145871.2965</v>
      </c>
      <c r="F161" s="56">
        <v>0</v>
      </c>
      <c r="G161" s="70">
        <f>G116</f>
        <v>41991.360000000001</v>
      </c>
    </row>
    <row r="162" spans="1:7">
      <c r="A162" s="41">
        <v>71</v>
      </c>
      <c r="B162" s="56">
        <f t="shared" si="24"/>
        <v>29604.046930015433</v>
      </c>
      <c r="C162" s="56">
        <f t="shared" si="27"/>
        <v>236832.37544012335</v>
      </c>
      <c r="D162" s="56">
        <f>B162+(1+$B$6)*D161</f>
        <v>296040.46930015419</v>
      </c>
      <c r="E162" s="56">
        <f t="shared" si="28"/>
        <v>186897.59864062496</v>
      </c>
      <c r="F162" s="56">
        <v>0</v>
      </c>
      <c r="G162" s="70">
        <f>G161*(1+$B$6)+F117</f>
        <v>86082.288</v>
      </c>
    </row>
    <row r="163" spans="1:7">
      <c r="A163" s="41">
        <v>72</v>
      </c>
      <c r="B163" s="56">
        <f t="shared" si="24"/>
        <v>30344.148103265819</v>
      </c>
      <c r="C163" s="56">
        <f t="shared" si="27"/>
        <v>242753.18482612641</v>
      </c>
      <c r="D163" s="56">
        <f t="shared" ref="D163:D191" si="29">B163+(1+$B$6)*D162</f>
        <v>333785.62913592381</v>
      </c>
      <c r="E163" s="56">
        <f t="shared" si="28"/>
        <v>229884.04632796868</v>
      </c>
      <c r="F163" s="56">
        <v>0</v>
      </c>
      <c r="G163" s="70">
        <f t="shared" ref="G163:G191" si="30">G162*(1+$B$6)+F118</f>
        <v>132351.5178</v>
      </c>
    </row>
    <row r="164" spans="1:7">
      <c r="A164" s="41">
        <v>73</v>
      </c>
      <c r="B164" s="56">
        <f t="shared" si="24"/>
        <v>31102.751805847463</v>
      </c>
      <c r="C164" s="56">
        <f t="shared" si="27"/>
        <v>248822.01444677956</v>
      </c>
      <c r="D164" s="56">
        <f t="shared" si="29"/>
        <v>373233.02167016931</v>
      </c>
      <c r="E164" s="56">
        <f t="shared" si="28"/>
        <v>274903.00540052919</v>
      </c>
      <c r="F164" s="56">
        <v>0</v>
      </c>
      <c r="G164" s="70">
        <f t="shared" si="30"/>
        <v>180880.40766</v>
      </c>
    </row>
    <row r="165" spans="1:7">
      <c r="A165" s="41">
        <v>74</v>
      </c>
      <c r="B165" s="56">
        <f t="shared" si="24"/>
        <v>31880.320600993651</v>
      </c>
      <c r="C165" s="56">
        <f t="shared" si="27"/>
        <v>255042.56480794903</v>
      </c>
      <c r="D165" s="56">
        <f t="shared" si="29"/>
        <v>414444.16781291715</v>
      </c>
      <c r="E165" s="56">
        <f t="shared" si="28"/>
        <v>322029.23489776277</v>
      </c>
      <c r="F165" s="56">
        <v>0</v>
      </c>
      <c r="G165" s="70">
        <f t="shared" si="30"/>
        <v>231753.02231437498</v>
      </c>
    </row>
    <row r="166" spans="1:7">
      <c r="A166" s="41">
        <v>75</v>
      </c>
      <c r="B166" s="56">
        <f t="shared" si="24"/>
        <v>32677.328616018494</v>
      </c>
      <c r="C166" s="56">
        <f t="shared" si="27"/>
        <v>261418.62892814775</v>
      </c>
      <c r="D166" s="56">
        <f t="shared" si="29"/>
        <v>457482.60062425851</v>
      </c>
      <c r="E166" s="56">
        <f t="shared" si="28"/>
        <v>371339.96149148268</v>
      </c>
      <c r="F166" s="56">
        <v>0</v>
      </c>
      <c r="G166" s="70">
        <f t="shared" si="30"/>
        <v>285056.21744668123</v>
      </c>
    </row>
    <row r="167" spans="1:7">
      <c r="A167" s="41">
        <v>76</v>
      </c>
      <c r="B167" s="56">
        <f t="shared" si="24"/>
        <v>33494.26183141896</v>
      </c>
      <c r="C167" s="56">
        <f t="shared" si="27"/>
        <v>267954.09465135145</v>
      </c>
      <c r="D167" s="56">
        <f t="shared" si="29"/>
        <v>502413.92747128388</v>
      </c>
      <c r="E167" s="56">
        <f t="shared" si="28"/>
        <v>422914.95614307746</v>
      </c>
      <c r="F167" s="56">
        <v>0</v>
      </c>
      <c r="G167" s="70">
        <f t="shared" si="30"/>
        <v>340879.72669665632</v>
      </c>
    </row>
    <row r="168" spans="1:7">
      <c r="A168" s="41">
        <v>77</v>
      </c>
      <c r="B168" s="56">
        <f t="shared" si="24"/>
        <v>34331.618377204431</v>
      </c>
      <c r="C168" s="56">
        <f t="shared" si="27"/>
        <v>274652.94701763522</v>
      </c>
      <c r="D168" s="56">
        <f t="shared" si="29"/>
        <v>549305.89403527032</v>
      </c>
      <c r="E168" s="56">
        <f t="shared" si="28"/>
        <v>476836.61305131984</v>
      </c>
      <c r="F168" s="56">
        <v>0</v>
      </c>
      <c r="G168" s="70">
        <f t="shared" si="30"/>
        <v>399316.25127322593</v>
      </c>
    </row>
    <row r="169" spans="1:7">
      <c r="A169" s="41">
        <v>78</v>
      </c>
      <c r="B169" s="56">
        <f t="shared" si="24"/>
        <v>35189.908836634539</v>
      </c>
      <c r="C169" s="56">
        <f t="shared" si="27"/>
        <v>281519.27069307608</v>
      </c>
      <c r="D169" s="56">
        <f t="shared" si="29"/>
        <v>598228.45022278652</v>
      </c>
      <c r="E169" s="56">
        <f t="shared" si="28"/>
        <v>533190.03095738497</v>
      </c>
      <c r="F169" s="56">
        <v>0</v>
      </c>
      <c r="G169" s="70">
        <f t="shared" si="30"/>
        <v>460461.55224943865</v>
      </c>
    </row>
    <row r="170" spans="1:7">
      <c r="A170" s="41">
        <v>79</v>
      </c>
      <c r="B170" s="56">
        <f t="shared" si="24"/>
        <v>36069.656557550399</v>
      </c>
      <c r="C170" s="56">
        <f t="shared" si="27"/>
        <v>288557.25246040296</v>
      </c>
      <c r="D170" s="56">
        <f t="shared" si="29"/>
        <v>649253.81803590653</v>
      </c>
      <c r="E170" s="56">
        <f t="shared" si="28"/>
        <v>592063.09687559609</v>
      </c>
      <c r="F170" s="56">
        <v>0</v>
      </c>
      <c r="G170" s="70">
        <f t="shared" si="30"/>
        <v>524414.54561741627</v>
      </c>
    </row>
    <row r="171" spans="1:7">
      <c r="A171" s="41">
        <v>80</v>
      </c>
      <c r="B171" s="56">
        <f t="shared" si="24"/>
        <v>36971.397971489161</v>
      </c>
      <c r="C171" s="56">
        <f t="shared" si="27"/>
        <v>295771.183771913</v>
      </c>
      <c r="D171" s="56">
        <f t="shared" si="29"/>
        <v>702456.56145829323</v>
      </c>
      <c r="E171" s="56">
        <f t="shared" si="28"/>
        <v>653546.57232036954</v>
      </c>
      <c r="F171" s="56">
        <v>0</v>
      </c>
      <c r="G171" s="70">
        <f t="shared" si="30"/>
        <v>591277.40018363681</v>
      </c>
    </row>
    <row r="172" spans="1:7">
      <c r="A172" s="41">
        <v>81</v>
      </c>
      <c r="B172" s="56">
        <f t="shared" si="24"/>
        <v>37895.682920776388</v>
      </c>
      <c r="C172" s="56">
        <f t="shared" si="27"/>
        <v>303165.46336621081</v>
      </c>
      <c r="D172" s="56">
        <f t="shared" si="29"/>
        <v>757913.65841552697</v>
      </c>
      <c r="E172" s="56">
        <f t="shared" si="28"/>
        <v>717734.18210183445</v>
      </c>
      <c r="F172" s="56">
        <v>0</v>
      </c>
      <c r="G172" s="70">
        <f t="shared" si="30"/>
        <v>661155.63838715747</v>
      </c>
    </row>
    <row r="173" spans="1:7">
      <c r="A173" s="41">
        <v>82</v>
      </c>
      <c r="B173" s="56">
        <f t="shared" si="24"/>
        <v>38843.074993795795</v>
      </c>
      <c r="C173" s="56">
        <f t="shared" si="27"/>
        <v>310744.59995036607</v>
      </c>
      <c r="D173" s="56">
        <f t="shared" si="29"/>
        <v>815704.57486971095</v>
      </c>
      <c r="E173" s="56">
        <f t="shared" si="28"/>
        <v>784722.70576467237</v>
      </c>
      <c r="F173" s="56">
        <v>0</v>
      </c>
      <c r="G173" s="70">
        <f t="shared" si="30"/>
        <v>734158.24012573948</v>
      </c>
    </row>
    <row r="174" spans="1:7">
      <c r="A174" s="41">
        <v>83</v>
      </c>
      <c r="B174" s="56">
        <f t="shared" si="24"/>
        <v>39814.151868640693</v>
      </c>
      <c r="C174" s="56">
        <f t="shared" si="27"/>
        <v>318513.21494912519</v>
      </c>
      <c r="D174" s="56">
        <f t="shared" si="29"/>
        <v>875911.34111009433</v>
      </c>
      <c r="E174" s="56">
        <f t="shared" si="28"/>
        <v>854612.0717468384</v>
      </c>
      <c r="F174" s="56">
        <v>0</v>
      </c>
      <c r="G174" s="70">
        <f t="shared" si="30"/>
        <v>810397.74967725854</v>
      </c>
    </row>
    <row r="175" spans="1:7">
      <c r="A175" s="41">
        <v>84</v>
      </c>
      <c r="B175" s="56">
        <f t="shared" si="24"/>
        <v>40809.505665356708</v>
      </c>
      <c r="C175" s="56">
        <f t="shared" si="27"/>
        <v>326476.04532285332</v>
      </c>
      <c r="D175" s="56">
        <f t="shared" si="29"/>
        <v>938618.63030320336</v>
      </c>
      <c r="E175" s="56">
        <f t="shared" si="28"/>
        <v>927505.45433700981</v>
      </c>
      <c r="F175" s="56">
        <v>0</v>
      </c>
      <c r="G175" s="70">
        <f t="shared" si="30"/>
        <v>889990.38580627495</v>
      </c>
    </row>
    <row r="176" spans="1:7">
      <c r="A176" s="41">
        <v>85</v>
      </c>
      <c r="B176" s="56">
        <f t="shared" si="24"/>
        <v>41829.743306990626</v>
      </c>
      <c r="C176" s="56">
        <f t="shared" si="27"/>
        <v>334637.9464559246</v>
      </c>
      <c r="D176" s="56">
        <f t="shared" si="29"/>
        <v>1003913.839367774</v>
      </c>
      <c r="E176" s="56">
        <f t="shared" si="28"/>
        <v>1003509.373511848</v>
      </c>
      <c r="F176" s="56">
        <v>0</v>
      </c>
      <c r="G176" s="70">
        <f t="shared" si="30"/>
        <v>973056.15514819394</v>
      </c>
    </row>
    <row r="177" spans="1:7">
      <c r="A177" s="41">
        <v>86</v>
      </c>
      <c r="B177" s="56">
        <f t="shared" si="24"/>
        <v>42875.486889665393</v>
      </c>
      <c r="C177" s="56">
        <f t="shared" si="27"/>
        <v>343003.89511732268</v>
      </c>
      <c r="D177" s="56">
        <f t="shared" si="29"/>
        <v>1071887.1722416338</v>
      </c>
      <c r="E177" s="56">
        <f t="shared" si="28"/>
        <v>1082733.7977364676</v>
      </c>
      <c r="F177" s="56">
        <v>0</v>
      </c>
      <c r="G177" s="70">
        <f t="shared" si="30"/>
        <v>1059718.9689660799</v>
      </c>
    </row>
    <row r="178" spans="1:7">
      <c r="A178" s="41">
        <v>87</v>
      </c>
      <c r="B178" s="56">
        <f t="shared" si="24"/>
        <v>43947.37406190703</v>
      </c>
      <c r="C178" s="56">
        <f t="shared" si="27"/>
        <v>351578.99249525572</v>
      </c>
      <c r="D178" s="56">
        <f t="shared" si="29"/>
        <v>1142631.7256095815</v>
      </c>
      <c r="E178" s="56">
        <f t="shared" si="28"/>
        <v>1165292.2498138733</v>
      </c>
      <c r="F178" s="56">
        <v>0</v>
      </c>
      <c r="G178" s="70">
        <f t="shared" si="30"/>
        <v>1150106.7633778923</v>
      </c>
    </row>
    <row r="179" spans="1:7">
      <c r="A179" s="41">
        <v>88</v>
      </c>
      <c r="B179" s="56">
        <f t="shared" si="24"/>
        <v>45046.05841345471</v>
      </c>
      <c r="C179" s="56">
        <f t="shared" si="27"/>
        <v>360368.4673076371</v>
      </c>
      <c r="D179" s="56">
        <f t="shared" si="29"/>
        <v>1216243.5771632758</v>
      </c>
      <c r="E179" s="56">
        <f t="shared" si="28"/>
        <v>1251301.9158715641</v>
      </c>
      <c r="F179" s="56">
        <v>0</v>
      </c>
      <c r="G179" s="70">
        <f t="shared" si="30"/>
        <v>1244351.6231546917</v>
      </c>
    </row>
    <row r="180" spans="1:7">
      <c r="A180" s="41">
        <v>89</v>
      </c>
      <c r="B180" s="56">
        <f t="shared" si="24"/>
        <v>46172.209873791078</v>
      </c>
      <c r="C180" s="56">
        <f t="shared" si="27"/>
        <v>369377.67899032799</v>
      </c>
      <c r="D180" s="56">
        <f t="shared" si="29"/>
        <v>1292821.8764661488</v>
      </c>
      <c r="E180" s="56">
        <f t="shared" si="28"/>
        <v>1340883.7575760055</v>
      </c>
      <c r="F180" s="56">
        <v>0</v>
      </c>
      <c r="G180" s="70">
        <f t="shared" si="30"/>
        <v>1342589.9091932198</v>
      </c>
    </row>
    <row r="181" spans="1:7">
      <c r="A181" s="41">
        <v>90</v>
      </c>
      <c r="B181" s="56">
        <f t="shared" si="24"/>
        <v>47326.515120635857</v>
      </c>
      <c r="C181" s="56">
        <f t="shared" si="27"/>
        <v>378612.12096508616</v>
      </c>
      <c r="D181" s="56">
        <f t="shared" si="29"/>
        <v>1372468.9384984383</v>
      </c>
      <c r="E181" s="56">
        <f t="shared" si="28"/>
        <v>1434162.6276682494</v>
      </c>
      <c r="F181" s="56">
        <v>0</v>
      </c>
      <c r="G181" s="70">
        <f t="shared" si="30"/>
        <v>1444962.3897692028</v>
      </c>
    </row>
    <row r="182" spans="1:7">
      <c r="A182" s="41">
        <v>91</v>
      </c>
      <c r="B182" s="56">
        <f t="shared" si="24"/>
        <v>48509.67799865175</v>
      </c>
      <c r="C182" s="56">
        <f t="shared" si="27"/>
        <v>388077.4239892133</v>
      </c>
      <c r="D182" s="56">
        <f t="shared" si="29"/>
        <v>1455290.3399595509</v>
      </c>
      <c r="E182" s="56">
        <f t="shared" si="28"/>
        <v>1531267.3889166203</v>
      </c>
      <c r="F182" s="56">
        <v>0</v>
      </c>
      <c r="G182" s="70">
        <f t="shared" si="30"/>
        <v>1551614.3756807393</v>
      </c>
    </row>
    <row r="183" spans="1:7">
      <c r="A183" s="41">
        <v>92</v>
      </c>
      <c r="B183" s="56">
        <f t="shared" si="24"/>
        <v>49722.419948618044</v>
      </c>
      <c r="C183" s="56">
        <f t="shared" si="27"/>
        <v>397779.3595889436</v>
      </c>
      <c r="D183" s="56">
        <f t="shared" si="29"/>
        <v>1541395.0184071576</v>
      </c>
      <c r="E183" s="56">
        <f t="shared" si="28"/>
        <v>1632331.036585117</v>
      </c>
      <c r="F183" s="56">
        <v>0</v>
      </c>
      <c r="G183" s="70">
        <f t="shared" si="30"/>
        <v>1662695.8593942467</v>
      </c>
    </row>
    <row r="184" spans="1:7">
      <c r="A184" s="41">
        <v>93</v>
      </c>
      <c r="B184" s="56">
        <f t="shared" si="24"/>
        <v>50965.480447333495</v>
      </c>
      <c r="C184" s="56">
        <f t="shared" si="27"/>
        <v>407723.84357866715</v>
      </c>
      <c r="D184" s="56">
        <f t="shared" si="29"/>
        <v>1630895.37431467</v>
      </c>
      <c r="E184" s="56">
        <f t="shared" si="28"/>
        <v>1737490.8245189658</v>
      </c>
      <c r="F184" s="56">
        <v>0</v>
      </c>
      <c r="G184" s="70">
        <f t="shared" si="30"/>
        <v>1778361.6583086289</v>
      </c>
    </row>
    <row r="185" spans="1:7">
      <c r="A185" s="41">
        <v>94</v>
      </c>
      <c r="B185" s="56">
        <f t="shared" si="24"/>
        <v>52239.617458516834</v>
      </c>
      <c r="C185" s="56">
        <f t="shared" si="27"/>
        <v>417916.9396681338</v>
      </c>
      <c r="D185" s="56">
        <f t="shared" si="29"/>
        <v>1723907.3761310533</v>
      </c>
      <c r="E185" s="56">
        <f t="shared" si="28"/>
        <v>1846888.3949516413</v>
      </c>
      <c r="F185" s="56">
        <v>0</v>
      </c>
      <c r="G185" s="70">
        <f t="shared" si="30"/>
        <v>1898771.5622566091</v>
      </c>
    </row>
    <row r="186" spans="1:7">
      <c r="A186" s="41">
        <v>95</v>
      </c>
      <c r="B186" s="56">
        <f t="shared" si="24"/>
        <v>53545.607894979752</v>
      </c>
      <c r="C186" s="56">
        <f t="shared" si="27"/>
        <v>428364.86315983708</v>
      </c>
      <c r="D186" s="56">
        <f t="shared" si="29"/>
        <v>1820550.668429309</v>
      </c>
      <c r="E186" s="56">
        <f t="shared" si="28"/>
        <v>1960669.9121406262</v>
      </c>
      <c r="F186" s="56">
        <v>0</v>
      </c>
      <c r="G186" s="70">
        <f t="shared" si="30"/>
        <v>2024090.4853655451</v>
      </c>
    </row>
    <row r="187" spans="1:7">
      <c r="A187" s="41">
        <v>96</v>
      </c>
      <c r="B187" s="56">
        <f t="shared" si="24"/>
        <v>54884.248092354246</v>
      </c>
      <c r="C187" s="56">
        <f t="shared" si="27"/>
        <v>439073.98473883298</v>
      </c>
      <c r="D187" s="56">
        <f t="shared" si="29"/>
        <v>1920948.6832323959</v>
      </c>
      <c r="E187" s="56">
        <f t="shared" si="28"/>
        <v>2078986.1999422158</v>
      </c>
      <c r="F187" s="56">
        <v>0</v>
      </c>
      <c r="G187" s="70">
        <f t="shared" si="30"/>
        <v>2154488.6224035178</v>
      </c>
    </row>
    <row r="188" spans="1:7">
      <c r="A188" s="41">
        <v>97</v>
      </c>
      <c r="B188" s="56">
        <f t="shared" si="24"/>
        <v>56256.354294663106</v>
      </c>
      <c r="C188" s="56">
        <f t="shared" si="27"/>
        <v>450050.83435730374</v>
      </c>
      <c r="D188" s="56">
        <f t="shared" si="29"/>
        <v>2025228.7546078686</v>
      </c>
      <c r="E188" s="56">
        <f t="shared" si="28"/>
        <v>2201992.8834387967</v>
      </c>
      <c r="F188" s="56">
        <v>0</v>
      </c>
      <c r="G188" s="70">
        <f t="shared" si="30"/>
        <v>2290141.6097400356</v>
      </c>
    </row>
    <row r="189" spans="1:7">
      <c r="A189" s="41">
        <v>98</v>
      </c>
      <c r="B189" s="56">
        <f t="shared" si="24"/>
        <v>57662.763152029685</v>
      </c>
      <c r="C189" s="56">
        <f t="shared" si="27"/>
        <v>461302.10521623632</v>
      </c>
      <c r="D189" s="56">
        <f t="shared" si="29"/>
        <v>2133522.2366250949</v>
      </c>
      <c r="E189" s="56">
        <f t="shared" si="28"/>
        <v>2329850.5347352428</v>
      </c>
      <c r="F189" s="56">
        <v>0</v>
      </c>
      <c r="G189" s="70">
        <f t="shared" si="30"/>
        <v>2431230.6910543772</v>
      </c>
    </row>
    <row r="190" spans="1:7">
      <c r="A190" s="41">
        <v>99</v>
      </c>
      <c r="B190" s="56">
        <f t="shared" si="24"/>
        <v>59104.332230830427</v>
      </c>
      <c r="C190" s="56">
        <f t="shared" si="27"/>
        <v>472834.65784664219</v>
      </c>
      <c r="D190" s="56">
        <f t="shared" si="29"/>
        <v>2245964.6247715526</v>
      </c>
      <c r="E190" s="56">
        <f t="shared" si="28"/>
        <v>2462724.823044362</v>
      </c>
      <c r="F190" s="56">
        <v>0</v>
      </c>
      <c r="G190" s="70">
        <f t="shared" si="30"/>
        <v>2577942.887928348</v>
      </c>
    </row>
    <row r="191" spans="1:7" ht="15.75" thickBot="1">
      <c r="A191" s="43">
        <v>100</v>
      </c>
      <c r="B191" s="59">
        <f t="shared" si="24"/>
        <v>60581.940536601185</v>
      </c>
      <c r="C191" s="59">
        <f t="shared" si="27"/>
        <v>484655.5242928082</v>
      </c>
      <c r="D191" s="59">
        <f t="shared" si="29"/>
        <v>2362695.6809274424</v>
      </c>
      <c r="E191" s="59">
        <f t="shared" si="28"/>
        <v>2600786.6691847276</v>
      </c>
      <c r="F191" s="59">
        <v>0</v>
      </c>
      <c r="G191" s="71">
        <f t="shared" si="30"/>
        <v>2730471.1754641086</v>
      </c>
    </row>
    <row r="195" spans="2:6">
      <c r="C195" t="s">
        <v>144</v>
      </c>
    </row>
    <row r="196" spans="2:6" ht="15.75" thickBot="1"/>
    <row r="197" spans="2:6">
      <c r="B197" s="53" t="s">
        <v>148</v>
      </c>
      <c r="C197" s="81" t="s">
        <v>149</v>
      </c>
      <c r="D197" s="82" t="s">
        <v>150</v>
      </c>
    </row>
    <row r="198" spans="2:6" ht="15.75" thickBot="1">
      <c r="B198" s="83">
        <f>NPV(B6,B108:B130)</f>
        <v>531912.58536585432</v>
      </c>
      <c r="C198" s="59">
        <f>NPV(B6,D108:D130)</f>
        <v>525614.77923995804</v>
      </c>
      <c r="D198" s="71">
        <f>NPV(B6,F108:F130)</f>
        <v>504355.09351870336</v>
      </c>
    </row>
    <row r="199" spans="2:6" ht="15.75" thickBot="1">
      <c r="B199" s="2"/>
      <c r="C199" s="2" t="str">
        <f>"Cola = "&amp; B5*100 &amp; "% "</f>
        <v xml:space="preserve">Cola = 2.5% </v>
      </c>
      <c r="D199" s="2"/>
    </row>
    <row r="200" spans="2:6" ht="15.75" thickBot="1">
      <c r="B200" s="84" t="s">
        <v>151</v>
      </c>
      <c r="C200" s="85" t="s">
        <v>152</v>
      </c>
      <c r="D200" s="86" t="s">
        <v>153</v>
      </c>
    </row>
    <row r="201" spans="2:6" ht="15.75" thickBot="1">
      <c r="B201" s="87">
        <f>NPV(B6,F66:F88)</f>
        <v>410854.21246823558</v>
      </c>
      <c r="C201" s="88">
        <f>NPV(B6,G66:G88)</f>
        <v>429608.25306468358</v>
      </c>
      <c r="D201" s="89">
        <f>NPV(B6,H66:H88)</f>
        <v>426715.07960913784</v>
      </c>
    </row>
    <row r="203" spans="2:6" ht="45.75" thickBot="1">
      <c r="B203" s="93" t="s">
        <v>202</v>
      </c>
      <c r="C203" s="138" t="str">
        <f>"Discount Rate = " &amp; B6*100 &amp;"%  "</f>
        <v xml:space="preserve">Discount Rate = 2.5%  </v>
      </c>
      <c r="D203" s="93" t="str">
        <f>"Life Expectancy past 62 = " &amp; B4 &amp; "  Yrs"</f>
        <v>Life Expectancy past 62 = 22  Yrs</v>
      </c>
      <c r="F203" s="93" t="s">
        <v>170</v>
      </c>
    </row>
    <row r="204" spans="2:6" ht="15.75" thickBot="1">
      <c r="B204" s="87">
        <f>NPV(B6,B108:INDEX(B:B,108+B4))</f>
        <v>531912.58536585432</v>
      </c>
      <c r="C204" s="87">
        <f>NPV(B6,D108:INDEX(D:D,108+B4))</f>
        <v>525614.77923995804</v>
      </c>
      <c r="D204" s="87">
        <f>NPV(B6,F108:INDEX(F:F,108+B4))</f>
        <v>504355.09351870336</v>
      </c>
    </row>
  </sheetData>
  <phoneticPr fontId="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DE36-85DD-422E-86B4-11F8922FD397}">
  <dimension ref="A1:AI48"/>
  <sheetViews>
    <sheetView zoomScaleNormal="100" workbookViewId="0">
      <pane xSplit="2" topLeftCell="C1" activePane="topRight" state="frozen"/>
      <selection pane="topRight" activeCell="E5" sqref="E5:F5"/>
    </sheetView>
  </sheetViews>
  <sheetFormatPr defaultRowHeight="15"/>
  <cols>
    <col min="2" max="2" width="14.28515625" customWidth="1"/>
    <col min="3" max="3" width="14.85546875" customWidth="1"/>
    <col min="4" max="4" width="12" customWidth="1"/>
    <col min="5" max="5" width="14.85546875" customWidth="1"/>
    <col min="7" max="7" width="16.5703125" customWidth="1"/>
    <col min="8" max="8" width="12.28515625" customWidth="1"/>
    <col min="9" max="10" width="11" customWidth="1"/>
    <col min="11" max="11" width="16.7109375" customWidth="1"/>
    <col min="12" max="12" width="14.140625" customWidth="1"/>
    <col min="13" max="13" width="18.28515625" customWidth="1"/>
    <col min="14" max="14" width="11.7109375" customWidth="1"/>
    <col min="15" max="15" width="14.7109375" customWidth="1"/>
    <col min="16" max="16" width="12.7109375" customWidth="1"/>
    <col min="17" max="18" width="14.7109375" customWidth="1"/>
    <col min="19" max="19" width="16.140625" customWidth="1"/>
    <col min="20" max="21" width="13.5703125" customWidth="1"/>
    <col min="22" max="23" width="14.85546875" customWidth="1"/>
    <col min="24" max="24" width="16.140625" customWidth="1"/>
    <col min="25" max="25" width="14.85546875" customWidth="1"/>
    <col min="26" max="26" width="15.7109375" customWidth="1"/>
    <col min="27" max="27" width="15.28515625" customWidth="1"/>
    <col min="28" max="28" width="17.7109375" customWidth="1"/>
    <col min="29" max="29" width="13.28515625" customWidth="1"/>
    <col min="30" max="30" width="17.7109375" customWidth="1"/>
    <col min="31" max="31" width="13.28515625" bestFit="1" customWidth="1"/>
    <col min="32" max="32" width="12.7109375" customWidth="1"/>
    <col min="33" max="33" width="13.28515625" customWidth="1"/>
    <col min="34" max="34" width="12.28515625" bestFit="1" customWidth="1"/>
    <col min="35" max="35" width="14.5703125" customWidth="1"/>
  </cols>
  <sheetData>
    <row r="1" spans="1:35">
      <c r="A1" s="14" t="s">
        <v>0</v>
      </c>
    </row>
    <row r="2" spans="1:35">
      <c r="B2" s="14" t="s">
        <v>1</v>
      </c>
      <c r="C2" s="4">
        <f>Main!B3</f>
        <v>2822</v>
      </c>
    </row>
    <row r="3" spans="1:35" ht="30">
      <c r="B3" s="21" t="s">
        <v>101</v>
      </c>
      <c r="C3" s="13">
        <f>Main!B4</f>
        <v>22</v>
      </c>
      <c r="D3" s="1"/>
      <c r="E3" s="93" t="s">
        <v>193</v>
      </c>
      <c r="F3" s="12">
        <f>'SSI cola for the year'!F5</f>
        <v>3.7294117647058829</v>
      </c>
      <c r="H3" s="21"/>
      <c r="I3" s="12"/>
    </row>
    <row r="4" spans="1:35">
      <c r="B4" s="21" t="s">
        <v>113</v>
      </c>
      <c r="C4" s="1">
        <f>Main!B5</f>
        <v>2.5000000000000001E-2</v>
      </c>
      <c r="E4" s="14"/>
      <c r="F4" s="1"/>
    </row>
    <row r="5" spans="1:35" ht="30">
      <c r="B5" s="107" t="s">
        <v>192</v>
      </c>
      <c r="C5" s="1">
        <f>Main!B6</f>
        <v>2.5000000000000001E-2</v>
      </c>
      <c r="E5" s="93" t="s">
        <v>190</v>
      </c>
      <c r="F5" s="1">
        <f>Main!E6</f>
        <v>3.2639639639639652E-2</v>
      </c>
    </row>
    <row r="6" spans="1:35">
      <c r="B6" s="14" t="s">
        <v>94</v>
      </c>
      <c r="C6" s="1">
        <f>Main!B7</f>
        <v>2.5000000000000001E-2</v>
      </c>
    </row>
    <row r="7" spans="1:35">
      <c r="B7" s="21"/>
      <c r="C7" s="1"/>
    </row>
    <row r="8" spans="1:35" ht="75">
      <c r="B8" s="14" t="s">
        <v>2</v>
      </c>
      <c r="C8" s="14" t="s">
        <v>3</v>
      </c>
      <c r="D8" s="14" t="s">
        <v>108</v>
      </c>
      <c r="E8" s="14" t="s">
        <v>4</v>
      </c>
      <c r="F8" s="14"/>
      <c r="G8" s="21" t="s">
        <v>103</v>
      </c>
      <c r="H8" s="21" t="s">
        <v>104</v>
      </c>
      <c r="I8" s="21" t="s">
        <v>107</v>
      </c>
      <c r="J8" s="21"/>
      <c r="K8" s="21" t="s">
        <v>105</v>
      </c>
      <c r="L8" s="21" t="s">
        <v>106</v>
      </c>
      <c r="M8" s="21" t="s">
        <v>87</v>
      </c>
      <c r="N8" s="21" t="s">
        <v>89</v>
      </c>
      <c r="O8" s="21" t="s">
        <v>88</v>
      </c>
      <c r="P8" s="21" t="s">
        <v>91</v>
      </c>
      <c r="Q8" s="21" t="s">
        <v>90</v>
      </c>
      <c r="R8" s="21" t="s">
        <v>93</v>
      </c>
      <c r="S8" s="21" t="s">
        <v>92</v>
      </c>
      <c r="T8" s="21" t="s">
        <v>95</v>
      </c>
      <c r="U8" s="21" t="s">
        <v>96</v>
      </c>
      <c r="V8" s="21" t="s">
        <v>97</v>
      </c>
      <c r="W8" s="21" t="s">
        <v>194</v>
      </c>
      <c r="X8" s="21" t="s">
        <v>92</v>
      </c>
      <c r="Y8" s="21"/>
      <c r="Z8" s="21" t="s">
        <v>98</v>
      </c>
      <c r="AA8" s="22" t="s">
        <v>99</v>
      </c>
      <c r="AB8" s="21" t="s">
        <v>100</v>
      </c>
      <c r="AC8" s="21" t="s">
        <v>102</v>
      </c>
      <c r="AD8" s="21" t="s">
        <v>114</v>
      </c>
      <c r="AE8" s="21" t="s">
        <v>115</v>
      </c>
      <c r="AF8" s="21" t="s">
        <v>117</v>
      </c>
      <c r="AG8" s="21" t="s">
        <v>116</v>
      </c>
      <c r="AH8" s="21" t="s">
        <v>119</v>
      </c>
      <c r="AI8" s="21" t="s">
        <v>120</v>
      </c>
    </row>
    <row r="9" spans="1:35">
      <c r="B9">
        <v>62</v>
      </c>
      <c r="C9" s="2">
        <f>C2*D9</f>
        <v>1975.3999999999999</v>
      </c>
      <c r="D9" s="3">
        <v>0.7</v>
      </c>
      <c r="G9" s="2">
        <f>C9</f>
        <v>1975.3999999999999</v>
      </c>
      <c r="H9" s="2"/>
      <c r="K9" s="2">
        <f>$C$9*12</f>
        <v>23704.799999999999</v>
      </c>
      <c r="L9" s="2"/>
      <c r="M9" s="2"/>
      <c r="N9" s="2">
        <f>K9</f>
        <v>23704.799999999999</v>
      </c>
      <c r="O9" s="2">
        <f>K9</f>
        <v>23704.799999999999</v>
      </c>
      <c r="P9">
        <v>0</v>
      </c>
      <c r="Q9">
        <v>0</v>
      </c>
      <c r="R9">
        <v>0</v>
      </c>
      <c r="S9">
        <v>0</v>
      </c>
      <c r="T9" s="2">
        <f>O9</f>
        <v>23704.799999999999</v>
      </c>
      <c r="U9" s="2">
        <f t="shared" ref="U9:U13" si="0">Q9</f>
        <v>0</v>
      </c>
      <c r="V9" s="2">
        <f t="shared" ref="V9:V16" si="1">S9</f>
        <v>0</v>
      </c>
      <c r="W9" s="2">
        <f>T9</f>
        <v>23704.799999999999</v>
      </c>
      <c r="X9">
        <v>0</v>
      </c>
      <c r="Y9" s="2"/>
      <c r="Z9" s="2">
        <f>PV($C$5,$C$3,K9,,0)</f>
        <v>-397420.76777994033</v>
      </c>
      <c r="AA9" s="2">
        <f>PV($C$5,C3-5,L14)</f>
        <v>-464349.86348905001</v>
      </c>
      <c r="AB9" s="2">
        <f>PV($C$5,$C$3-8,M17)</f>
        <v>-490917.30164212093</v>
      </c>
      <c r="AC9" s="2">
        <f>NPV($C$5,N9:N34)</f>
        <v>601292.48780487885</v>
      </c>
      <c r="AD9" s="2">
        <f>NPV($C$5,P9:P34)</f>
        <v>613217.24244661781</v>
      </c>
      <c r="AE9" s="2">
        <f>NPV($C$5,R9:R34)</f>
        <v>605226.11222244415</v>
      </c>
      <c r="AF9" s="2">
        <f>FV($C$5,$C$3-8,,T17)</f>
        <v>-326476.04532285326</v>
      </c>
      <c r="AG9" s="2">
        <f>FV($C$5,$C$3-5,,T14)</f>
        <v>-244857.03399214</v>
      </c>
      <c r="AH9" s="2">
        <f>AF9/(1+$C$5)^($C$3)</f>
        <v>-189638.39999999994</v>
      </c>
      <c r="AI9" s="2">
        <f>AG9/(1+$C$5)^($C$3)</f>
        <v>-142228.79999999999</v>
      </c>
    </row>
    <row r="10" spans="1:35">
      <c r="B10">
        <v>63</v>
      </c>
      <c r="C10" s="2">
        <f>C2*D10</f>
        <v>2116.5</v>
      </c>
      <c r="D10" s="3">
        <v>0.75</v>
      </c>
      <c r="E10" s="1">
        <f t="shared" ref="E10:E17" si="2">(C10-C9)/C9</f>
        <v>7.1428571428571508E-2</v>
      </c>
      <c r="G10" s="2">
        <f t="shared" ref="G10:G47" si="3">G9*(1+$C$4)</f>
        <v>2024.7849999999996</v>
      </c>
      <c r="H10" s="2"/>
      <c r="K10" s="2">
        <f>K9+$K$9</f>
        <v>47409.599999999999</v>
      </c>
      <c r="L10" s="2"/>
      <c r="M10" s="2"/>
      <c r="N10" s="2">
        <f t="shared" ref="N10:N47" si="4">N9+(N9*$C$4)</f>
        <v>24297.42</v>
      </c>
      <c r="O10" s="2">
        <f>O9+N10</f>
        <v>48002.22</v>
      </c>
      <c r="P10">
        <v>0</v>
      </c>
      <c r="Q10">
        <v>0</v>
      </c>
      <c r="R10">
        <v>0</v>
      </c>
      <c r="S10">
        <v>0</v>
      </c>
      <c r="T10" s="2">
        <f t="shared" ref="T10:T16" si="5">N10+(1+$C$5)*T9</f>
        <v>48594.84</v>
      </c>
      <c r="U10" s="2">
        <f t="shared" si="0"/>
        <v>0</v>
      </c>
      <c r="V10" s="2">
        <f t="shared" si="1"/>
        <v>0</v>
      </c>
      <c r="W10" s="2">
        <f t="shared" ref="W10:W16" si="6">T10</f>
        <v>48594.84</v>
      </c>
      <c r="X10">
        <v>0</v>
      </c>
      <c r="Y10" s="2"/>
    </row>
    <row r="11" spans="1:35">
      <c r="B11">
        <v>64</v>
      </c>
      <c r="C11" s="2">
        <f>C2*D11</f>
        <v>2257.6</v>
      </c>
      <c r="D11" s="3">
        <v>0.8</v>
      </c>
      <c r="E11" s="1">
        <f t="shared" si="2"/>
        <v>6.6666666666666624E-2</v>
      </c>
      <c r="G11" s="2">
        <f t="shared" si="3"/>
        <v>2075.4046249999992</v>
      </c>
      <c r="H11" s="2"/>
      <c r="K11" s="2">
        <f t="shared" ref="K11:K47" si="7">K10+$K$9</f>
        <v>71114.399999999994</v>
      </c>
      <c r="L11" s="2"/>
      <c r="M11" s="2"/>
      <c r="N11" s="2">
        <f t="shared" si="4"/>
        <v>24904.855499999998</v>
      </c>
      <c r="O11" s="2">
        <f t="shared" ref="O11:O47" si="8">O10+N11</f>
        <v>72907.075500000006</v>
      </c>
      <c r="P11">
        <v>0</v>
      </c>
      <c r="Q11">
        <v>0</v>
      </c>
      <c r="R11">
        <v>0</v>
      </c>
      <c r="S11">
        <v>0</v>
      </c>
      <c r="T11" s="2">
        <f t="shared" si="5"/>
        <v>74714.566499999986</v>
      </c>
      <c r="U11" s="2">
        <f t="shared" si="0"/>
        <v>0</v>
      </c>
      <c r="V11" s="2">
        <f t="shared" si="1"/>
        <v>0</v>
      </c>
      <c r="W11" s="2">
        <f t="shared" si="6"/>
        <v>74714.566499999986</v>
      </c>
      <c r="X11">
        <v>0</v>
      </c>
      <c r="Y11" s="2"/>
    </row>
    <row r="12" spans="1:35">
      <c r="B12">
        <v>65</v>
      </c>
      <c r="C12" s="2">
        <f>C2*D12</f>
        <v>2446.674</v>
      </c>
      <c r="D12" s="1">
        <v>0.86699999999999999</v>
      </c>
      <c r="E12" s="1">
        <f t="shared" si="2"/>
        <v>8.3750000000000033E-2</v>
      </c>
      <c r="G12" s="2">
        <f t="shared" si="3"/>
        <v>2127.289740624999</v>
      </c>
      <c r="H12" s="2"/>
      <c r="K12" s="2">
        <f t="shared" si="7"/>
        <v>94819.199999999997</v>
      </c>
      <c r="L12" s="2"/>
      <c r="M12" s="2"/>
      <c r="N12" s="2">
        <f t="shared" si="4"/>
        <v>25527.476887499997</v>
      </c>
      <c r="O12" s="2">
        <f t="shared" si="8"/>
        <v>98434.552387500007</v>
      </c>
      <c r="P12">
        <v>0</v>
      </c>
      <c r="Q12">
        <v>0</v>
      </c>
      <c r="R12">
        <v>0</v>
      </c>
      <c r="S12">
        <v>0</v>
      </c>
      <c r="T12" s="2">
        <f t="shared" si="5"/>
        <v>102109.90754999997</v>
      </c>
      <c r="U12" s="2">
        <f t="shared" si="0"/>
        <v>0</v>
      </c>
      <c r="V12" s="2">
        <f t="shared" si="1"/>
        <v>0</v>
      </c>
      <c r="W12" s="2">
        <f t="shared" si="6"/>
        <v>102109.90754999997</v>
      </c>
      <c r="X12">
        <v>0</v>
      </c>
      <c r="Y12" s="2"/>
      <c r="AH12" s="2">
        <f>FV(C5,C3,0,AH9)</f>
        <v>326476.04532285326</v>
      </c>
      <c r="AI12" s="2">
        <f>FV(C5,20,0,AI9)</f>
        <v>233058.44996277458</v>
      </c>
    </row>
    <row r="13" spans="1:35">
      <c r="B13">
        <v>66</v>
      </c>
      <c r="C13" s="2">
        <f>C2*D13</f>
        <v>2632.9259999999999</v>
      </c>
      <c r="D13" s="1">
        <v>0.93300000000000005</v>
      </c>
      <c r="E13" s="1">
        <f t="shared" si="2"/>
        <v>7.612456747404843E-2</v>
      </c>
      <c r="G13" s="2">
        <f t="shared" si="3"/>
        <v>2180.4719841406236</v>
      </c>
      <c r="H13" s="2"/>
      <c r="K13" s="2">
        <f t="shared" si="7"/>
        <v>118524</v>
      </c>
      <c r="L13" s="2"/>
      <c r="M13" s="2"/>
      <c r="N13" s="2">
        <f t="shared" si="4"/>
        <v>26165.663809687496</v>
      </c>
      <c r="O13" s="2">
        <f t="shared" si="8"/>
        <v>124600.2161971875</v>
      </c>
      <c r="P13">
        <v>0</v>
      </c>
      <c r="Q13">
        <v>0</v>
      </c>
      <c r="R13">
        <v>0</v>
      </c>
      <c r="S13">
        <v>0</v>
      </c>
      <c r="T13" s="2">
        <f t="shared" si="5"/>
        <v>130828.31904843746</v>
      </c>
      <c r="U13" s="2">
        <f t="shared" si="0"/>
        <v>0</v>
      </c>
      <c r="V13" s="2">
        <f t="shared" si="1"/>
        <v>0</v>
      </c>
      <c r="W13" s="2">
        <f t="shared" si="6"/>
        <v>130828.31904843746</v>
      </c>
      <c r="X13">
        <v>0</v>
      </c>
      <c r="Y13" s="2"/>
    </row>
    <row r="14" spans="1:35">
      <c r="B14">
        <v>67</v>
      </c>
      <c r="C14" s="2">
        <f>C2*D14</f>
        <v>2822</v>
      </c>
      <c r="D14" s="3">
        <v>1</v>
      </c>
      <c r="E14" s="1">
        <f t="shared" si="2"/>
        <v>7.1811361200428747E-2</v>
      </c>
      <c r="G14" s="2">
        <f t="shared" si="3"/>
        <v>2234.9837837441391</v>
      </c>
      <c r="H14" s="2">
        <f>$C$14</f>
        <v>2822</v>
      </c>
      <c r="K14" s="2">
        <f t="shared" si="7"/>
        <v>142228.79999999999</v>
      </c>
      <c r="L14" s="2">
        <f>C14*12</f>
        <v>33864</v>
      </c>
      <c r="M14" s="2"/>
      <c r="N14" s="2">
        <f t="shared" si="4"/>
        <v>26819.805404929684</v>
      </c>
      <c r="O14" s="2">
        <f t="shared" si="8"/>
        <v>151420.02160211719</v>
      </c>
      <c r="P14" s="2">
        <f>L14</f>
        <v>33864</v>
      </c>
      <c r="Q14" s="2">
        <f>L14</f>
        <v>33864</v>
      </c>
      <c r="R14">
        <v>0</v>
      </c>
      <c r="S14">
        <v>0</v>
      </c>
      <c r="T14" s="2">
        <f t="shared" si="5"/>
        <v>160918.83242957806</v>
      </c>
      <c r="U14" s="2">
        <f>Q14</f>
        <v>33864</v>
      </c>
      <c r="V14" s="2">
        <f t="shared" si="1"/>
        <v>0</v>
      </c>
      <c r="W14" s="2">
        <f t="shared" si="6"/>
        <v>160918.83242957806</v>
      </c>
      <c r="X14">
        <v>0</v>
      </c>
      <c r="Y14" s="2"/>
    </row>
    <row r="15" spans="1:35">
      <c r="B15">
        <v>68</v>
      </c>
      <c r="C15" s="2">
        <f>C2*D15</f>
        <v>3047.76</v>
      </c>
      <c r="D15" s="3">
        <v>1.08</v>
      </c>
      <c r="E15" s="1">
        <f t="shared" si="2"/>
        <v>8.0000000000000071E-2</v>
      </c>
      <c r="G15" s="2">
        <f t="shared" si="3"/>
        <v>2290.8583783377426</v>
      </c>
      <c r="H15" s="2">
        <f t="shared" ref="H15:H47" si="9">H14*(1+$C$4)</f>
        <v>2892.5499999999997</v>
      </c>
      <c r="K15" s="2">
        <f t="shared" si="7"/>
        <v>165933.59999999998</v>
      </c>
      <c r="L15" s="2">
        <f>L14+$L$14</f>
        <v>67728</v>
      </c>
      <c r="M15" s="2"/>
      <c r="N15" s="2">
        <f t="shared" si="4"/>
        <v>27490.300540052925</v>
      </c>
      <c r="O15" s="2">
        <f t="shared" si="8"/>
        <v>178910.32214217013</v>
      </c>
      <c r="P15" s="2">
        <f t="shared" ref="P15:P47" si="10">P14+P14*$C$4</f>
        <v>34710.6</v>
      </c>
      <c r="Q15" s="2">
        <f t="shared" ref="Q15:Q47" si="11">Q14+P15</f>
        <v>68574.600000000006</v>
      </c>
      <c r="R15">
        <v>0</v>
      </c>
      <c r="S15">
        <v>0</v>
      </c>
      <c r="T15" s="2">
        <f t="shared" si="5"/>
        <v>192432.10378037044</v>
      </c>
      <c r="U15" s="2">
        <f>(U14*(1+$C$5))+P15</f>
        <v>69421.2</v>
      </c>
      <c r="V15" s="2">
        <f t="shared" si="1"/>
        <v>0</v>
      </c>
      <c r="W15" s="2">
        <f t="shared" si="6"/>
        <v>192432.10378037044</v>
      </c>
      <c r="X15">
        <v>0</v>
      </c>
      <c r="Y15" s="2"/>
    </row>
    <row r="16" spans="1:35">
      <c r="B16">
        <v>69</v>
      </c>
      <c r="C16" s="2">
        <f>C2*D16</f>
        <v>3273.52</v>
      </c>
      <c r="D16" s="3">
        <v>1.1599999999999999</v>
      </c>
      <c r="E16" s="1">
        <f t="shared" si="2"/>
        <v>7.4074074074073987E-2</v>
      </c>
      <c r="G16" s="2">
        <f t="shared" si="3"/>
        <v>2348.1298377961862</v>
      </c>
      <c r="H16" s="2">
        <f t="shared" si="9"/>
        <v>2964.8637499999995</v>
      </c>
      <c r="K16" s="2">
        <f t="shared" si="7"/>
        <v>189638.39999999997</v>
      </c>
      <c r="L16" s="2">
        <f t="shared" ref="L16:L47" si="12">L15+$L$14</f>
        <v>101592</v>
      </c>
      <c r="M16" s="2"/>
      <c r="N16" s="2">
        <f t="shared" si="4"/>
        <v>28177.55805355425</v>
      </c>
      <c r="O16" s="2">
        <f t="shared" si="8"/>
        <v>207087.88019572437</v>
      </c>
      <c r="P16" s="2">
        <f t="shared" si="10"/>
        <v>35578.364999999998</v>
      </c>
      <c r="Q16" s="2">
        <f t="shared" si="11"/>
        <v>104152.965</v>
      </c>
      <c r="R16">
        <v>0</v>
      </c>
      <c r="S16">
        <v>0</v>
      </c>
      <c r="T16" s="2">
        <f t="shared" si="5"/>
        <v>225420.46442843392</v>
      </c>
      <c r="U16" s="2">
        <f>(U15*(1+$C$5))+P16</f>
        <v>106735.095</v>
      </c>
      <c r="V16" s="2">
        <f t="shared" si="1"/>
        <v>0</v>
      </c>
      <c r="W16" s="2">
        <f t="shared" si="6"/>
        <v>225420.46442843392</v>
      </c>
      <c r="X16">
        <v>0</v>
      </c>
      <c r="Y16" s="2"/>
    </row>
    <row r="17" spans="2:32">
      <c r="B17">
        <v>70</v>
      </c>
      <c r="C17" s="2">
        <f>C2*D17</f>
        <v>3499.28</v>
      </c>
      <c r="D17" s="3">
        <v>1.24</v>
      </c>
      <c r="E17" s="1">
        <f t="shared" si="2"/>
        <v>6.8965517241379379E-2</v>
      </c>
      <c r="G17" s="2">
        <f t="shared" si="3"/>
        <v>2406.8330837410908</v>
      </c>
      <c r="H17" s="2">
        <f t="shared" si="9"/>
        <v>3038.9853437499992</v>
      </c>
      <c r="I17" s="2">
        <f>C17</f>
        <v>3499.28</v>
      </c>
      <c r="J17" s="2"/>
      <c r="K17" s="2">
        <f t="shared" si="7"/>
        <v>213343.19999999995</v>
      </c>
      <c r="L17" s="2">
        <f t="shared" si="12"/>
        <v>135456</v>
      </c>
      <c r="M17" s="2">
        <f>C17*12</f>
        <v>41991.360000000001</v>
      </c>
      <c r="N17" s="2">
        <f t="shared" si="4"/>
        <v>28881.997004893106</v>
      </c>
      <c r="O17" s="2">
        <f t="shared" si="8"/>
        <v>235969.87720061748</v>
      </c>
      <c r="P17" s="2">
        <f t="shared" si="10"/>
        <v>36467.824124999999</v>
      </c>
      <c r="Q17" s="2">
        <f t="shared" si="11"/>
        <v>140620.78912500001</v>
      </c>
      <c r="R17" s="2">
        <f>M17</f>
        <v>41991.360000000001</v>
      </c>
      <c r="S17" s="2">
        <f>M17</f>
        <v>41991.360000000001</v>
      </c>
      <c r="T17" s="2">
        <f t="shared" ref="T17:T47" si="13">T16*(1+$C$5)</f>
        <v>231055.97603914473</v>
      </c>
      <c r="U17" s="2">
        <f t="shared" ref="U17:U47" si="14">(U16*(1+$C$5))</f>
        <v>109403.472375</v>
      </c>
      <c r="V17" s="2">
        <v>0</v>
      </c>
      <c r="W17" s="2">
        <f>P17+T17</f>
        <v>267523.80016414472</v>
      </c>
      <c r="X17" s="2">
        <f>R17</f>
        <v>41991.360000000001</v>
      </c>
      <c r="Y17" s="2"/>
    </row>
    <row r="18" spans="2:32">
      <c r="B18">
        <v>71</v>
      </c>
      <c r="G18" s="2">
        <f t="shared" si="3"/>
        <v>2467.0039108346177</v>
      </c>
      <c r="H18" s="2">
        <f t="shared" si="9"/>
        <v>3114.959977343749</v>
      </c>
      <c r="I18" s="2">
        <f t="shared" ref="I18:I47" si="15">I17*(1+$C$4)</f>
        <v>3586.7619999999997</v>
      </c>
      <c r="J18" s="2"/>
      <c r="K18" s="2">
        <f t="shared" si="7"/>
        <v>237047.99999999994</v>
      </c>
      <c r="L18" s="2">
        <f t="shared" si="12"/>
        <v>169320</v>
      </c>
      <c r="M18" s="2">
        <f>M17+$M$17</f>
        <v>83982.720000000001</v>
      </c>
      <c r="N18" s="2">
        <f t="shared" si="4"/>
        <v>29604.046930015433</v>
      </c>
      <c r="O18" s="2">
        <f t="shared" si="8"/>
        <v>265573.92413063289</v>
      </c>
      <c r="P18" s="2">
        <f t="shared" si="10"/>
        <v>37379.519728125</v>
      </c>
      <c r="Q18" s="2">
        <f t="shared" si="11"/>
        <v>178000.30885312503</v>
      </c>
      <c r="R18" s="2">
        <f t="shared" ref="R18:R47" si="16">R17 +R17*$C$4</f>
        <v>43041.144</v>
      </c>
      <c r="S18" s="2">
        <f>S17+$R$18</f>
        <v>85032.504000000001</v>
      </c>
      <c r="T18" s="2">
        <f t="shared" si="13"/>
        <v>236832.37544012335</v>
      </c>
      <c r="U18" s="2">
        <f t="shared" si="14"/>
        <v>112138.55918437499</v>
      </c>
      <c r="V18" s="2">
        <v>0</v>
      </c>
      <c r="W18" s="2">
        <f>T18+K18-$K$16</f>
        <v>284241.97544012329</v>
      </c>
      <c r="X18" s="2">
        <f>X17+R18</f>
        <v>85032.504000000001</v>
      </c>
      <c r="Y18" s="2"/>
    </row>
    <row r="19" spans="2:32">
      <c r="B19">
        <v>72</v>
      </c>
      <c r="G19" s="2">
        <f t="shared" si="3"/>
        <v>2528.679008605483</v>
      </c>
      <c r="H19" s="2">
        <f t="shared" si="9"/>
        <v>3192.8339767773423</v>
      </c>
      <c r="I19" s="2">
        <f t="shared" si="15"/>
        <v>3676.4310499999992</v>
      </c>
      <c r="J19" s="2"/>
      <c r="K19" s="2">
        <f t="shared" si="7"/>
        <v>260752.79999999993</v>
      </c>
      <c r="L19" s="2">
        <f t="shared" si="12"/>
        <v>203184</v>
      </c>
      <c r="M19" s="2">
        <f t="shared" ref="M19:M47" si="17">M18+$M$17</f>
        <v>125974.08</v>
      </c>
      <c r="N19" s="2">
        <f t="shared" si="4"/>
        <v>30344.148103265819</v>
      </c>
      <c r="O19" s="2">
        <f t="shared" si="8"/>
        <v>295918.07223389868</v>
      </c>
      <c r="P19" s="2">
        <f t="shared" si="10"/>
        <v>38314.007721328126</v>
      </c>
      <c r="Q19" s="2">
        <f t="shared" si="11"/>
        <v>216314.31657445314</v>
      </c>
      <c r="R19" s="2">
        <f t="shared" si="16"/>
        <v>44117.172599999998</v>
      </c>
      <c r="S19" s="2">
        <f>S18+R19</f>
        <v>129149.67660000001</v>
      </c>
      <c r="T19" s="2">
        <f t="shared" si="13"/>
        <v>242753.18482612641</v>
      </c>
      <c r="U19" s="2">
        <f t="shared" si="14"/>
        <v>114942.02316398436</v>
      </c>
      <c r="V19" s="2">
        <v>0</v>
      </c>
      <c r="W19" s="2">
        <f t="shared" ref="W19:W47" si="18">T19+K19-$K$16</f>
        <v>313867.5848261264</v>
      </c>
      <c r="X19" s="2">
        <f t="shared" ref="X19:X22" si="19">X18+R19</f>
        <v>129149.67660000001</v>
      </c>
      <c r="Y19" s="2"/>
      <c r="AF19" t="s">
        <v>195</v>
      </c>
    </row>
    <row r="20" spans="2:32">
      <c r="B20">
        <v>73</v>
      </c>
      <c r="G20" s="2">
        <f t="shared" si="3"/>
        <v>2591.8959838206197</v>
      </c>
      <c r="H20" s="2">
        <f t="shared" si="9"/>
        <v>3272.6548261967755</v>
      </c>
      <c r="I20" s="2">
        <f t="shared" si="15"/>
        <v>3768.341826249999</v>
      </c>
      <c r="J20" s="2"/>
      <c r="K20" s="2">
        <f t="shared" si="7"/>
        <v>284457.59999999992</v>
      </c>
      <c r="L20" s="2">
        <f t="shared" si="12"/>
        <v>237048</v>
      </c>
      <c r="M20" s="2">
        <f t="shared" si="17"/>
        <v>167965.44</v>
      </c>
      <c r="N20" s="2">
        <f t="shared" si="4"/>
        <v>31102.751805847463</v>
      </c>
      <c r="O20" s="2">
        <f t="shared" si="8"/>
        <v>327020.82403974613</v>
      </c>
      <c r="P20" s="2">
        <f t="shared" si="10"/>
        <v>39271.857914361331</v>
      </c>
      <c r="Q20" s="2">
        <f t="shared" si="11"/>
        <v>255586.17448881449</v>
      </c>
      <c r="R20" s="2">
        <f t="shared" si="16"/>
        <v>45220.101914999999</v>
      </c>
      <c r="S20" s="2">
        <f t="shared" ref="S20:S47" si="20">S19+R20</f>
        <v>174369.77851500001</v>
      </c>
      <c r="T20" s="2">
        <f t="shared" si="13"/>
        <v>248822.01444677956</v>
      </c>
      <c r="U20" s="2">
        <f t="shared" si="14"/>
        <v>117815.57374308395</v>
      </c>
      <c r="V20" s="2">
        <v>0</v>
      </c>
      <c r="W20" s="2">
        <f t="shared" si="18"/>
        <v>343641.21444677952</v>
      </c>
      <c r="X20" s="2">
        <f t="shared" si="19"/>
        <v>174369.77851500001</v>
      </c>
      <c r="Y20" s="2"/>
      <c r="AF20" t="s">
        <v>118</v>
      </c>
    </row>
    <row r="21" spans="2:32">
      <c r="B21">
        <v>74</v>
      </c>
      <c r="G21" s="2">
        <f t="shared" si="3"/>
        <v>2656.693383416135</v>
      </c>
      <c r="H21" s="2">
        <f t="shared" si="9"/>
        <v>3354.4711968516945</v>
      </c>
      <c r="I21" s="2">
        <f t="shared" si="15"/>
        <v>3862.5503719062485</v>
      </c>
      <c r="J21" s="2"/>
      <c r="K21" s="2">
        <f t="shared" si="7"/>
        <v>308162.39999999991</v>
      </c>
      <c r="L21" s="2">
        <f t="shared" si="12"/>
        <v>270912</v>
      </c>
      <c r="M21" s="2">
        <f t="shared" si="17"/>
        <v>209956.8</v>
      </c>
      <c r="N21" s="2">
        <f t="shared" si="4"/>
        <v>31880.320600993651</v>
      </c>
      <c r="O21" s="2">
        <f t="shared" si="8"/>
        <v>358901.14464073977</v>
      </c>
      <c r="P21" s="2">
        <f t="shared" si="10"/>
        <v>40253.654362220368</v>
      </c>
      <c r="Q21" s="2">
        <f t="shared" si="11"/>
        <v>295839.82885103486</v>
      </c>
      <c r="R21" s="2">
        <f t="shared" si="16"/>
        <v>46350.604462875002</v>
      </c>
      <c r="S21" s="2">
        <f t="shared" si="20"/>
        <v>220720.38297787501</v>
      </c>
      <c r="T21" s="2">
        <f t="shared" si="13"/>
        <v>255042.56480794903</v>
      </c>
      <c r="U21" s="2">
        <f t="shared" si="14"/>
        <v>120760.96308666104</v>
      </c>
      <c r="V21" s="2">
        <v>0</v>
      </c>
      <c r="W21" s="2">
        <f t="shared" si="18"/>
        <v>373566.56480794895</v>
      </c>
      <c r="X21" s="2">
        <f t="shared" si="19"/>
        <v>220720.38297787501</v>
      </c>
      <c r="Y21" s="2"/>
    </row>
    <row r="22" spans="2:32">
      <c r="B22">
        <v>75</v>
      </c>
      <c r="G22" s="2">
        <f t="shared" si="3"/>
        <v>2723.1107180015383</v>
      </c>
      <c r="H22" s="2">
        <f t="shared" si="9"/>
        <v>3438.3329767729865</v>
      </c>
      <c r="I22" s="2">
        <f t="shared" si="15"/>
        <v>3959.1141312039044</v>
      </c>
      <c r="J22" s="2"/>
      <c r="K22" s="2">
        <f t="shared" si="7"/>
        <v>331867.1999999999</v>
      </c>
      <c r="L22" s="2">
        <f t="shared" si="12"/>
        <v>304776</v>
      </c>
      <c r="M22" s="2">
        <f t="shared" si="17"/>
        <v>251948.15999999997</v>
      </c>
      <c r="N22" s="2">
        <f t="shared" si="4"/>
        <v>32677.328616018494</v>
      </c>
      <c r="O22" s="2">
        <f t="shared" si="8"/>
        <v>391578.4732567583</v>
      </c>
      <c r="P22" s="2">
        <f t="shared" si="10"/>
        <v>41259.995721275875</v>
      </c>
      <c r="Q22" s="2">
        <f t="shared" si="11"/>
        <v>337099.82457231072</v>
      </c>
      <c r="R22" s="2">
        <f t="shared" si="16"/>
        <v>47509.369574446879</v>
      </c>
      <c r="S22" s="2">
        <f t="shared" si="20"/>
        <v>268229.75255232188</v>
      </c>
      <c r="T22" s="2">
        <f t="shared" si="13"/>
        <v>261418.62892814775</v>
      </c>
      <c r="U22" s="2">
        <f t="shared" si="14"/>
        <v>123779.98716382755</v>
      </c>
      <c r="V22" s="2">
        <v>0</v>
      </c>
      <c r="W22" s="2">
        <f t="shared" si="18"/>
        <v>403647.42892814771</v>
      </c>
      <c r="X22" s="2">
        <f t="shared" si="19"/>
        <v>268229.75255232188</v>
      </c>
      <c r="Y22" s="2"/>
    </row>
    <row r="23" spans="2:32">
      <c r="B23">
        <v>76</v>
      </c>
      <c r="G23" s="2">
        <f t="shared" si="3"/>
        <v>2791.1884859515767</v>
      </c>
      <c r="H23" s="2">
        <f t="shared" si="9"/>
        <v>3524.291301192311</v>
      </c>
      <c r="I23" s="2">
        <f t="shared" si="15"/>
        <v>4058.0919844840018</v>
      </c>
      <c r="J23" s="2"/>
      <c r="K23" s="2">
        <f t="shared" si="7"/>
        <v>355571.99999999988</v>
      </c>
      <c r="L23" s="2">
        <f t="shared" si="12"/>
        <v>338640</v>
      </c>
      <c r="M23" s="2">
        <f t="shared" si="17"/>
        <v>293939.51999999996</v>
      </c>
      <c r="N23" s="2">
        <f t="shared" si="4"/>
        <v>33494.26183141896</v>
      </c>
      <c r="O23" s="2">
        <f t="shared" si="8"/>
        <v>425072.73508817726</v>
      </c>
      <c r="P23" s="2">
        <f t="shared" si="10"/>
        <v>42291.495614307772</v>
      </c>
      <c r="Q23" s="2">
        <f t="shared" si="11"/>
        <v>379391.32018661848</v>
      </c>
      <c r="R23" s="2">
        <f t="shared" si="16"/>
        <v>48697.103813808048</v>
      </c>
      <c r="S23" s="2">
        <f t="shared" si="20"/>
        <v>316926.85636612994</v>
      </c>
      <c r="T23" s="2">
        <f t="shared" si="13"/>
        <v>267954.09465135145</v>
      </c>
      <c r="U23" s="2">
        <f t="shared" si="14"/>
        <v>126874.48684292323</v>
      </c>
      <c r="V23" s="2">
        <v>0</v>
      </c>
      <c r="W23" s="2">
        <f t="shared" si="18"/>
        <v>433887.69465135137</v>
      </c>
      <c r="X23" s="2">
        <f>X22+R23</f>
        <v>316926.85636612994</v>
      </c>
      <c r="Y23" s="2"/>
    </row>
    <row r="24" spans="2:32">
      <c r="B24">
        <v>77</v>
      </c>
      <c r="G24" s="2">
        <f t="shared" si="3"/>
        <v>2860.968198100366</v>
      </c>
      <c r="H24" s="2">
        <f t="shared" si="9"/>
        <v>3612.3985837221185</v>
      </c>
      <c r="I24" s="2">
        <f t="shared" si="15"/>
        <v>4159.5442840961014</v>
      </c>
      <c r="J24" s="2"/>
      <c r="K24" s="2">
        <f t="shared" si="7"/>
        <v>379276.79999999987</v>
      </c>
      <c r="L24" s="2">
        <f t="shared" si="12"/>
        <v>372504</v>
      </c>
      <c r="M24" s="2">
        <f t="shared" si="17"/>
        <v>335930.87999999995</v>
      </c>
      <c r="N24" s="2">
        <f t="shared" si="4"/>
        <v>34331.618377204431</v>
      </c>
      <c r="O24" s="2">
        <f t="shared" si="8"/>
        <v>459404.35346538166</v>
      </c>
      <c r="P24" s="2">
        <f t="shared" si="10"/>
        <v>43348.783004665464</v>
      </c>
      <c r="Q24" s="2">
        <f t="shared" si="11"/>
        <v>422740.10319128394</v>
      </c>
      <c r="R24" s="2">
        <f t="shared" si="16"/>
        <v>49914.531409153249</v>
      </c>
      <c r="S24" s="2">
        <f t="shared" si="20"/>
        <v>366841.38777528319</v>
      </c>
      <c r="T24" s="2">
        <f t="shared" si="13"/>
        <v>274652.94701763522</v>
      </c>
      <c r="U24" s="2">
        <f t="shared" si="14"/>
        <v>130046.3490139963</v>
      </c>
      <c r="V24" s="2">
        <v>0</v>
      </c>
      <c r="W24" s="2">
        <f t="shared" si="18"/>
        <v>464291.34701763507</v>
      </c>
      <c r="X24" s="2">
        <f t="shared" ref="X24:X47" si="21">X23+R24</f>
        <v>366841.38777528319</v>
      </c>
      <c r="Y24" s="2"/>
    </row>
    <row r="25" spans="2:32">
      <c r="B25">
        <v>78</v>
      </c>
      <c r="G25" s="2">
        <f t="shared" si="3"/>
        <v>2932.492403052875</v>
      </c>
      <c r="H25" s="2">
        <f t="shared" si="9"/>
        <v>3702.7085483151709</v>
      </c>
      <c r="I25" s="2">
        <f t="shared" si="15"/>
        <v>4263.5328911985034</v>
      </c>
      <c r="J25" s="2"/>
      <c r="K25" s="2">
        <f t="shared" si="7"/>
        <v>402981.59999999986</v>
      </c>
      <c r="L25" s="2">
        <f t="shared" si="12"/>
        <v>406368</v>
      </c>
      <c r="M25" s="2">
        <f t="shared" si="17"/>
        <v>377922.23999999993</v>
      </c>
      <c r="N25" s="2">
        <f t="shared" si="4"/>
        <v>35189.908836634539</v>
      </c>
      <c r="O25" s="2">
        <f t="shared" si="8"/>
        <v>494594.2623020162</v>
      </c>
      <c r="P25" s="2">
        <f t="shared" si="10"/>
        <v>44432.5025797821</v>
      </c>
      <c r="Q25" s="2">
        <f t="shared" si="11"/>
        <v>467172.60577106604</v>
      </c>
      <c r="R25" s="2">
        <f t="shared" si="16"/>
        <v>51162.394694382077</v>
      </c>
      <c r="S25" s="2">
        <f t="shared" si="20"/>
        <v>418003.78246966528</v>
      </c>
      <c r="T25" s="2">
        <f t="shared" si="13"/>
        <v>281519.27069307608</v>
      </c>
      <c r="U25" s="2">
        <f t="shared" si="14"/>
        <v>133297.50773934618</v>
      </c>
      <c r="V25" s="2">
        <v>0</v>
      </c>
      <c r="W25" s="2">
        <f t="shared" si="18"/>
        <v>494862.47069307597</v>
      </c>
      <c r="X25" s="2">
        <f t="shared" si="21"/>
        <v>418003.78246966528</v>
      </c>
      <c r="Y25" s="2"/>
    </row>
    <row r="26" spans="2:32">
      <c r="B26">
        <v>79</v>
      </c>
      <c r="G26" s="2">
        <f t="shared" si="3"/>
        <v>3005.8047131291964</v>
      </c>
      <c r="H26" s="2">
        <f t="shared" si="9"/>
        <v>3795.2762620230496</v>
      </c>
      <c r="I26" s="2">
        <f t="shared" si="15"/>
        <v>4370.1212134784655</v>
      </c>
      <c r="J26" s="2"/>
      <c r="K26" s="2">
        <f t="shared" si="7"/>
        <v>426686.39999999985</v>
      </c>
      <c r="L26" s="2">
        <f t="shared" si="12"/>
        <v>440232</v>
      </c>
      <c r="M26" s="2">
        <f t="shared" si="17"/>
        <v>419913.59999999992</v>
      </c>
      <c r="N26" s="2">
        <f t="shared" si="4"/>
        <v>36069.656557550399</v>
      </c>
      <c r="O26" s="2">
        <f t="shared" si="8"/>
        <v>530663.91885956656</v>
      </c>
      <c r="P26" s="2">
        <f t="shared" si="10"/>
        <v>45543.315144276654</v>
      </c>
      <c r="Q26" s="2">
        <f t="shared" si="11"/>
        <v>512715.92091534269</v>
      </c>
      <c r="R26" s="2">
        <f t="shared" si="16"/>
        <v>52441.45456174163</v>
      </c>
      <c r="S26" s="2">
        <f t="shared" si="20"/>
        <v>470445.2370314069</v>
      </c>
      <c r="T26" s="2">
        <f t="shared" si="13"/>
        <v>288557.25246040296</v>
      </c>
      <c r="U26" s="2">
        <f t="shared" si="14"/>
        <v>136629.94543282982</v>
      </c>
      <c r="V26" s="2">
        <v>0</v>
      </c>
      <c r="W26" s="2">
        <f t="shared" si="18"/>
        <v>525605.2524604029</v>
      </c>
      <c r="X26" s="2">
        <f t="shared" si="21"/>
        <v>470445.2370314069</v>
      </c>
      <c r="Y26" s="2"/>
    </row>
    <row r="27" spans="2:32">
      <c r="B27">
        <v>80</v>
      </c>
      <c r="G27" s="2">
        <f t="shared" si="3"/>
        <v>3080.949830957426</v>
      </c>
      <c r="H27" s="2">
        <f t="shared" si="9"/>
        <v>3890.1581685736255</v>
      </c>
      <c r="I27" s="2">
        <f t="shared" si="15"/>
        <v>4479.3742438154268</v>
      </c>
      <c r="J27" s="2"/>
      <c r="K27" s="2">
        <f t="shared" si="7"/>
        <v>450391.19999999984</v>
      </c>
      <c r="L27" s="2">
        <f t="shared" si="12"/>
        <v>474096</v>
      </c>
      <c r="M27" s="2">
        <f t="shared" si="17"/>
        <v>461904.9599999999</v>
      </c>
      <c r="N27" s="2">
        <f t="shared" si="4"/>
        <v>36971.397971489161</v>
      </c>
      <c r="O27" s="2">
        <f t="shared" si="8"/>
        <v>567635.31683105568</v>
      </c>
      <c r="P27" s="2">
        <f t="shared" si="10"/>
        <v>46681.898022883572</v>
      </c>
      <c r="Q27" s="2">
        <f t="shared" si="11"/>
        <v>559397.81893822621</v>
      </c>
      <c r="R27" s="2">
        <f t="shared" si="16"/>
        <v>53752.490925785169</v>
      </c>
      <c r="S27" s="2">
        <f t="shared" si="20"/>
        <v>524197.72795719205</v>
      </c>
      <c r="T27" s="2">
        <f t="shared" si="13"/>
        <v>295771.183771913</v>
      </c>
      <c r="U27" s="2">
        <f t="shared" si="14"/>
        <v>140045.69406865054</v>
      </c>
      <c r="V27" s="2">
        <v>0</v>
      </c>
      <c r="W27" s="2">
        <f t="shared" si="18"/>
        <v>556523.98377191299</v>
      </c>
      <c r="X27" s="2">
        <f t="shared" si="21"/>
        <v>524197.72795719205</v>
      </c>
      <c r="Y27" s="2"/>
    </row>
    <row r="28" spans="2:32">
      <c r="B28">
        <v>81</v>
      </c>
      <c r="G28" s="2">
        <f t="shared" si="3"/>
        <v>3157.9735767313614</v>
      </c>
      <c r="H28" s="2">
        <f t="shared" si="9"/>
        <v>3987.4121227879659</v>
      </c>
      <c r="I28" s="2">
        <f t="shared" si="15"/>
        <v>4591.3585999108118</v>
      </c>
      <c r="J28" s="2"/>
      <c r="K28" s="2">
        <f t="shared" si="7"/>
        <v>474095.99999999983</v>
      </c>
      <c r="L28" s="2">
        <f t="shared" si="12"/>
        <v>507960</v>
      </c>
      <c r="M28" s="2">
        <f t="shared" si="17"/>
        <v>503896.31999999989</v>
      </c>
      <c r="N28" s="2">
        <f t="shared" si="4"/>
        <v>37895.682920776388</v>
      </c>
      <c r="O28" s="2">
        <f t="shared" si="8"/>
        <v>605530.9997518321</v>
      </c>
      <c r="P28" s="2">
        <f t="shared" si="10"/>
        <v>47848.945473455664</v>
      </c>
      <c r="Q28" s="2">
        <f t="shared" si="11"/>
        <v>607246.76441168191</v>
      </c>
      <c r="R28" s="2">
        <f t="shared" si="16"/>
        <v>55096.303198929796</v>
      </c>
      <c r="S28" s="2">
        <f t="shared" si="20"/>
        <v>579294.03115612187</v>
      </c>
      <c r="T28" s="2">
        <f t="shared" si="13"/>
        <v>303165.46336621081</v>
      </c>
      <c r="U28" s="2">
        <f t="shared" si="14"/>
        <v>143546.8364203668</v>
      </c>
      <c r="V28" s="2">
        <v>0</v>
      </c>
      <c r="W28" s="2">
        <f t="shared" si="18"/>
        <v>587623.06336621079</v>
      </c>
      <c r="X28" s="2">
        <f t="shared" si="21"/>
        <v>579294.03115612187</v>
      </c>
      <c r="Y28" s="2"/>
    </row>
    <row r="29" spans="2:32">
      <c r="B29">
        <v>82</v>
      </c>
      <c r="G29" s="2">
        <f t="shared" si="3"/>
        <v>3236.9229161496451</v>
      </c>
      <c r="H29" s="2">
        <f t="shared" si="9"/>
        <v>4087.0974258576648</v>
      </c>
      <c r="I29" s="2">
        <f t="shared" si="15"/>
        <v>4706.1425649085813</v>
      </c>
      <c r="J29" s="2"/>
      <c r="K29" s="2">
        <f t="shared" si="7"/>
        <v>497800.79999999981</v>
      </c>
      <c r="L29" s="2">
        <f t="shared" si="12"/>
        <v>541824</v>
      </c>
      <c r="M29" s="2">
        <f t="shared" si="17"/>
        <v>545887.67999999993</v>
      </c>
      <c r="N29" s="2">
        <f t="shared" si="4"/>
        <v>38843.074993795795</v>
      </c>
      <c r="O29" s="2">
        <f t="shared" si="8"/>
        <v>644374.07474562794</v>
      </c>
      <c r="P29" s="2">
        <f t="shared" si="10"/>
        <v>49045.169110292052</v>
      </c>
      <c r="Q29" s="2">
        <f t="shared" si="11"/>
        <v>656291.93352197402</v>
      </c>
      <c r="R29" s="2">
        <f t="shared" si="16"/>
        <v>56473.710778903042</v>
      </c>
      <c r="S29" s="2">
        <f t="shared" si="20"/>
        <v>635767.74193502497</v>
      </c>
      <c r="T29" s="2">
        <f t="shared" si="13"/>
        <v>310744.59995036607</v>
      </c>
      <c r="U29" s="2">
        <f t="shared" si="14"/>
        <v>147135.50733087596</v>
      </c>
      <c r="V29" s="2">
        <v>0</v>
      </c>
      <c r="W29" s="2">
        <f t="shared" si="18"/>
        <v>618906.99995036586</v>
      </c>
      <c r="X29" s="2">
        <f t="shared" si="21"/>
        <v>635767.74193502497</v>
      </c>
      <c r="Y29" s="2"/>
    </row>
    <row r="30" spans="2:32">
      <c r="B30">
        <v>83</v>
      </c>
      <c r="G30" s="2">
        <f t="shared" si="3"/>
        <v>3317.8459890533859</v>
      </c>
      <c r="H30" s="2">
        <f t="shared" si="9"/>
        <v>4189.2748615041064</v>
      </c>
      <c r="I30" s="2">
        <f t="shared" si="15"/>
        <v>4823.7961290312951</v>
      </c>
      <c r="J30" s="2"/>
      <c r="K30" s="2">
        <f t="shared" si="7"/>
        <v>521505.5999999998</v>
      </c>
      <c r="L30" s="2">
        <f t="shared" si="12"/>
        <v>575688</v>
      </c>
      <c r="M30" s="2">
        <f t="shared" si="17"/>
        <v>587879.03999999992</v>
      </c>
      <c r="N30" s="2">
        <f t="shared" si="4"/>
        <v>39814.151868640693</v>
      </c>
      <c r="O30" s="2">
        <f t="shared" si="8"/>
        <v>684188.22661426861</v>
      </c>
      <c r="P30" s="2">
        <f t="shared" si="10"/>
        <v>50271.298338049353</v>
      </c>
      <c r="Q30" s="2">
        <f t="shared" si="11"/>
        <v>706563.23186002334</v>
      </c>
      <c r="R30" s="2">
        <f t="shared" si="16"/>
        <v>57885.553548375618</v>
      </c>
      <c r="S30" s="2">
        <f t="shared" si="20"/>
        <v>693653.29548340058</v>
      </c>
      <c r="T30" s="2">
        <f t="shared" si="13"/>
        <v>318513.21494912519</v>
      </c>
      <c r="U30" s="2">
        <f t="shared" si="14"/>
        <v>150813.89501414786</v>
      </c>
      <c r="V30" s="2">
        <v>0</v>
      </c>
      <c r="W30" s="2">
        <f t="shared" si="18"/>
        <v>650380.41494912514</v>
      </c>
      <c r="X30" s="2">
        <f t="shared" si="21"/>
        <v>693653.29548340058</v>
      </c>
      <c r="Y30" s="2"/>
    </row>
    <row r="31" spans="2:32">
      <c r="B31">
        <v>84</v>
      </c>
      <c r="G31" s="2">
        <f t="shared" si="3"/>
        <v>3400.7921387797201</v>
      </c>
      <c r="H31" s="2">
        <f t="shared" si="9"/>
        <v>4294.0067330417087</v>
      </c>
      <c r="I31" s="2">
        <f t="shared" si="15"/>
        <v>4944.3910322570773</v>
      </c>
      <c r="J31" s="2"/>
      <c r="K31" s="2">
        <f t="shared" si="7"/>
        <v>545210.39999999979</v>
      </c>
      <c r="L31" s="2">
        <f t="shared" si="12"/>
        <v>609552</v>
      </c>
      <c r="M31" s="2">
        <f t="shared" si="17"/>
        <v>629870.39999999991</v>
      </c>
      <c r="N31" s="2">
        <f t="shared" si="4"/>
        <v>40809.505665356708</v>
      </c>
      <c r="O31" s="2">
        <f t="shared" si="8"/>
        <v>724997.73227962537</v>
      </c>
      <c r="P31" s="2">
        <f t="shared" si="10"/>
        <v>51528.080796500588</v>
      </c>
      <c r="Q31" s="2">
        <f t="shared" si="11"/>
        <v>758091.31265652389</v>
      </c>
      <c r="R31" s="2">
        <f t="shared" si="16"/>
        <v>59332.692387085008</v>
      </c>
      <c r="S31" s="2">
        <f t="shared" si="20"/>
        <v>752985.98787048564</v>
      </c>
      <c r="T31" s="2">
        <f t="shared" si="13"/>
        <v>326476.04532285332</v>
      </c>
      <c r="U31" s="2">
        <f t="shared" si="14"/>
        <v>154584.24238950154</v>
      </c>
      <c r="V31" s="2">
        <v>0</v>
      </c>
      <c r="W31" s="2">
        <f t="shared" si="18"/>
        <v>682048.04532285314</v>
      </c>
      <c r="X31" s="2">
        <f t="shared" si="21"/>
        <v>752985.98787048564</v>
      </c>
      <c r="Y31" s="2"/>
    </row>
    <row r="32" spans="2:32">
      <c r="B32">
        <v>85</v>
      </c>
      <c r="G32" s="2">
        <f t="shared" si="3"/>
        <v>3485.8119422492127</v>
      </c>
      <c r="H32" s="2">
        <f t="shared" si="9"/>
        <v>4401.3569013677507</v>
      </c>
      <c r="I32" s="2">
        <f t="shared" si="15"/>
        <v>5068.0008080635034</v>
      </c>
      <c r="J32" s="2"/>
      <c r="K32" s="2">
        <f t="shared" si="7"/>
        <v>568915.19999999984</v>
      </c>
      <c r="L32" s="2">
        <f t="shared" si="12"/>
        <v>643416</v>
      </c>
      <c r="M32" s="2">
        <f t="shared" si="17"/>
        <v>671861.75999999989</v>
      </c>
      <c r="N32" s="2">
        <f t="shared" si="4"/>
        <v>41829.743306990626</v>
      </c>
      <c r="O32" s="2">
        <f t="shared" si="8"/>
        <v>766827.47558661597</v>
      </c>
      <c r="P32" s="2">
        <f t="shared" si="10"/>
        <v>52816.282816413106</v>
      </c>
      <c r="Q32" s="2">
        <f t="shared" si="11"/>
        <v>810907.59547293698</v>
      </c>
      <c r="R32" s="2">
        <f t="shared" si="16"/>
        <v>60816.009696762136</v>
      </c>
      <c r="S32" s="2">
        <f t="shared" si="20"/>
        <v>813801.99756724783</v>
      </c>
      <c r="T32" s="2">
        <f t="shared" si="13"/>
        <v>334637.9464559246</v>
      </c>
      <c r="U32" s="2">
        <f t="shared" si="14"/>
        <v>158448.84844923907</v>
      </c>
      <c r="V32" s="2">
        <v>0</v>
      </c>
      <c r="W32" s="2">
        <f t="shared" si="18"/>
        <v>713914.74645592459</v>
      </c>
      <c r="X32" s="2">
        <f t="shared" si="21"/>
        <v>813801.99756724783</v>
      </c>
      <c r="Y32" s="2"/>
    </row>
    <row r="33" spans="2:25">
      <c r="B33">
        <v>86</v>
      </c>
      <c r="G33" s="2">
        <f t="shared" si="3"/>
        <v>3572.9572408054428</v>
      </c>
      <c r="H33" s="2">
        <f t="shared" si="9"/>
        <v>4511.3908239019438</v>
      </c>
      <c r="I33" s="2">
        <f t="shared" si="15"/>
        <v>5194.7008282650904</v>
      </c>
      <c r="J33" s="2"/>
      <c r="K33" s="2">
        <f t="shared" si="7"/>
        <v>592619.99999999988</v>
      </c>
      <c r="L33" s="2">
        <f t="shared" si="12"/>
        <v>677280</v>
      </c>
      <c r="M33" s="2">
        <f t="shared" si="17"/>
        <v>713853.11999999988</v>
      </c>
      <c r="N33" s="2">
        <f t="shared" si="4"/>
        <v>42875.486889665393</v>
      </c>
      <c r="O33" s="2">
        <f t="shared" si="8"/>
        <v>809702.96247628133</v>
      </c>
      <c r="P33" s="2">
        <f t="shared" si="10"/>
        <v>54136.689886823435</v>
      </c>
      <c r="Q33" s="2">
        <f t="shared" si="11"/>
        <v>865044.2853597604</v>
      </c>
      <c r="R33" s="2">
        <f t="shared" si="16"/>
        <v>62336.409939181191</v>
      </c>
      <c r="S33" s="2">
        <f>S32+R33</f>
        <v>876138.40750642901</v>
      </c>
      <c r="T33" s="2">
        <f t="shared" si="13"/>
        <v>343003.89511732268</v>
      </c>
      <c r="U33" s="2">
        <f t="shared" si="14"/>
        <v>162410.06966047004</v>
      </c>
      <c r="V33" s="2">
        <v>0</v>
      </c>
      <c r="W33" s="2">
        <f t="shared" si="18"/>
        <v>745985.49511732254</v>
      </c>
      <c r="X33" s="2">
        <f t="shared" si="21"/>
        <v>876138.40750642901</v>
      </c>
      <c r="Y33" s="2"/>
    </row>
    <row r="34" spans="2:25">
      <c r="B34">
        <v>87</v>
      </c>
      <c r="G34" s="2">
        <f t="shared" si="3"/>
        <v>3662.2811718255784</v>
      </c>
      <c r="H34" s="2">
        <f t="shared" si="9"/>
        <v>4624.175594499492</v>
      </c>
      <c r="I34" s="2">
        <f t="shared" si="15"/>
        <v>5324.5683489717176</v>
      </c>
      <c r="J34" s="2"/>
      <c r="K34" s="2">
        <f t="shared" si="7"/>
        <v>616324.79999999993</v>
      </c>
      <c r="L34" s="2">
        <f t="shared" si="12"/>
        <v>711144</v>
      </c>
      <c r="M34" s="2">
        <f t="shared" si="17"/>
        <v>755844.47999999986</v>
      </c>
      <c r="N34" s="2">
        <f t="shared" si="4"/>
        <v>43947.37406190703</v>
      </c>
      <c r="O34" s="2">
        <f t="shared" si="8"/>
        <v>853650.33653818839</v>
      </c>
      <c r="P34" s="2">
        <f t="shared" si="10"/>
        <v>55490.107133994024</v>
      </c>
      <c r="Q34" s="2">
        <f t="shared" si="11"/>
        <v>920534.39249375439</v>
      </c>
      <c r="R34" s="2">
        <f t="shared" si="16"/>
        <v>63894.82018766072</v>
      </c>
      <c r="S34" s="2">
        <f t="shared" si="20"/>
        <v>940033.22769408976</v>
      </c>
      <c r="T34" s="2">
        <f t="shared" si="13"/>
        <v>351578.99249525572</v>
      </c>
      <c r="U34" s="2">
        <f t="shared" si="14"/>
        <v>166470.32140198178</v>
      </c>
      <c r="V34" s="2">
        <v>0</v>
      </c>
      <c r="W34" s="2">
        <f t="shared" si="18"/>
        <v>778265.39249525568</v>
      </c>
      <c r="X34" s="2">
        <f t="shared" si="21"/>
        <v>940033.22769408976</v>
      </c>
      <c r="Y34" s="2"/>
    </row>
    <row r="35" spans="2:25">
      <c r="B35">
        <v>88</v>
      </c>
      <c r="G35" s="2">
        <f t="shared" si="3"/>
        <v>3753.8382011212175</v>
      </c>
      <c r="H35" s="2">
        <f t="shared" si="9"/>
        <v>4739.7799843619787</v>
      </c>
      <c r="I35" s="2">
        <f t="shared" si="15"/>
        <v>5457.68255769601</v>
      </c>
      <c r="K35" s="2">
        <f t="shared" si="7"/>
        <v>640029.6</v>
      </c>
      <c r="L35" s="2">
        <f t="shared" si="12"/>
        <v>745008</v>
      </c>
      <c r="M35" s="2">
        <f t="shared" si="17"/>
        <v>797835.83999999985</v>
      </c>
      <c r="N35" s="2">
        <f t="shared" si="4"/>
        <v>45046.05841345471</v>
      </c>
      <c r="O35" s="2">
        <f t="shared" si="8"/>
        <v>898696.39495164307</v>
      </c>
      <c r="P35" s="2">
        <f t="shared" si="10"/>
        <v>56877.359812343871</v>
      </c>
      <c r="Q35" s="2">
        <f t="shared" si="11"/>
        <v>977411.75230609823</v>
      </c>
      <c r="R35" s="2">
        <f t="shared" si="16"/>
        <v>65492.19069235224</v>
      </c>
      <c r="S35" s="2">
        <f t="shared" si="20"/>
        <v>1005525.418386442</v>
      </c>
      <c r="T35" s="2">
        <f t="shared" si="13"/>
        <v>360368.4673076371</v>
      </c>
      <c r="U35" s="2">
        <f t="shared" si="14"/>
        <v>170632.07943703132</v>
      </c>
      <c r="V35" s="2">
        <v>0</v>
      </c>
      <c r="W35" s="2">
        <f t="shared" si="18"/>
        <v>810759.66730763717</v>
      </c>
      <c r="X35" s="2">
        <f t="shared" si="21"/>
        <v>1005525.418386442</v>
      </c>
      <c r="Y35" s="2"/>
    </row>
    <row r="36" spans="2:25">
      <c r="B36">
        <v>89</v>
      </c>
      <c r="G36" s="2">
        <f t="shared" si="3"/>
        <v>3847.6841561492474</v>
      </c>
      <c r="H36" s="2">
        <f t="shared" si="9"/>
        <v>4858.2744839710276</v>
      </c>
      <c r="I36" s="2">
        <f t="shared" si="15"/>
        <v>5594.1246216384097</v>
      </c>
      <c r="K36" s="2">
        <f t="shared" si="7"/>
        <v>663734.4</v>
      </c>
      <c r="L36" s="2">
        <f t="shared" si="12"/>
        <v>778872</v>
      </c>
      <c r="M36" s="2">
        <f t="shared" si="17"/>
        <v>839827.19999999984</v>
      </c>
      <c r="N36" s="2">
        <f t="shared" si="4"/>
        <v>46172.209873791078</v>
      </c>
      <c r="O36" s="2">
        <f t="shared" si="8"/>
        <v>944868.60482543416</v>
      </c>
      <c r="P36" s="2">
        <f t="shared" si="10"/>
        <v>58299.293807652466</v>
      </c>
      <c r="Q36" s="2">
        <f t="shared" si="11"/>
        <v>1035711.0461137507</v>
      </c>
      <c r="R36" s="2">
        <f t="shared" si="16"/>
        <v>67129.495459661048</v>
      </c>
      <c r="S36" s="2">
        <f t="shared" si="20"/>
        <v>1072654.913846103</v>
      </c>
      <c r="T36" s="2">
        <f t="shared" si="13"/>
        <v>369377.67899032799</v>
      </c>
      <c r="U36" s="2">
        <f t="shared" si="14"/>
        <v>174897.88142295709</v>
      </c>
      <c r="V36" s="2">
        <v>0</v>
      </c>
      <c r="W36" s="2">
        <f t="shared" si="18"/>
        <v>843473.67899032799</v>
      </c>
      <c r="X36" s="2">
        <f t="shared" si="21"/>
        <v>1072654.913846103</v>
      </c>
      <c r="Y36" s="2"/>
    </row>
    <row r="37" spans="2:25">
      <c r="B37">
        <v>90</v>
      </c>
      <c r="G37" s="2">
        <f t="shared" si="3"/>
        <v>3943.8762600529781</v>
      </c>
      <c r="H37" s="2">
        <f t="shared" si="9"/>
        <v>4979.7313460703026</v>
      </c>
      <c r="I37" s="2">
        <f t="shared" si="15"/>
        <v>5733.9777371793698</v>
      </c>
      <c r="K37" s="2">
        <f t="shared" si="7"/>
        <v>687439.20000000007</v>
      </c>
      <c r="L37" s="2">
        <f t="shared" si="12"/>
        <v>812736</v>
      </c>
      <c r="M37" s="2">
        <f t="shared" si="17"/>
        <v>881818.55999999982</v>
      </c>
      <c r="N37" s="2">
        <f t="shared" si="4"/>
        <v>47326.515120635857</v>
      </c>
      <c r="O37" s="2">
        <f t="shared" si="8"/>
        <v>992195.11994607002</v>
      </c>
      <c r="P37" s="2">
        <f t="shared" si="10"/>
        <v>59756.776152843777</v>
      </c>
      <c r="Q37" s="2">
        <f t="shared" si="11"/>
        <v>1095467.8222665945</v>
      </c>
      <c r="R37" s="2">
        <f t="shared" si="16"/>
        <v>68807.732846152576</v>
      </c>
      <c r="S37" s="2">
        <f t="shared" si="20"/>
        <v>1141462.6466922555</v>
      </c>
      <c r="T37" s="2">
        <f t="shared" si="13"/>
        <v>378612.12096508616</v>
      </c>
      <c r="U37" s="2">
        <f t="shared" si="14"/>
        <v>179270.328458531</v>
      </c>
      <c r="V37" s="2">
        <v>0</v>
      </c>
      <c r="W37" s="2">
        <f t="shared" si="18"/>
        <v>876412.9209650862</v>
      </c>
      <c r="X37" s="2">
        <f t="shared" si="21"/>
        <v>1141462.6466922555</v>
      </c>
      <c r="Y37" s="2"/>
    </row>
    <row r="38" spans="2:25">
      <c r="B38">
        <v>91</v>
      </c>
      <c r="G38" s="2">
        <f t="shared" si="3"/>
        <v>4042.4731665543022</v>
      </c>
      <c r="H38" s="2">
        <f t="shared" si="9"/>
        <v>5104.2246297220599</v>
      </c>
      <c r="I38" s="2">
        <f t="shared" si="15"/>
        <v>5877.3271806088533</v>
      </c>
      <c r="K38" s="2">
        <f t="shared" si="7"/>
        <v>711144.00000000012</v>
      </c>
      <c r="L38" s="2">
        <f t="shared" si="12"/>
        <v>846600</v>
      </c>
      <c r="M38" s="2">
        <f t="shared" si="17"/>
        <v>923809.91999999981</v>
      </c>
      <c r="N38" s="2">
        <f t="shared" si="4"/>
        <v>48509.67799865175</v>
      </c>
      <c r="O38" s="2">
        <f t="shared" si="8"/>
        <v>1040704.7979447218</v>
      </c>
      <c r="P38" s="2">
        <f t="shared" si="10"/>
        <v>61250.695556664868</v>
      </c>
      <c r="Q38" s="2">
        <f t="shared" si="11"/>
        <v>1156718.5178232593</v>
      </c>
      <c r="R38" s="2">
        <f t="shared" si="16"/>
        <v>70527.926167306388</v>
      </c>
      <c r="S38" s="2">
        <f t="shared" si="20"/>
        <v>1211990.572859562</v>
      </c>
      <c r="T38" s="2">
        <f t="shared" si="13"/>
        <v>388077.4239892133</v>
      </c>
      <c r="U38" s="2">
        <f t="shared" si="14"/>
        <v>183752.08666999426</v>
      </c>
      <c r="V38" s="2">
        <v>0</v>
      </c>
      <c r="W38" s="2">
        <f t="shared" si="18"/>
        <v>909583.02398921363</v>
      </c>
      <c r="X38" s="2">
        <f t="shared" si="21"/>
        <v>1211990.572859562</v>
      </c>
      <c r="Y38" s="2"/>
    </row>
    <row r="39" spans="2:25">
      <c r="B39">
        <v>92</v>
      </c>
      <c r="G39" s="2">
        <f t="shared" si="3"/>
        <v>4143.5349957181597</v>
      </c>
      <c r="H39" s="2">
        <f t="shared" si="9"/>
        <v>5231.8302454651111</v>
      </c>
      <c r="I39" s="2">
        <f t="shared" si="15"/>
        <v>6024.2603601240744</v>
      </c>
      <c r="K39" s="2">
        <f t="shared" si="7"/>
        <v>734848.80000000016</v>
      </c>
      <c r="L39" s="2">
        <f t="shared" si="12"/>
        <v>880464</v>
      </c>
      <c r="M39" s="2">
        <f t="shared" si="17"/>
        <v>965801.2799999998</v>
      </c>
      <c r="N39" s="2">
        <f t="shared" si="4"/>
        <v>49722.419948618044</v>
      </c>
      <c r="O39" s="2">
        <f t="shared" si="8"/>
        <v>1090427.2178933397</v>
      </c>
      <c r="P39" s="2">
        <f t="shared" si="10"/>
        <v>62781.962945581487</v>
      </c>
      <c r="Q39" s="2">
        <f t="shared" si="11"/>
        <v>1219500.4807688408</v>
      </c>
      <c r="R39" s="2">
        <f t="shared" si="16"/>
        <v>72291.124321489042</v>
      </c>
      <c r="S39" s="2">
        <f t="shared" si="20"/>
        <v>1284281.6971810511</v>
      </c>
      <c r="T39" s="2">
        <f t="shared" si="13"/>
        <v>397779.3595889436</v>
      </c>
      <c r="U39" s="2">
        <f t="shared" si="14"/>
        <v>188345.8888367441</v>
      </c>
      <c r="V39" s="2">
        <v>0</v>
      </c>
      <c r="W39" s="2">
        <f t="shared" si="18"/>
        <v>942989.75958894379</v>
      </c>
      <c r="X39" s="2">
        <f t="shared" si="21"/>
        <v>1284281.6971810511</v>
      </c>
      <c r="Y39" s="2"/>
    </row>
    <row r="40" spans="2:25">
      <c r="B40">
        <v>93</v>
      </c>
      <c r="G40" s="2">
        <f t="shared" si="3"/>
        <v>4247.1233706111134</v>
      </c>
      <c r="H40" s="2">
        <f t="shared" si="9"/>
        <v>5362.6260016017386</v>
      </c>
      <c r="I40" s="2">
        <f t="shared" si="15"/>
        <v>6174.866869127176</v>
      </c>
      <c r="K40" s="2">
        <f t="shared" si="7"/>
        <v>758553.60000000021</v>
      </c>
      <c r="L40" s="2">
        <f t="shared" si="12"/>
        <v>914328</v>
      </c>
      <c r="M40" s="2">
        <f t="shared" si="17"/>
        <v>1007792.6399999998</v>
      </c>
      <c r="N40" s="2">
        <f t="shared" si="4"/>
        <v>50965.480447333495</v>
      </c>
      <c r="O40" s="2">
        <f t="shared" si="8"/>
        <v>1141392.6983406732</v>
      </c>
      <c r="P40" s="2">
        <f t="shared" si="10"/>
        <v>64351.512019221023</v>
      </c>
      <c r="Q40" s="2">
        <f t="shared" si="11"/>
        <v>1283851.9927880617</v>
      </c>
      <c r="R40" s="2">
        <f t="shared" si="16"/>
        <v>74098.402429526264</v>
      </c>
      <c r="S40" s="2">
        <f t="shared" si="20"/>
        <v>1358380.0996105773</v>
      </c>
      <c r="T40" s="2">
        <f t="shared" si="13"/>
        <v>407723.84357866715</v>
      </c>
      <c r="U40" s="2">
        <f t="shared" si="14"/>
        <v>193054.53605766268</v>
      </c>
      <c r="V40" s="2">
        <v>0</v>
      </c>
      <c r="W40" s="2">
        <f t="shared" si="18"/>
        <v>976639.04357866757</v>
      </c>
      <c r="X40" s="2">
        <f t="shared" si="21"/>
        <v>1358380.0996105773</v>
      </c>
      <c r="Y40" s="2"/>
    </row>
    <row r="41" spans="2:25">
      <c r="B41">
        <v>94</v>
      </c>
      <c r="G41" s="2">
        <f t="shared" si="3"/>
        <v>4353.3014548763913</v>
      </c>
      <c r="H41" s="2">
        <f t="shared" si="9"/>
        <v>5496.6916516417814</v>
      </c>
      <c r="I41" s="2">
        <f t="shared" si="15"/>
        <v>6329.2385408553546</v>
      </c>
      <c r="K41" s="2">
        <f t="shared" si="7"/>
        <v>782258.40000000026</v>
      </c>
      <c r="L41" s="2">
        <f t="shared" si="12"/>
        <v>948192</v>
      </c>
      <c r="M41" s="2">
        <f t="shared" si="17"/>
        <v>1049783.9999999998</v>
      </c>
      <c r="N41" s="2">
        <f t="shared" si="4"/>
        <v>52239.617458516834</v>
      </c>
      <c r="O41" s="2">
        <f t="shared" si="8"/>
        <v>1193632.31579919</v>
      </c>
      <c r="P41" s="2">
        <f t="shared" si="10"/>
        <v>65960.299819701555</v>
      </c>
      <c r="Q41" s="2">
        <f t="shared" si="11"/>
        <v>1349812.2926077633</v>
      </c>
      <c r="R41" s="2">
        <f t="shared" si="16"/>
        <v>75950.862490264422</v>
      </c>
      <c r="S41" s="2">
        <f t="shared" si="20"/>
        <v>1434330.9621008418</v>
      </c>
      <c r="T41" s="2">
        <f t="shared" si="13"/>
        <v>417916.9396681338</v>
      </c>
      <c r="U41" s="2">
        <f t="shared" si="14"/>
        <v>197880.89945910423</v>
      </c>
      <c r="V41" s="2">
        <v>0</v>
      </c>
      <c r="W41" s="2">
        <f t="shared" si="18"/>
        <v>1010536.9396681341</v>
      </c>
      <c r="X41" s="2">
        <f t="shared" si="21"/>
        <v>1434330.9621008418</v>
      </c>
      <c r="Y41" s="2"/>
    </row>
    <row r="42" spans="2:25">
      <c r="B42">
        <v>95</v>
      </c>
      <c r="G42" s="2">
        <f t="shared" si="3"/>
        <v>4462.1339912483008</v>
      </c>
      <c r="H42" s="2">
        <f t="shared" si="9"/>
        <v>5634.1089429328258</v>
      </c>
      <c r="I42" s="2">
        <f t="shared" si="15"/>
        <v>6487.4695043767379</v>
      </c>
      <c r="K42" s="2">
        <f t="shared" si="7"/>
        <v>805963.2000000003</v>
      </c>
      <c r="L42" s="2">
        <f t="shared" si="12"/>
        <v>982056</v>
      </c>
      <c r="M42" s="2">
        <f t="shared" si="17"/>
        <v>1091775.3599999999</v>
      </c>
      <c r="N42" s="2">
        <f t="shared" si="4"/>
        <v>53545.607894979752</v>
      </c>
      <c r="O42" s="2">
        <f t="shared" si="8"/>
        <v>1247177.9236941696</v>
      </c>
      <c r="P42" s="2">
        <f t="shared" si="10"/>
        <v>67609.307315194092</v>
      </c>
      <c r="Q42" s="2">
        <f t="shared" si="11"/>
        <v>1417421.5999229574</v>
      </c>
      <c r="R42" s="2">
        <f t="shared" si="16"/>
        <v>77849.63405252104</v>
      </c>
      <c r="S42" s="2">
        <f t="shared" si="20"/>
        <v>1512180.5961533629</v>
      </c>
      <c r="T42" s="2">
        <f t="shared" si="13"/>
        <v>428364.86315983708</v>
      </c>
      <c r="U42" s="2">
        <f t="shared" si="14"/>
        <v>202827.92194558182</v>
      </c>
      <c r="V42" s="2">
        <v>0</v>
      </c>
      <c r="W42" s="2">
        <f t="shared" si="18"/>
        <v>1044689.6631598375</v>
      </c>
      <c r="X42" s="2">
        <f t="shared" si="21"/>
        <v>1512180.5961533629</v>
      </c>
      <c r="Y42" s="2"/>
    </row>
    <row r="43" spans="2:25">
      <c r="B43">
        <v>96</v>
      </c>
      <c r="G43" s="2">
        <f t="shared" si="3"/>
        <v>4573.6873410295084</v>
      </c>
      <c r="H43" s="2">
        <f t="shared" si="9"/>
        <v>5774.9616665061458</v>
      </c>
      <c r="I43" s="2">
        <f t="shared" si="15"/>
        <v>6649.6562419861557</v>
      </c>
      <c r="K43" s="2">
        <f t="shared" si="7"/>
        <v>829668.00000000035</v>
      </c>
      <c r="L43" s="2">
        <f t="shared" si="12"/>
        <v>1015920</v>
      </c>
      <c r="M43" s="2">
        <f t="shared" si="17"/>
        <v>1133766.72</v>
      </c>
      <c r="N43" s="2">
        <f t="shared" si="4"/>
        <v>54884.248092354246</v>
      </c>
      <c r="O43" s="2">
        <f t="shared" si="8"/>
        <v>1302062.1717865239</v>
      </c>
      <c r="P43" s="2">
        <f t="shared" si="10"/>
        <v>69299.539998073946</v>
      </c>
      <c r="Q43" s="2">
        <f t="shared" si="11"/>
        <v>1486721.1399210314</v>
      </c>
      <c r="R43" s="2">
        <f t="shared" si="16"/>
        <v>79795.874903834061</v>
      </c>
      <c r="S43" s="2">
        <f t="shared" si="20"/>
        <v>1591976.4710571968</v>
      </c>
      <c r="T43" s="2">
        <f t="shared" si="13"/>
        <v>439073.98473883298</v>
      </c>
      <c r="U43" s="2">
        <f t="shared" si="14"/>
        <v>207898.61999422134</v>
      </c>
      <c r="V43" s="2">
        <v>0</v>
      </c>
      <c r="W43" s="2">
        <f t="shared" si="18"/>
        <v>1079103.5847388334</v>
      </c>
      <c r="X43" s="2">
        <f t="shared" si="21"/>
        <v>1591976.4710571968</v>
      </c>
      <c r="Y43" s="2"/>
    </row>
    <row r="44" spans="2:25">
      <c r="B44">
        <v>97</v>
      </c>
      <c r="G44" s="2">
        <f t="shared" si="3"/>
        <v>4688.0295245552461</v>
      </c>
      <c r="H44" s="2">
        <f t="shared" si="9"/>
        <v>5919.3357081687991</v>
      </c>
      <c r="I44" s="2">
        <f t="shared" si="15"/>
        <v>6815.8976480358087</v>
      </c>
      <c r="K44" s="2">
        <f t="shared" si="7"/>
        <v>853372.8000000004</v>
      </c>
      <c r="L44" s="2">
        <f t="shared" si="12"/>
        <v>1049784</v>
      </c>
      <c r="M44" s="2">
        <f t="shared" si="17"/>
        <v>1175758.08</v>
      </c>
      <c r="N44" s="2">
        <f t="shared" si="4"/>
        <v>56256.354294663106</v>
      </c>
      <c r="O44" s="2">
        <f t="shared" si="8"/>
        <v>1358318.526081187</v>
      </c>
      <c r="P44" s="2">
        <f t="shared" si="10"/>
        <v>71032.0284980258</v>
      </c>
      <c r="Q44" s="2">
        <f t="shared" si="11"/>
        <v>1557753.1684190573</v>
      </c>
      <c r="R44" s="2">
        <f t="shared" si="16"/>
        <v>81790.771776429916</v>
      </c>
      <c r="S44" s="2">
        <f t="shared" si="20"/>
        <v>1673767.2428336267</v>
      </c>
      <c r="T44" s="2">
        <f t="shared" si="13"/>
        <v>450050.83435730374</v>
      </c>
      <c r="U44" s="2">
        <f t="shared" si="14"/>
        <v>213096.08549407686</v>
      </c>
      <c r="V44" s="2">
        <v>0</v>
      </c>
      <c r="W44" s="2">
        <f t="shared" si="18"/>
        <v>1113785.2343573042</v>
      </c>
      <c r="X44" s="2">
        <f t="shared" si="21"/>
        <v>1673767.2428336267</v>
      </c>
      <c r="Y44" s="2"/>
    </row>
    <row r="45" spans="2:25">
      <c r="B45">
        <v>98</v>
      </c>
      <c r="G45" s="2">
        <f t="shared" si="3"/>
        <v>4805.2302626691271</v>
      </c>
      <c r="H45" s="2">
        <f t="shared" si="9"/>
        <v>6067.3191008730182</v>
      </c>
      <c r="I45" s="2">
        <f t="shared" si="15"/>
        <v>6986.2950892367035</v>
      </c>
      <c r="K45" s="2">
        <f t="shared" si="7"/>
        <v>877077.60000000044</v>
      </c>
      <c r="L45" s="2">
        <f t="shared" si="12"/>
        <v>1083648</v>
      </c>
      <c r="M45" s="2">
        <f t="shared" si="17"/>
        <v>1217749.4400000002</v>
      </c>
      <c r="N45" s="2">
        <f t="shared" si="4"/>
        <v>57662.763152029685</v>
      </c>
      <c r="O45" s="2">
        <f t="shared" si="8"/>
        <v>1415981.2892332166</v>
      </c>
      <c r="P45" s="2">
        <f t="shared" si="10"/>
        <v>72807.82921047644</v>
      </c>
      <c r="Q45" s="2">
        <f t="shared" si="11"/>
        <v>1630560.9976295338</v>
      </c>
      <c r="R45" s="2">
        <f t="shared" si="16"/>
        <v>83835.541070840671</v>
      </c>
      <c r="S45" s="2">
        <f t="shared" si="20"/>
        <v>1757602.7839044672</v>
      </c>
      <c r="T45" s="2">
        <f t="shared" si="13"/>
        <v>461302.10521623632</v>
      </c>
      <c r="U45" s="2">
        <f t="shared" si="14"/>
        <v>218423.48763142875</v>
      </c>
      <c r="V45" s="2">
        <v>0</v>
      </c>
      <c r="W45" s="2">
        <f t="shared" si="18"/>
        <v>1148741.305216237</v>
      </c>
      <c r="X45" s="2">
        <f t="shared" si="21"/>
        <v>1757602.7839044672</v>
      </c>
      <c r="Y45" s="2"/>
    </row>
    <row r="46" spans="2:25">
      <c r="B46">
        <v>99</v>
      </c>
      <c r="G46" s="2">
        <f t="shared" si="3"/>
        <v>4925.3610192358547</v>
      </c>
      <c r="H46" s="2">
        <f t="shared" si="9"/>
        <v>6219.002078394843</v>
      </c>
      <c r="I46" s="2">
        <f t="shared" si="15"/>
        <v>7160.9524664676201</v>
      </c>
      <c r="K46" s="2">
        <f t="shared" si="7"/>
        <v>900782.40000000049</v>
      </c>
      <c r="L46" s="2">
        <f t="shared" si="12"/>
        <v>1117512</v>
      </c>
      <c r="M46" s="2">
        <f t="shared" si="17"/>
        <v>1259740.8000000003</v>
      </c>
      <c r="N46" s="2">
        <f t="shared" si="4"/>
        <v>59104.332230830427</v>
      </c>
      <c r="O46" s="2">
        <f t="shared" si="8"/>
        <v>1475085.6214640469</v>
      </c>
      <c r="P46" s="2">
        <f t="shared" si="10"/>
        <v>74628.024940738353</v>
      </c>
      <c r="Q46" s="2">
        <f t="shared" si="11"/>
        <v>1705189.0225702722</v>
      </c>
      <c r="R46" s="2">
        <f t="shared" si="16"/>
        <v>85931.429597611685</v>
      </c>
      <c r="S46" s="2">
        <f t="shared" si="20"/>
        <v>1843534.213502079</v>
      </c>
      <c r="T46" s="2">
        <f t="shared" si="13"/>
        <v>472834.65784664219</v>
      </c>
      <c r="U46" s="2">
        <f t="shared" si="14"/>
        <v>223884.07482221446</v>
      </c>
      <c r="V46" s="2">
        <v>0</v>
      </c>
      <c r="W46" s="2">
        <f t="shared" si="18"/>
        <v>1183978.6578466427</v>
      </c>
      <c r="X46" s="2">
        <f t="shared" si="21"/>
        <v>1843534.213502079</v>
      </c>
      <c r="Y46" s="2"/>
    </row>
    <row r="47" spans="2:25">
      <c r="B47">
        <v>100</v>
      </c>
      <c r="G47" s="2">
        <f t="shared" si="3"/>
        <v>5048.4950447167503</v>
      </c>
      <c r="H47" s="2">
        <f t="shared" si="9"/>
        <v>6374.4771303547132</v>
      </c>
      <c r="I47" s="2">
        <f t="shared" si="15"/>
        <v>7339.9762781293102</v>
      </c>
      <c r="K47" s="2">
        <f t="shared" si="7"/>
        <v>924487.20000000054</v>
      </c>
      <c r="L47" s="2">
        <f t="shared" si="12"/>
        <v>1151376</v>
      </c>
      <c r="M47" s="2">
        <f t="shared" si="17"/>
        <v>1301732.1600000004</v>
      </c>
      <c r="N47" s="2">
        <f t="shared" si="4"/>
        <v>60581.940536601185</v>
      </c>
      <c r="O47" s="2">
        <f t="shared" si="8"/>
        <v>1535667.5620006481</v>
      </c>
      <c r="P47" s="2">
        <f t="shared" si="10"/>
        <v>76493.725564256805</v>
      </c>
      <c r="Q47" s="2">
        <f t="shared" si="11"/>
        <v>1781682.748134529</v>
      </c>
      <c r="R47" s="2">
        <f t="shared" si="16"/>
        <v>88079.71533755197</v>
      </c>
      <c r="S47" s="2">
        <f t="shared" si="20"/>
        <v>1931613.9288396309</v>
      </c>
      <c r="T47" s="2">
        <f t="shared" si="13"/>
        <v>484655.5242928082</v>
      </c>
      <c r="U47" s="2">
        <f t="shared" si="14"/>
        <v>229481.1766927698</v>
      </c>
      <c r="V47" s="2">
        <v>0</v>
      </c>
      <c r="W47" s="2">
        <f t="shared" si="18"/>
        <v>1219504.3242928088</v>
      </c>
      <c r="X47" s="2">
        <f t="shared" si="21"/>
        <v>1931613.9288396309</v>
      </c>
      <c r="Y47" s="2"/>
    </row>
    <row r="48" spans="2:25">
      <c r="S48" s="2"/>
      <c r="X48" s="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3955-FA8F-4595-990E-8ED4D58BC9F3}">
  <dimension ref="A1:Y164"/>
  <sheetViews>
    <sheetView zoomScale="71" zoomScaleNormal="71" workbookViewId="0">
      <selection activeCell="H25" sqref="H25"/>
    </sheetView>
  </sheetViews>
  <sheetFormatPr defaultRowHeight="15"/>
  <cols>
    <col min="1" max="1" width="16.7109375" customWidth="1"/>
    <col min="2" max="2" width="23.28515625" customWidth="1"/>
    <col min="3" max="3" width="14.5703125" customWidth="1"/>
    <col min="4" max="4" width="17.85546875" customWidth="1"/>
    <col min="5" max="5" width="18.85546875" customWidth="1"/>
    <col min="6" max="6" width="14" customWidth="1"/>
    <col min="7" max="7" width="20.7109375" customWidth="1"/>
    <col min="8" max="8" width="18.5703125" customWidth="1"/>
    <col min="9" max="9" width="18.28515625" customWidth="1"/>
    <col min="10" max="10" width="12.7109375" customWidth="1"/>
    <col min="11" max="11" width="15.28515625" customWidth="1"/>
    <col min="12" max="12" width="15.7109375" customWidth="1"/>
    <col min="13" max="13" width="12.7109375" customWidth="1"/>
    <col min="14" max="14" width="14.7109375" customWidth="1"/>
    <col min="15" max="15" width="14.85546875" customWidth="1"/>
    <col min="16" max="16" width="12.7109375" customWidth="1"/>
    <col min="17" max="17" width="16.7109375" customWidth="1"/>
    <col min="18" max="18" width="18.140625" customWidth="1"/>
    <col min="19" max="19" width="17.7109375" customWidth="1"/>
    <col min="20" max="21" width="11" bestFit="1" customWidth="1"/>
  </cols>
  <sheetData>
    <row r="1" spans="1:9" ht="15.75" thickBot="1"/>
    <row r="2" spans="1:9" ht="30">
      <c r="A2" s="116" t="s">
        <v>121</v>
      </c>
      <c r="B2" s="121">
        <f>Main!B3</f>
        <v>2822</v>
      </c>
    </row>
    <row r="3" spans="1:9" ht="15.75" thickBot="1">
      <c r="A3" s="117" t="s">
        <v>122</v>
      </c>
      <c r="B3" s="122">
        <f>Main!B4</f>
        <v>22</v>
      </c>
    </row>
    <row r="4" spans="1:9" ht="30.75" thickBot="1">
      <c r="A4" s="118" t="s">
        <v>123</v>
      </c>
      <c r="B4" s="123">
        <f>Main!B5</f>
        <v>2.5000000000000001E-2</v>
      </c>
      <c r="D4" s="127" t="s">
        <v>124</v>
      </c>
      <c r="E4" s="128">
        <f>'SS Benefit Cal'!F3</f>
        <v>3.7294117647058829</v>
      </c>
      <c r="G4" s="127" t="s">
        <v>197</v>
      </c>
      <c r="H4" s="141">
        <v>250000</v>
      </c>
    </row>
    <row r="5" spans="1:9" ht="30.75" thickBot="1">
      <c r="A5" s="119" t="s">
        <v>191</v>
      </c>
      <c r="B5" s="123">
        <v>3.2599999999999997E-2</v>
      </c>
      <c r="D5" s="92" t="s">
        <v>190</v>
      </c>
      <c r="E5" s="133">
        <f>Main!E6</f>
        <v>3.2639639639639652E-2</v>
      </c>
      <c r="G5" s="126" t="s">
        <v>205</v>
      </c>
      <c r="H5" s="106">
        <v>80</v>
      </c>
    </row>
    <row r="6" spans="1:9">
      <c r="A6" s="117" t="s">
        <v>94</v>
      </c>
      <c r="B6" s="123">
        <f>Main!B7</f>
        <v>2.5000000000000001E-2</v>
      </c>
      <c r="D6" s="93"/>
    </row>
    <row r="7" spans="1:9" ht="45">
      <c r="A7" s="117" t="s">
        <v>161</v>
      </c>
      <c r="B7" s="124">
        <v>2500</v>
      </c>
    </row>
    <row r="8" spans="1:9">
      <c r="A8" s="117"/>
      <c r="B8" s="122"/>
    </row>
    <row r="9" spans="1:9" ht="15.75" thickBot="1">
      <c r="A9" s="120" t="s">
        <v>163</v>
      </c>
      <c r="B9" s="125">
        <v>23704</v>
      </c>
    </row>
    <row r="10" spans="1:9" ht="15.75" thickBot="1">
      <c r="G10" s="107" t="s">
        <v>204</v>
      </c>
    </row>
    <row r="11" spans="1:9" ht="15.75" thickBot="1">
      <c r="A11" s="65" t="s">
        <v>2</v>
      </c>
      <c r="B11" s="51" t="s">
        <v>3</v>
      </c>
      <c r="C11" s="66" t="s">
        <v>108</v>
      </c>
      <c r="D11" s="67" t="s">
        <v>4</v>
      </c>
      <c r="F11" s="65" t="s">
        <v>2</v>
      </c>
      <c r="G11" s="51" t="s">
        <v>3</v>
      </c>
      <c r="H11" s="66" t="s">
        <v>108</v>
      </c>
      <c r="I11" s="67" t="s">
        <v>4</v>
      </c>
    </row>
    <row r="12" spans="1:9">
      <c r="A12" s="61">
        <v>62</v>
      </c>
      <c r="B12" s="56">
        <f t="shared" ref="B12:B14" si="0">$B$2*C12</f>
        <v>1975.3999999999999</v>
      </c>
      <c r="C12" s="63">
        <v>0.7</v>
      </c>
      <c r="D12" s="64"/>
      <c r="F12" s="61">
        <v>62</v>
      </c>
      <c r="G12" s="56">
        <f>$B$7*H12</f>
        <v>1750</v>
      </c>
      <c r="H12" s="63">
        <v>0.7</v>
      </c>
      <c r="I12" s="64"/>
    </row>
    <row r="13" spans="1:9">
      <c r="A13" s="41">
        <v>63</v>
      </c>
      <c r="B13" s="56">
        <f t="shared" si="0"/>
        <v>2116.5</v>
      </c>
      <c r="C13" s="57">
        <v>0.75</v>
      </c>
      <c r="D13" s="58">
        <f>(B13-B12)/B12</f>
        <v>7.1428571428571508E-2</v>
      </c>
      <c r="F13" s="41">
        <v>63</v>
      </c>
      <c r="G13" s="56">
        <f t="shared" ref="G13:G16" si="1">$B$7*H13</f>
        <v>1875</v>
      </c>
      <c r="H13" s="57">
        <v>0.75</v>
      </c>
      <c r="I13" s="58">
        <f>(G13-G12)/G12</f>
        <v>7.1428571428571425E-2</v>
      </c>
    </row>
    <row r="14" spans="1:9">
      <c r="A14" s="41">
        <v>64</v>
      </c>
      <c r="B14" s="56">
        <f t="shared" si="0"/>
        <v>2257.6</v>
      </c>
      <c r="C14" s="57">
        <v>0.8</v>
      </c>
      <c r="D14" s="58">
        <f t="shared" ref="D14:D20" si="2">(B14-B13)/B13</f>
        <v>6.6666666666666624E-2</v>
      </c>
      <c r="F14" s="41">
        <v>64</v>
      </c>
      <c r="G14" s="56">
        <f t="shared" si="1"/>
        <v>2000</v>
      </c>
      <c r="H14" s="57">
        <v>0.8</v>
      </c>
      <c r="I14" s="58">
        <f t="shared" ref="I14:I20" si="3">(G14-G13)/G13</f>
        <v>6.6666666666666666E-2</v>
      </c>
    </row>
    <row r="15" spans="1:9">
      <c r="A15" s="41">
        <v>65</v>
      </c>
      <c r="B15" s="56">
        <f>$B$2*C15</f>
        <v>2446.674</v>
      </c>
      <c r="C15" s="38">
        <v>0.86699999999999999</v>
      </c>
      <c r="D15" s="58">
        <f t="shared" si="2"/>
        <v>8.3750000000000033E-2</v>
      </c>
      <c r="F15" s="41">
        <v>65</v>
      </c>
      <c r="G15" s="56">
        <f t="shared" si="1"/>
        <v>2167.5</v>
      </c>
      <c r="H15" s="38">
        <v>0.86699999999999999</v>
      </c>
      <c r="I15" s="58">
        <f t="shared" si="3"/>
        <v>8.3750000000000005E-2</v>
      </c>
    </row>
    <row r="16" spans="1:9">
      <c r="A16" s="41">
        <v>66</v>
      </c>
      <c r="B16" s="56">
        <f>$B$2*C16</f>
        <v>2632.9259999999999</v>
      </c>
      <c r="C16" s="38">
        <v>0.93300000000000005</v>
      </c>
      <c r="D16" s="58">
        <f t="shared" si="2"/>
        <v>7.612456747404843E-2</v>
      </c>
      <c r="F16" s="41">
        <v>66</v>
      </c>
      <c r="G16" s="56">
        <f t="shared" si="1"/>
        <v>2332.5</v>
      </c>
      <c r="H16" s="38">
        <v>0.93300000000000005</v>
      </c>
      <c r="I16" s="58">
        <f t="shared" si="3"/>
        <v>7.6124567474048443E-2</v>
      </c>
    </row>
    <row r="17" spans="1:15">
      <c r="A17" s="41">
        <v>67</v>
      </c>
      <c r="B17" s="56">
        <f>$B$2*C17</f>
        <v>2822</v>
      </c>
      <c r="C17" s="57">
        <v>1</v>
      </c>
      <c r="D17" s="58">
        <f t="shared" si="2"/>
        <v>7.1811361200428747E-2</v>
      </c>
      <c r="F17" s="41">
        <v>67</v>
      </c>
      <c r="G17" s="140">
        <f>B7</f>
        <v>2500</v>
      </c>
      <c r="H17" s="57">
        <v>1</v>
      </c>
      <c r="I17" s="58">
        <f t="shared" si="3"/>
        <v>7.1811361200428719E-2</v>
      </c>
    </row>
    <row r="18" spans="1:15">
      <c r="A18" s="41">
        <v>68</v>
      </c>
      <c r="B18" s="56">
        <f t="shared" ref="B18:B20" si="4">$B$2*C18</f>
        <v>3047.76</v>
      </c>
      <c r="C18" s="57">
        <v>1.08</v>
      </c>
      <c r="D18" s="58">
        <f t="shared" si="2"/>
        <v>8.0000000000000071E-2</v>
      </c>
      <c r="F18" s="41">
        <v>68</v>
      </c>
      <c r="G18" s="56">
        <f>$B$7*H18</f>
        <v>2700</v>
      </c>
      <c r="H18" s="57">
        <v>1.08</v>
      </c>
      <c r="I18" s="58">
        <f t="shared" si="3"/>
        <v>0.08</v>
      </c>
    </row>
    <row r="19" spans="1:15">
      <c r="A19" s="41">
        <v>69</v>
      </c>
      <c r="B19" s="56">
        <f t="shared" si="4"/>
        <v>3273.52</v>
      </c>
      <c r="C19" s="57">
        <v>1.1599999999999999</v>
      </c>
      <c r="D19" s="58">
        <f t="shared" si="2"/>
        <v>7.4074074074073987E-2</v>
      </c>
      <c r="F19" s="41">
        <v>69</v>
      </c>
      <c r="G19" s="56">
        <f t="shared" ref="G19:G20" si="5">$B$7*H19</f>
        <v>2900</v>
      </c>
      <c r="H19" s="57">
        <v>1.1599999999999999</v>
      </c>
      <c r="I19" s="58">
        <f t="shared" si="3"/>
        <v>7.407407407407407E-2</v>
      </c>
    </row>
    <row r="20" spans="1:15" ht="15.75" thickBot="1">
      <c r="A20" s="43">
        <v>70</v>
      </c>
      <c r="B20" s="56">
        <f t="shared" si="4"/>
        <v>3499.28</v>
      </c>
      <c r="C20" s="60">
        <v>1.24</v>
      </c>
      <c r="D20" s="44">
        <f t="shared" si="2"/>
        <v>6.8965517241379379E-2</v>
      </c>
      <c r="F20" s="43">
        <v>70</v>
      </c>
      <c r="G20" s="59">
        <f t="shared" si="5"/>
        <v>3100</v>
      </c>
      <c r="H20" s="60">
        <v>1.24</v>
      </c>
      <c r="I20" s="44">
        <f t="shared" si="3"/>
        <v>6.8965517241379309E-2</v>
      </c>
    </row>
    <row r="22" spans="1:15" ht="15.75" thickBot="1"/>
    <row r="23" spans="1:15" ht="15.75" thickBot="1">
      <c r="A23" s="108" t="s">
        <v>154</v>
      </c>
      <c r="G23" s="95" t="s">
        <v>158</v>
      </c>
      <c r="N23" s="14" t="s">
        <v>154</v>
      </c>
      <c r="O23" s="14" t="s">
        <v>158</v>
      </c>
    </row>
    <row r="24" spans="1:15" ht="30.75" thickBot="1">
      <c r="A24" s="76" t="s">
        <v>133</v>
      </c>
      <c r="B24" s="50" t="s">
        <v>201</v>
      </c>
      <c r="C24" s="103" t="s">
        <v>156</v>
      </c>
      <c r="D24" s="50" t="s">
        <v>166</v>
      </c>
      <c r="E24" s="105" t="s">
        <v>165</v>
      </c>
      <c r="F24" s="52" t="s">
        <v>164</v>
      </c>
      <c r="G24" s="76" t="s">
        <v>133</v>
      </c>
      <c r="H24" s="50" t="s">
        <v>201</v>
      </c>
      <c r="I24" s="103" t="s">
        <v>156</v>
      </c>
      <c r="J24" s="109" t="s">
        <v>166</v>
      </c>
      <c r="K24" s="105" t="s">
        <v>167</v>
      </c>
      <c r="L24" s="134" t="s">
        <v>157</v>
      </c>
      <c r="M24" s="135" t="s">
        <v>133</v>
      </c>
      <c r="N24" s="136" t="s">
        <v>164</v>
      </c>
      <c r="O24" s="137" t="s">
        <v>164</v>
      </c>
    </row>
    <row r="25" spans="1:15">
      <c r="A25" s="61">
        <v>62</v>
      </c>
      <c r="B25" s="62">
        <f>B12</f>
        <v>1975.3999999999999</v>
      </c>
      <c r="C25" s="62">
        <f>B25*12</f>
        <v>23704.799999999999</v>
      </c>
      <c r="D25" s="23">
        <f>B9</f>
        <v>23704</v>
      </c>
      <c r="E25" s="101">
        <f>C25-D25</f>
        <v>0.7999999999992724</v>
      </c>
      <c r="F25" s="111">
        <f>$H$4*(1+$B$5)</f>
        <v>258150</v>
      </c>
      <c r="G25" s="61">
        <v>62</v>
      </c>
      <c r="H25" s="62">
        <v>0</v>
      </c>
      <c r="I25" s="62">
        <f>H25*12</f>
        <v>0</v>
      </c>
      <c r="J25" s="101">
        <f>B9</f>
        <v>23704</v>
      </c>
      <c r="K25" s="101">
        <f>I25-J25</f>
        <v>-23704</v>
      </c>
      <c r="L25" s="101">
        <f>($H$4)*(1+$B$5)+K25</f>
        <v>234446</v>
      </c>
      <c r="M25" s="41">
        <v>62</v>
      </c>
      <c r="N25" s="56">
        <f>F25</f>
        <v>258150</v>
      </c>
      <c r="O25" s="70">
        <f>L25</f>
        <v>234446</v>
      </c>
    </row>
    <row r="26" spans="1:15">
      <c r="A26" s="41">
        <v>63</v>
      </c>
      <c r="B26" s="56">
        <f>B25*(1+$B$4)</f>
        <v>2024.7849999999996</v>
      </c>
      <c r="C26" s="56">
        <f t="shared" ref="C26:C63" si="6">B26*12</f>
        <v>24297.419999999995</v>
      </c>
      <c r="D26" s="36">
        <f>D25*(1+$B$4)</f>
        <v>24296.6</v>
      </c>
      <c r="E26" s="101">
        <f t="shared" ref="E26:E63" si="7">C26-D26</f>
        <v>0.81999999999607098</v>
      </c>
      <c r="F26" s="70">
        <f>F25*(1+$B$5)+E26</f>
        <v>266566.51</v>
      </c>
      <c r="G26" s="41">
        <v>63</v>
      </c>
      <c r="H26" s="56">
        <v>0</v>
      </c>
      <c r="I26" s="56">
        <f t="shared" ref="I26:I63" si="8">H26*12</f>
        <v>0</v>
      </c>
      <c r="J26" s="97">
        <f>J25*(1+$B$4)</f>
        <v>24296.6</v>
      </c>
      <c r="K26" s="101">
        <f t="shared" ref="K26:K63" si="9">I26-J26</f>
        <v>-24296.6</v>
      </c>
      <c r="L26" s="97">
        <f>(L25)*(1+$B$5)+K26</f>
        <v>217792.33959999998</v>
      </c>
      <c r="M26" s="41">
        <v>63</v>
      </c>
      <c r="N26" s="56">
        <f t="shared" ref="N26:N63" si="10">F26</f>
        <v>266566.51</v>
      </c>
      <c r="O26" s="70">
        <f t="shared" ref="O26:O63" si="11">L26</f>
        <v>217792.33959999998</v>
      </c>
    </row>
    <row r="27" spans="1:15">
      <c r="A27" s="41">
        <v>64</v>
      </c>
      <c r="B27" s="56">
        <f t="shared" ref="B27:B63" si="12">B26*(1+$B$4)</f>
        <v>2075.4046249999992</v>
      </c>
      <c r="C27" s="56">
        <f t="shared" si="6"/>
        <v>24904.855499999991</v>
      </c>
      <c r="D27" s="36">
        <f t="shared" ref="D27:D63" si="13">D26*(1+$B$4)</f>
        <v>24904.014999999996</v>
      </c>
      <c r="E27" s="101">
        <f t="shared" si="7"/>
        <v>0.84049999999479041</v>
      </c>
      <c r="F27" s="70">
        <f t="shared" ref="F27:F63" si="14">F26*(1+$B$5)+E27</f>
        <v>275257.418726</v>
      </c>
      <c r="G27" s="41">
        <v>64</v>
      </c>
      <c r="H27" s="56">
        <v>0</v>
      </c>
      <c r="I27" s="56">
        <f t="shared" si="8"/>
        <v>0</v>
      </c>
      <c r="J27" s="97">
        <f t="shared" ref="J27:J63" si="15">J26*(1+$B$4)</f>
        <v>24904.014999999996</v>
      </c>
      <c r="K27" s="101">
        <f t="shared" si="9"/>
        <v>-24904.014999999996</v>
      </c>
      <c r="L27" s="97">
        <f t="shared" ref="L27:L63" si="16">(L26)*(1+$B$5)+K27</f>
        <v>199988.35487095997</v>
      </c>
      <c r="M27" s="41">
        <v>64</v>
      </c>
      <c r="N27" s="56">
        <f t="shared" si="10"/>
        <v>275257.418726</v>
      </c>
      <c r="O27" s="70">
        <f t="shared" si="11"/>
        <v>199988.35487095997</v>
      </c>
    </row>
    <row r="28" spans="1:15">
      <c r="A28" s="41">
        <v>65</v>
      </c>
      <c r="B28" s="56">
        <f t="shared" si="12"/>
        <v>2127.289740624999</v>
      </c>
      <c r="C28" s="56">
        <f t="shared" si="6"/>
        <v>25527.476887499986</v>
      </c>
      <c r="D28" s="36">
        <f t="shared" si="13"/>
        <v>25526.615374999994</v>
      </c>
      <c r="E28" s="101">
        <f t="shared" si="7"/>
        <v>0.86151249999238644</v>
      </c>
      <c r="F28" s="70">
        <f t="shared" si="14"/>
        <v>284231.67208896758</v>
      </c>
      <c r="G28" s="41">
        <v>65</v>
      </c>
      <c r="H28" s="56">
        <v>0</v>
      </c>
      <c r="I28" s="56">
        <f t="shared" si="8"/>
        <v>0</v>
      </c>
      <c r="J28" s="97">
        <f t="shared" si="15"/>
        <v>25526.615374999994</v>
      </c>
      <c r="K28" s="101">
        <f t="shared" si="9"/>
        <v>-25526.615374999994</v>
      </c>
      <c r="L28" s="97">
        <f t="shared" si="16"/>
        <v>180981.35986475326</v>
      </c>
      <c r="M28" s="41">
        <v>65</v>
      </c>
      <c r="N28" s="56">
        <f t="shared" si="10"/>
        <v>284231.67208896758</v>
      </c>
      <c r="O28" s="70">
        <f t="shared" si="11"/>
        <v>180981.35986475326</v>
      </c>
    </row>
    <row r="29" spans="1:15">
      <c r="A29" s="41">
        <v>66</v>
      </c>
      <c r="B29" s="56">
        <f t="shared" si="12"/>
        <v>2180.4719841406236</v>
      </c>
      <c r="C29" s="56">
        <f t="shared" si="6"/>
        <v>26165.663809687481</v>
      </c>
      <c r="D29" s="36">
        <f t="shared" si="13"/>
        <v>26164.780759374993</v>
      </c>
      <c r="E29" s="101">
        <f t="shared" si="7"/>
        <v>0.88305031248819432</v>
      </c>
      <c r="F29" s="70">
        <f t="shared" si="14"/>
        <v>293498.50764938036</v>
      </c>
      <c r="G29" s="41">
        <v>66</v>
      </c>
      <c r="H29" s="56">
        <v>0</v>
      </c>
      <c r="I29" s="56">
        <f t="shared" si="8"/>
        <v>0</v>
      </c>
      <c r="J29" s="97">
        <f t="shared" si="15"/>
        <v>26164.780759374993</v>
      </c>
      <c r="K29" s="101">
        <f t="shared" si="9"/>
        <v>-26164.780759374993</v>
      </c>
      <c r="L29" s="97">
        <f t="shared" si="16"/>
        <v>160716.57143696921</v>
      </c>
      <c r="M29" s="41">
        <v>66</v>
      </c>
      <c r="N29" s="56">
        <f t="shared" si="10"/>
        <v>293498.50764938036</v>
      </c>
      <c r="O29" s="70">
        <f t="shared" si="11"/>
        <v>160716.57143696921</v>
      </c>
    </row>
    <row r="30" spans="1:15">
      <c r="A30" s="41">
        <v>67</v>
      </c>
      <c r="B30" s="56">
        <f t="shared" si="12"/>
        <v>2234.9837837441391</v>
      </c>
      <c r="C30" s="56">
        <f t="shared" si="6"/>
        <v>26819.80540492967</v>
      </c>
      <c r="D30" s="36">
        <f t="shared" si="13"/>
        <v>26818.900278359364</v>
      </c>
      <c r="E30" s="101">
        <f t="shared" si="7"/>
        <v>0.9051265703055833</v>
      </c>
      <c r="F30" s="70">
        <f t="shared" si="14"/>
        <v>303067.46412532049</v>
      </c>
      <c r="G30" s="41">
        <v>67</v>
      </c>
      <c r="H30" s="56">
        <v>0</v>
      </c>
      <c r="I30" s="56">
        <f t="shared" si="8"/>
        <v>0</v>
      </c>
      <c r="J30" s="97">
        <f t="shared" si="15"/>
        <v>26818.900278359364</v>
      </c>
      <c r="K30" s="101">
        <f t="shared" si="9"/>
        <v>-26818.900278359364</v>
      </c>
      <c r="L30" s="97">
        <f t="shared" si="16"/>
        <v>139137.03138745503</v>
      </c>
      <c r="M30" s="41">
        <v>67</v>
      </c>
      <c r="N30" s="56">
        <f t="shared" si="10"/>
        <v>303067.46412532049</v>
      </c>
      <c r="O30" s="70">
        <f t="shared" si="11"/>
        <v>139137.03138745503</v>
      </c>
    </row>
    <row r="31" spans="1:15">
      <c r="A31" s="41">
        <v>68</v>
      </c>
      <c r="B31" s="56">
        <f t="shared" si="12"/>
        <v>2290.8583783377426</v>
      </c>
      <c r="C31" s="56">
        <f t="shared" si="6"/>
        <v>27490.300540052911</v>
      </c>
      <c r="D31" s="36">
        <f t="shared" si="13"/>
        <v>27489.372785318345</v>
      </c>
      <c r="E31" s="101">
        <f t="shared" si="7"/>
        <v>0.92775473456640611</v>
      </c>
      <c r="F31" s="70">
        <f t="shared" si="14"/>
        <v>312948.39121054049</v>
      </c>
      <c r="G31" s="41">
        <v>68</v>
      </c>
      <c r="H31" s="56">
        <v>0</v>
      </c>
      <c r="I31" s="56">
        <f t="shared" si="8"/>
        <v>0</v>
      </c>
      <c r="J31" s="97">
        <f t="shared" si="15"/>
        <v>27489.372785318345</v>
      </c>
      <c r="K31" s="101">
        <f t="shared" si="9"/>
        <v>-27489.372785318345</v>
      </c>
      <c r="L31" s="97">
        <f t="shared" si="16"/>
        <v>116183.52582536772</v>
      </c>
      <c r="M31" s="41">
        <v>68</v>
      </c>
      <c r="N31" s="56">
        <f t="shared" si="10"/>
        <v>312948.39121054049</v>
      </c>
      <c r="O31" s="70">
        <f t="shared" si="11"/>
        <v>116183.52582536772</v>
      </c>
    </row>
    <row r="32" spans="1:15">
      <c r="A32" s="41">
        <v>69</v>
      </c>
      <c r="B32" s="56">
        <f t="shared" si="12"/>
        <v>2348.1298377961862</v>
      </c>
      <c r="C32" s="56">
        <f t="shared" si="6"/>
        <v>28177.558053554232</v>
      </c>
      <c r="D32" s="36">
        <f t="shared" si="13"/>
        <v>28176.607104951301</v>
      </c>
      <c r="E32" s="101">
        <f t="shared" si="7"/>
        <v>0.95094860293102101</v>
      </c>
      <c r="F32" s="70">
        <f t="shared" si="14"/>
        <v>323151.45971260703</v>
      </c>
      <c r="G32" s="41">
        <v>69</v>
      </c>
      <c r="H32" s="56">
        <v>0</v>
      </c>
      <c r="I32" s="56">
        <f t="shared" si="8"/>
        <v>0</v>
      </c>
      <c r="J32" s="97">
        <f t="shared" si="15"/>
        <v>28176.607104951301</v>
      </c>
      <c r="K32" s="101">
        <f t="shared" si="9"/>
        <v>-28176.607104951301</v>
      </c>
      <c r="L32" s="97">
        <f t="shared" si="16"/>
        <v>91794.501662323397</v>
      </c>
      <c r="M32" s="41">
        <v>69</v>
      </c>
      <c r="N32" s="56">
        <f t="shared" si="10"/>
        <v>323151.45971260703</v>
      </c>
      <c r="O32" s="70">
        <f t="shared" si="11"/>
        <v>91794.501662323397</v>
      </c>
    </row>
    <row r="33" spans="1:15">
      <c r="A33" s="41">
        <v>70</v>
      </c>
      <c r="B33" s="56">
        <f t="shared" si="12"/>
        <v>2406.8330837410908</v>
      </c>
      <c r="C33" s="56">
        <f t="shared" si="6"/>
        <v>28881.997004893092</v>
      </c>
      <c r="D33" s="36">
        <f t="shared" si="13"/>
        <v>28881.022282575082</v>
      </c>
      <c r="E33" s="101">
        <f t="shared" si="7"/>
        <v>0.97472231800929876</v>
      </c>
      <c r="F33" s="70">
        <f t="shared" si="14"/>
        <v>333687.17202155601</v>
      </c>
      <c r="G33" s="41">
        <v>70</v>
      </c>
      <c r="H33" s="56">
        <f>B20</f>
        <v>3499.28</v>
      </c>
      <c r="I33" s="56">
        <f t="shared" si="8"/>
        <v>41991.360000000001</v>
      </c>
      <c r="J33" s="97">
        <f t="shared" si="15"/>
        <v>28881.022282575082</v>
      </c>
      <c r="K33" s="101">
        <f t="shared" si="9"/>
        <v>13110.337717424918</v>
      </c>
      <c r="L33" s="97">
        <f t="shared" si="16"/>
        <v>107897.34013394006</v>
      </c>
      <c r="M33" s="41">
        <v>70</v>
      </c>
      <c r="N33" s="56">
        <f t="shared" si="10"/>
        <v>333687.17202155601</v>
      </c>
      <c r="O33" s="70">
        <f t="shared" si="11"/>
        <v>107897.34013394006</v>
      </c>
    </row>
    <row r="34" spans="1:15">
      <c r="A34" s="41">
        <v>71</v>
      </c>
      <c r="B34" s="56">
        <f t="shared" si="12"/>
        <v>2467.0039108346177</v>
      </c>
      <c r="C34" s="56">
        <f t="shared" si="6"/>
        <v>29604.046930015415</v>
      </c>
      <c r="D34" s="36">
        <f t="shared" si="13"/>
        <v>29603.047839639457</v>
      </c>
      <c r="E34" s="101">
        <f t="shared" si="7"/>
        <v>0.99909037595716654</v>
      </c>
      <c r="F34" s="70">
        <f t="shared" si="14"/>
        <v>344566.37291983468</v>
      </c>
      <c r="G34" s="41">
        <v>71</v>
      </c>
      <c r="H34" s="56">
        <f t="shared" ref="H34:H63" si="17">H33*(1+$B$4)</f>
        <v>3586.7619999999997</v>
      </c>
      <c r="I34" s="56">
        <f t="shared" si="8"/>
        <v>43041.144</v>
      </c>
      <c r="J34" s="97">
        <f t="shared" si="15"/>
        <v>29603.047839639457</v>
      </c>
      <c r="K34" s="101">
        <f t="shared" si="9"/>
        <v>13438.096160360543</v>
      </c>
      <c r="L34" s="97">
        <f t="shared" si="16"/>
        <v>124852.88958266703</v>
      </c>
      <c r="M34" s="41">
        <v>71</v>
      </c>
      <c r="N34" s="56">
        <f t="shared" si="10"/>
        <v>344566.37291983468</v>
      </c>
      <c r="O34" s="70">
        <f t="shared" si="11"/>
        <v>124852.88958266703</v>
      </c>
    </row>
    <row r="35" spans="1:15">
      <c r="A35" s="41">
        <v>72</v>
      </c>
      <c r="B35" s="56">
        <f t="shared" si="12"/>
        <v>2528.679008605483</v>
      </c>
      <c r="C35" s="56">
        <f t="shared" si="6"/>
        <v>30344.148103265798</v>
      </c>
      <c r="D35" s="36">
        <f t="shared" si="13"/>
        <v>30343.124035630441</v>
      </c>
      <c r="E35" s="101">
        <f t="shared" si="7"/>
        <v>1.0240676353569143</v>
      </c>
      <c r="F35" s="70">
        <f t="shared" si="14"/>
        <v>355800.26074465661</v>
      </c>
      <c r="G35" s="41">
        <v>72</v>
      </c>
      <c r="H35" s="56">
        <f t="shared" si="17"/>
        <v>3676.4310499999992</v>
      </c>
      <c r="I35" s="56">
        <f t="shared" si="8"/>
        <v>44117.172599999991</v>
      </c>
      <c r="J35" s="97">
        <f t="shared" si="15"/>
        <v>30343.124035630441</v>
      </c>
      <c r="K35" s="101">
        <f t="shared" si="9"/>
        <v>13774.04856436955</v>
      </c>
      <c r="L35" s="97">
        <f t="shared" si="16"/>
        <v>142697.14234743154</v>
      </c>
      <c r="M35" s="41">
        <v>72</v>
      </c>
      <c r="N35" s="56">
        <f t="shared" si="10"/>
        <v>355800.26074465661</v>
      </c>
      <c r="O35" s="70">
        <f t="shared" si="11"/>
        <v>142697.14234743154</v>
      </c>
    </row>
    <row r="36" spans="1:15">
      <c r="A36" s="41">
        <v>73</v>
      </c>
      <c r="B36" s="56">
        <f t="shared" si="12"/>
        <v>2591.8959838206197</v>
      </c>
      <c r="C36" s="56">
        <f t="shared" si="6"/>
        <v>31102.751805847438</v>
      </c>
      <c r="D36" s="36">
        <f t="shared" si="13"/>
        <v>31101.702136521199</v>
      </c>
      <c r="E36" s="101">
        <f t="shared" si="7"/>
        <v>1.0496693262393819</v>
      </c>
      <c r="F36" s="70">
        <f t="shared" si="14"/>
        <v>367400.39891425864</v>
      </c>
      <c r="G36" s="41">
        <v>73</v>
      </c>
      <c r="H36" s="56">
        <f t="shared" si="17"/>
        <v>3768.341826249999</v>
      </c>
      <c r="I36" s="56">
        <f t="shared" si="8"/>
        <v>45220.101914999992</v>
      </c>
      <c r="J36" s="97">
        <f t="shared" si="15"/>
        <v>31101.702136521199</v>
      </c>
      <c r="K36" s="101">
        <f t="shared" si="9"/>
        <v>14118.399778478793</v>
      </c>
      <c r="L36" s="97">
        <f t="shared" si="16"/>
        <v>161467.46896643657</v>
      </c>
      <c r="M36" s="41">
        <v>73</v>
      </c>
      <c r="N36" s="56">
        <f t="shared" si="10"/>
        <v>367400.39891425864</v>
      </c>
      <c r="O36" s="70">
        <f t="shared" si="11"/>
        <v>161467.46896643657</v>
      </c>
    </row>
    <row r="37" spans="1:15">
      <c r="A37" s="41">
        <v>74</v>
      </c>
      <c r="B37" s="56">
        <f t="shared" si="12"/>
        <v>2656.693383416135</v>
      </c>
      <c r="C37" s="56">
        <f t="shared" si="6"/>
        <v>31880.320600993618</v>
      </c>
      <c r="D37" s="36">
        <f t="shared" si="13"/>
        <v>31879.244689934225</v>
      </c>
      <c r="E37" s="101">
        <f t="shared" si="7"/>
        <v>1.0759110593935475</v>
      </c>
      <c r="F37" s="70">
        <f t="shared" si="14"/>
        <v>379378.72782992286</v>
      </c>
      <c r="G37" s="41">
        <v>74</v>
      </c>
      <c r="H37" s="56">
        <f t="shared" si="17"/>
        <v>3862.5503719062485</v>
      </c>
      <c r="I37" s="56">
        <f t="shared" si="8"/>
        <v>46350.604462874981</v>
      </c>
      <c r="J37" s="97">
        <f t="shared" si="15"/>
        <v>31879.244689934225</v>
      </c>
      <c r="K37" s="101">
        <f t="shared" si="9"/>
        <v>14471.359772940756</v>
      </c>
      <c r="L37" s="97">
        <f t="shared" si="16"/>
        <v>181202.66822768314</v>
      </c>
      <c r="M37" s="41">
        <v>74</v>
      </c>
      <c r="N37" s="56">
        <f t="shared" si="10"/>
        <v>379378.72782992286</v>
      </c>
      <c r="O37" s="70">
        <f t="shared" si="11"/>
        <v>181202.66822768314</v>
      </c>
    </row>
    <row r="38" spans="1:15">
      <c r="A38" s="41">
        <v>75</v>
      </c>
      <c r="B38" s="56">
        <f t="shared" si="12"/>
        <v>2723.1107180015383</v>
      </c>
      <c r="C38" s="56">
        <f t="shared" si="6"/>
        <v>32677.328616018458</v>
      </c>
      <c r="D38" s="36">
        <f t="shared" si="13"/>
        <v>32676.225807182578</v>
      </c>
      <c r="E38" s="101">
        <f t="shared" si="7"/>
        <v>1.1028088358798414</v>
      </c>
      <c r="F38" s="70">
        <f t="shared" si="14"/>
        <v>391747.57716601418</v>
      </c>
      <c r="G38" s="41">
        <v>75</v>
      </c>
      <c r="H38" s="56">
        <f t="shared" si="17"/>
        <v>3959.1141312039044</v>
      </c>
      <c r="I38" s="56">
        <f t="shared" si="8"/>
        <v>47509.369574446857</v>
      </c>
      <c r="J38" s="97">
        <f t="shared" si="15"/>
        <v>32676.225807182578</v>
      </c>
      <c r="K38" s="101">
        <f t="shared" si="9"/>
        <v>14833.143767264279</v>
      </c>
      <c r="L38" s="97">
        <f t="shared" si="16"/>
        <v>201943.01897916989</v>
      </c>
      <c r="M38" s="41">
        <v>75</v>
      </c>
      <c r="N38" s="56">
        <f t="shared" si="10"/>
        <v>391747.57716601418</v>
      </c>
      <c r="O38" s="70">
        <f t="shared" si="11"/>
        <v>201943.01897916989</v>
      </c>
    </row>
    <row r="39" spans="1:15">
      <c r="A39" s="41">
        <v>76</v>
      </c>
      <c r="B39" s="56">
        <f t="shared" si="12"/>
        <v>2791.1884859515767</v>
      </c>
      <c r="C39" s="56">
        <f t="shared" si="6"/>
        <v>33494.261831418917</v>
      </c>
      <c r="D39" s="36">
        <f t="shared" si="13"/>
        <v>33493.13145236214</v>
      </c>
      <c r="E39" s="101">
        <f t="shared" si="7"/>
        <v>1.1303790567762917</v>
      </c>
      <c r="F39" s="70">
        <f t="shared" si="14"/>
        <v>404519.67856068304</v>
      </c>
      <c r="G39" s="41">
        <v>76</v>
      </c>
      <c r="H39" s="56">
        <f t="shared" si="17"/>
        <v>4058.0919844840018</v>
      </c>
      <c r="I39" s="56">
        <f t="shared" si="8"/>
        <v>48697.103813808018</v>
      </c>
      <c r="J39" s="97">
        <f t="shared" si="15"/>
        <v>33493.13145236214</v>
      </c>
      <c r="K39" s="101">
        <f t="shared" si="9"/>
        <v>15203.972361445878</v>
      </c>
      <c r="L39" s="97">
        <f t="shared" si="16"/>
        <v>223730.33375933667</v>
      </c>
      <c r="M39" s="41">
        <v>76</v>
      </c>
      <c r="N39" s="56">
        <f t="shared" si="10"/>
        <v>404519.67856068304</v>
      </c>
      <c r="O39" s="70">
        <f t="shared" si="11"/>
        <v>223730.33375933667</v>
      </c>
    </row>
    <row r="40" spans="1:15">
      <c r="A40" s="41">
        <v>77</v>
      </c>
      <c r="B40" s="56">
        <f t="shared" si="12"/>
        <v>2860.968198100366</v>
      </c>
      <c r="C40" s="56">
        <f t="shared" si="6"/>
        <v>34331.618377204388</v>
      </c>
      <c r="D40" s="36">
        <f t="shared" si="13"/>
        <v>34330.45973867119</v>
      </c>
      <c r="E40" s="101">
        <f t="shared" si="7"/>
        <v>1.158638533197518</v>
      </c>
      <c r="F40" s="70">
        <f t="shared" si="14"/>
        <v>417708.1787202945</v>
      </c>
      <c r="G40" s="41">
        <v>77</v>
      </c>
      <c r="H40" s="56">
        <f t="shared" si="17"/>
        <v>4159.5442840961014</v>
      </c>
      <c r="I40" s="56">
        <f t="shared" si="8"/>
        <v>49914.53140915322</v>
      </c>
      <c r="J40" s="97">
        <f t="shared" si="15"/>
        <v>34330.45973867119</v>
      </c>
      <c r="K40" s="101">
        <f t="shared" si="9"/>
        <v>15584.07167048203</v>
      </c>
      <c r="L40" s="97">
        <f t="shared" si="16"/>
        <v>246608.01431037305</v>
      </c>
      <c r="M40" s="41">
        <v>77</v>
      </c>
      <c r="N40" s="56">
        <f t="shared" si="10"/>
        <v>417708.1787202945</v>
      </c>
      <c r="O40" s="70">
        <f t="shared" si="11"/>
        <v>246608.01431037305</v>
      </c>
    </row>
    <row r="41" spans="1:15">
      <c r="A41" s="41">
        <v>78</v>
      </c>
      <c r="B41" s="56">
        <f t="shared" si="12"/>
        <v>2932.492403052875</v>
      </c>
      <c r="C41" s="56">
        <f t="shared" si="6"/>
        <v>35189.908836634502</v>
      </c>
      <c r="D41" s="36">
        <f t="shared" si="13"/>
        <v>35188.72123213797</v>
      </c>
      <c r="E41" s="101">
        <f t="shared" si="7"/>
        <v>1.1876044965320034</v>
      </c>
      <c r="F41" s="70">
        <f t="shared" si="14"/>
        <v>431326.65295107261</v>
      </c>
      <c r="G41" s="41">
        <v>78</v>
      </c>
      <c r="H41" s="56">
        <f t="shared" si="17"/>
        <v>4263.5328911985034</v>
      </c>
      <c r="I41" s="56">
        <f t="shared" si="8"/>
        <v>51162.394694382041</v>
      </c>
      <c r="J41" s="97">
        <f t="shared" si="15"/>
        <v>35188.72123213797</v>
      </c>
      <c r="K41" s="101">
        <f t="shared" si="9"/>
        <v>15973.673462244071</v>
      </c>
      <c r="L41" s="97">
        <f t="shared" si="16"/>
        <v>270621.10903913528</v>
      </c>
      <c r="M41" s="41">
        <v>78</v>
      </c>
      <c r="N41" s="56">
        <f t="shared" si="10"/>
        <v>431326.65295107261</v>
      </c>
      <c r="O41" s="70">
        <f t="shared" si="11"/>
        <v>270621.10903913528</v>
      </c>
    </row>
    <row r="42" spans="1:15">
      <c r="A42" s="41">
        <v>79</v>
      </c>
      <c r="B42" s="56">
        <f t="shared" si="12"/>
        <v>3005.8047131291964</v>
      </c>
      <c r="C42" s="56">
        <f t="shared" si="6"/>
        <v>36069.656557550356</v>
      </c>
      <c r="D42" s="36">
        <f t="shared" si="13"/>
        <v>36068.439262941414</v>
      </c>
      <c r="E42" s="101">
        <f t="shared" si="7"/>
        <v>1.2172946089413017</v>
      </c>
      <c r="F42" s="70">
        <f t="shared" si="14"/>
        <v>445389.11913188652</v>
      </c>
      <c r="G42" s="41">
        <v>79</v>
      </c>
      <c r="H42" s="56">
        <f t="shared" si="17"/>
        <v>4370.1212134784655</v>
      </c>
      <c r="I42" s="56">
        <f t="shared" si="8"/>
        <v>52441.454561741586</v>
      </c>
      <c r="J42" s="97">
        <f t="shared" si="15"/>
        <v>36068.439262941414</v>
      </c>
      <c r="K42" s="101">
        <f t="shared" si="9"/>
        <v>16373.015298800172</v>
      </c>
      <c r="L42" s="97">
        <f t="shared" si="16"/>
        <v>295816.37249261129</v>
      </c>
      <c r="M42" s="41">
        <v>79</v>
      </c>
      <c r="N42" s="56">
        <f t="shared" si="10"/>
        <v>445389.11913188652</v>
      </c>
      <c r="O42" s="70">
        <f t="shared" si="11"/>
        <v>295816.37249261129</v>
      </c>
    </row>
    <row r="43" spans="1:15">
      <c r="A43" s="41">
        <v>80</v>
      </c>
      <c r="B43" s="56">
        <f t="shared" si="12"/>
        <v>3080.949830957426</v>
      </c>
      <c r="C43" s="56">
        <f t="shared" si="6"/>
        <v>36971.39797148911</v>
      </c>
      <c r="D43" s="36">
        <f t="shared" si="13"/>
        <v>36970.150244514945</v>
      </c>
      <c r="E43" s="101">
        <f t="shared" si="7"/>
        <v>1.2477269741648342</v>
      </c>
      <c r="F43" s="70">
        <f t="shared" si="14"/>
        <v>459910.05214256013</v>
      </c>
      <c r="G43" s="41">
        <v>80</v>
      </c>
      <c r="H43" s="56">
        <f t="shared" si="17"/>
        <v>4479.3742438154268</v>
      </c>
      <c r="I43" s="56">
        <f t="shared" si="8"/>
        <v>53752.490925785125</v>
      </c>
      <c r="J43" s="97">
        <f t="shared" si="15"/>
        <v>36970.150244514945</v>
      </c>
      <c r="K43" s="101">
        <f t="shared" si="9"/>
        <v>16782.34068127018</v>
      </c>
      <c r="L43" s="97">
        <f t="shared" si="16"/>
        <v>322242.32691714057</v>
      </c>
      <c r="M43" s="41">
        <v>80</v>
      </c>
      <c r="N43" s="56">
        <f t="shared" si="10"/>
        <v>459910.05214256013</v>
      </c>
      <c r="O43" s="70">
        <f t="shared" si="11"/>
        <v>322242.32691714057</v>
      </c>
    </row>
    <row r="44" spans="1:15">
      <c r="A44" s="41">
        <v>81</v>
      </c>
      <c r="B44" s="56">
        <f t="shared" si="12"/>
        <v>3157.9735767313614</v>
      </c>
      <c r="C44" s="56">
        <f t="shared" si="6"/>
        <v>37895.682920776337</v>
      </c>
      <c r="D44" s="36">
        <f t="shared" si="13"/>
        <v>37894.404000627816</v>
      </c>
      <c r="E44" s="101">
        <f t="shared" si="7"/>
        <v>1.2789201485211379</v>
      </c>
      <c r="F44" s="70">
        <f t="shared" si="14"/>
        <v>474904.39876255608</v>
      </c>
      <c r="G44" s="41">
        <v>81</v>
      </c>
      <c r="H44" s="56">
        <f t="shared" si="17"/>
        <v>4591.3585999108118</v>
      </c>
      <c r="I44" s="56">
        <f t="shared" si="8"/>
        <v>55096.303198929745</v>
      </c>
      <c r="J44" s="97">
        <f t="shared" si="15"/>
        <v>37894.404000627816</v>
      </c>
      <c r="K44" s="101">
        <f t="shared" si="9"/>
        <v>17201.89919830193</v>
      </c>
      <c r="L44" s="97">
        <f t="shared" si="16"/>
        <v>349949.3259729413</v>
      </c>
      <c r="M44" s="41">
        <v>81</v>
      </c>
      <c r="N44" s="56">
        <f t="shared" si="10"/>
        <v>474904.39876255608</v>
      </c>
      <c r="O44" s="70">
        <f t="shared" si="11"/>
        <v>349949.3259729413</v>
      </c>
    </row>
    <row r="45" spans="1:15">
      <c r="A45" s="41">
        <v>82</v>
      </c>
      <c r="B45" s="56">
        <f t="shared" si="12"/>
        <v>3236.9229161496451</v>
      </c>
      <c r="C45" s="56">
        <f t="shared" si="6"/>
        <v>38843.074993795744</v>
      </c>
      <c r="D45" s="36">
        <f t="shared" si="13"/>
        <v>38841.764100643508</v>
      </c>
      <c r="E45" s="101">
        <f t="shared" si="7"/>
        <v>1.310893152236531</v>
      </c>
      <c r="F45" s="70">
        <f t="shared" si="14"/>
        <v>490387.59305536764</v>
      </c>
      <c r="G45" s="41">
        <v>82</v>
      </c>
      <c r="H45" s="56">
        <f t="shared" si="17"/>
        <v>4706.1425649085813</v>
      </c>
      <c r="I45" s="56">
        <f t="shared" si="8"/>
        <v>56473.710778902976</v>
      </c>
      <c r="J45" s="97">
        <f t="shared" si="15"/>
        <v>38841.764100643508</v>
      </c>
      <c r="K45" s="101">
        <f t="shared" si="9"/>
        <v>17631.946678259468</v>
      </c>
      <c r="L45" s="97">
        <f t="shared" si="16"/>
        <v>378989.62067791866</v>
      </c>
      <c r="M45" s="41">
        <v>82</v>
      </c>
      <c r="N45" s="56">
        <f t="shared" si="10"/>
        <v>490387.59305536764</v>
      </c>
      <c r="O45" s="70">
        <f t="shared" si="11"/>
        <v>378989.62067791866</v>
      </c>
    </row>
    <row r="46" spans="1:15">
      <c r="A46" s="41">
        <v>83</v>
      </c>
      <c r="B46" s="56">
        <f t="shared" si="12"/>
        <v>3317.8459890533859</v>
      </c>
      <c r="C46" s="56">
        <f t="shared" si="6"/>
        <v>39814.151868640634</v>
      </c>
      <c r="D46" s="36">
        <f t="shared" si="13"/>
        <v>39812.808203159591</v>
      </c>
      <c r="E46" s="101">
        <f t="shared" si="7"/>
        <v>1.34366548104299</v>
      </c>
      <c r="F46" s="70">
        <f t="shared" si="14"/>
        <v>506375.57225445361</v>
      </c>
      <c r="G46" s="41">
        <v>83</v>
      </c>
      <c r="H46" s="56">
        <f t="shared" si="17"/>
        <v>4823.7961290312951</v>
      </c>
      <c r="I46" s="56">
        <f t="shared" si="8"/>
        <v>57885.553548375538</v>
      </c>
      <c r="J46" s="97">
        <f t="shared" si="15"/>
        <v>39812.808203159591</v>
      </c>
      <c r="K46" s="101">
        <f t="shared" si="9"/>
        <v>18072.745345215946</v>
      </c>
      <c r="L46" s="97">
        <f t="shared" si="16"/>
        <v>409417.42765723477</v>
      </c>
      <c r="M46" s="41">
        <v>83</v>
      </c>
      <c r="N46" s="56">
        <f t="shared" si="10"/>
        <v>506375.57225445361</v>
      </c>
      <c r="O46" s="70">
        <f t="shared" si="11"/>
        <v>409417.42765723477</v>
      </c>
    </row>
    <row r="47" spans="1:15">
      <c r="A47" s="41">
        <v>84</v>
      </c>
      <c r="B47" s="56">
        <f t="shared" si="12"/>
        <v>3400.7921387797201</v>
      </c>
      <c r="C47" s="56">
        <f t="shared" si="6"/>
        <v>40809.505665356643</v>
      </c>
      <c r="D47" s="36">
        <f t="shared" si="13"/>
        <v>40808.128408238576</v>
      </c>
      <c r="E47" s="101">
        <f t="shared" si="7"/>
        <v>1.3772571180670639</v>
      </c>
      <c r="F47" s="70">
        <f t="shared" si="14"/>
        <v>522884.79316706682</v>
      </c>
      <c r="G47" s="41">
        <v>84</v>
      </c>
      <c r="H47" s="56">
        <f t="shared" si="17"/>
        <v>4944.3910322570773</v>
      </c>
      <c r="I47" s="56">
        <f t="shared" si="8"/>
        <v>59332.692387084928</v>
      </c>
      <c r="J47" s="97">
        <f t="shared" si="15"/>
        <v>40808.128408238576</v>
      </c>
      <c r="K47" s="101">
        <f t="shared" si="9"/>
        <v>18524.563978846352</v>
      </c>
      <c r="L47" s="97">
        <f t="shared" si="16"/>
        <v>441288.99977770698</v>
      </c>
      <c r="M47" s="41">
        <v>84</v>
      </c>
      <c r="N47" s="56">
        <f t="shared" si="10"/>
        <v>522884.79316706682</v>
      </c>
      <c r="O47" s="70">
        <f t="shared" si="11"/>
        <v>441288.99977770698</v>
      </c>
    </row>
    <row r="48" spans="1:15">
      <c r="A48" s="41">
        <v>85</v>
      </c>
      <c r="B48" s="56">
        <f t="shared" si="12"/>
        <v>3485.8119422492127</v>
      </c>
      <c r="C48" s="56">
        <f t="shared" si="6"/>
        <v>41829.743306990553</v>
      </c>
      <c r="D48" s="36">
        <f t="shared" si="13"/>
        <v>41828.331618444536</v>
      </c>
      <c r="E48" s="101">
        <f t="shared" si="7"/>
        <v>1.4116885460171034</v>
      </c>
      <c r="F48" s="70">
        <f t="shared" si="14"/>
        <v>539932.24911285925</v>
      </c>
      <c r="G48" s="41">
        <v>85</v>
      </c>
      <c r="H48" s="56">
        <f t="shared" si="17"/>
        <v>5068.0008080635034</v>
      </c>
      <c r="I48" s="56">
        <f t="shared" si="8"/>
        <v>60816.009696762041</v>
      </c>
      <c r="J48" s="97">
        <f t="shared" si="15"/>
        <v>41828.331618444536</v>
      </c>
      <c r="K48" s="101">
        <f t="shared" si="9"/>
        <v>18987.678078317505</v>
      </c>
      <c r="L48" s="97">
        <f t="shared" si="16"/>
        <v>474662.6992487777</v>
      </c>
      <c r="M48" s="41">
        <v>85</v>
      </c>
      <c r="N48" s="56">
        <f t="shared" si="10"/>
        <v>539932.24911285925</v>
      </c>
      <c r="O48" s="70">
        <f t="shared" si="11"/>
        <v>474662.6992487777</v>
      </c>
    </row>
    <row r="49" spans="1:15">
      <c r="A49" s="41">
        <v>86</v>
      </c>
      <c r="B49" s="56">
        <f t="shared" si="12"/>
        <v>3572.9572408054428</v>
      </c>
      <c r="C49" s="56">
        <f t="shared" si="6"/>
        <v>42875.486889665313</v>
      </c>
      <c r="D49" s="36">
        <f t="shared" si="13"/>
        <v>42874.039908905645</v>
      </c>
      <c r="E49" s="101">
        <f t="shared" si="7"/>
        <v>1.4469807596688042</v>
      </c>
      <c r="F49" s="70">
        <f t="shared" si="14"/>
        <v>557535.48741469812</v>
      </c>
      <c r="G49" s="41">
        <v>86</v>
      </c>
      <c r="H49" s="56">
        <f t="shared" si="17"/>
        <v>5194.7008282650904</v>
      </c>
      <c r="I49" s="56">
        <f t="shared" si="8"/>
        <v>62336.409939181089</v>
      </c>
      <c r="J49" s="97">
        <f t="shared" si="15"/>
        <v>42874.039908905645</v>
      </c>
      <c r="K49" s="101">
        <f t="shared" si="9"/>
        <v>19462.370030275444</v>
      </c>
      <c r="L49" s="97">
        <f t="shared" si="16"/>
        <v>509599.07327456324</v>
      </c>
      <c r="M49" s="41">
        <v>86</v>
      </c>
      <c r="N49" s="56">
        <f t="shared" si="10"/>
        <v>557535.48741469812</v>
      </c>
      <c r="O49" s="70">
        <f t="shared" si="11"/>
        <v>509599.07327456324</v>
      </c>
    </row>
    <row r="50" spans="1:15">
      <c r="A50" s="41">
        <v>87</v>
      </c>
      <c r="B50" s="56">
        <f t="shared" si="12"/>
        <v>3662.2811718255784</v>
      </c>
      <c r="C50" s="56">
        <f t="shared" si="6"/>
        <v>43947.374061906943</v>
      </c>
      <c r="D50" s="36">
        <f t="shared" si="13"/>
        <v>43945.890906628279</v>
      </c>
      <c r="E50" s="101">
        <f t="shared" si="7"/>
        <v>1.4831552786636166</v>
      </c>
      <c r="F50" s="70">
        <f t="shared" si="14"/>
        <v>575712.62745969603</v>
      </c>
      <c r="G50" s="41">
        <v>87</v>
      </c>
      <c r="H50" s="56">
        <f t="shared" si="17"/>
        <v>5324.5683489717176</v>
      </c>
      <c r="I50" s="56">
        <f t="shared" si="8"/>
        <v>63894.820187660611</v>
      </c>
      <c r="J50" s="97">
        <f t="shared" si="15"/>
        <v>43945.890906628279</v>
      </c>
      <c r="K50" s="101">
        <f t="shared" si="9"/>
        <v>19948.929281032331</v>
      </c>
      <c r="L50" s="97">
        <f t="shared" si="16"/>
        <v>546160.93234434631</v>
      </c>
      <c r="M50" s="41">
        <v>87</v>
      </c>
      <c r="N50" s="56">
        <f t="shared" si="10"/>
        <v>575712.62745969603</v>
      </c>
      <c r="O50" s="70">
        <f t="shared" si="11"/>
        <v>546160.93234434631</v>
      </c>
    </row>
    <row r="51" spans="1:15">
      <c r="A51" s="41">
        <v>88</v>
      </c>
      <c r="B51" s="56">
        <f t="shared" si="12"/>
        <v>3753.8382011212175</v>
      </c>
      <c r="C51" s="56">
        <f t="shared" si="6"/>
        <v>45046.058413454608</v>
      </c>
      <c r="D51" s="36">
        <f t="shared" si="13"/>
        <v>45044.538179293981</v>
      </c>
      <c r="E51" s="101">
        <f t="shared" si="7"/>
        <v>1.5202341606272967</v>
      </c>
      <c r="F51" s="70">
        <f t="shared" si="14"/>
        <v>594482.37934904266</v>
      </c>
      <c r="G51" s="41">
        <v>88</v>
      </c>
      <c r="H51" s="56">
        <f t="shared" si="17"/>
        <v>5457.68255769601</v>
      </c>
      <c r="I51" s="56">
        <f t="shared" si="8"/>
        <v>65492.190692352116</v>
      </c>
      <c r="J51" s="97">
        <f t="shared" si="15"/>
        <v>45044.538179293981</v>
      </c>
      <c r="K51" s="101">
        <f t="shared" si="9"/>
        <v>20447.652513058136</v>
      </c>
      <c r="L51" s="97">
        <f t="shared" si="16"/>
        <v>584413.43125183019</v>
      </c>
      <c r="M51" s="41">
        <v>88</v>
      </c>
      <c r="N51" s="56">
        <f t="shared" si="10"/>
        <v>594482.37934904266</v>
      </c>
      <c r="O51" s="70">
        <f t="shared" si="11"/>
        <v>584413.43125183019</v>
      </c>
    </row>
    <row r="52" spans="1:15">
      <c r="A52" s="41">
        <v>89</v>
      </c>
      <c r="B52" s="56">
        <f t="shared" si="12"/>
        <v>3847.6841561492474</v>
      </c>
      <c r="C52" s="56">
        <f t="shared" si="6"/>
        <v>46172.209873790969</v>
      </c>
      <c r="D52" s="36">
        <f t="shared" si="13"/>
        <v>46170.651633776324</v>
      </c>
      <c r="E52" s="101">
        <f t="shared" si="7"/>
        <v>1.55824001464498</v>
      </c>
      <c r="F52" s="70">
        <f t="shared" si="14"/>
        <v>613864.06315583608</v>
      </c>
      <c r="G52" s="41">
        <v>89</v>
      </c>
      <c r="H52" s="56">
        <f t="shared" si="17"/>
        <v>5594.1246216384097</v>
      </c>
      <c r="I52" s="56">
        <f t="shared" si="8"/>
        <v>67129.495459660917</v>
      </c>
      <c r="J52" s="97">
        <f t="shared" si="15"/>
        <v>46170.651633776324</v>
      </c>
      <c r="K52" s="101">
        <f t="shared" si="9"/>
        <v>20958.843825884593</v>
      </c>
      <c r="L52" s="97">
        <f t="shared" si="16"/>
        <v>624424.15293652448</v>
      </c>
      <c r="M52" s="41">
        <v>89</v>
      </c>
      <c r="N52" s="56">
        <f t="shared" si="10"/>
        <v>613864.06315583608</v>
      </c>
      <c r="O52" s="70">
        <f t="shared" si="11"/>
        <v>624424.15293652448</v>
      </c>
    </row>
    <row r="53" spans="1:15">
      <c r="A53" s="41">
        <v>90</v>
      </c>
      <c r="B53" s="56">
        <f t="shared" si="12"/>
        <v>3943.8762600529781</v>
      </c>
      <c r="C53" s="56">
        <f t="shared" si="6"/>
        <v>47326.51512063574</v>
      </c>
      <c r="D53" s="36">
        <f t="shared" si="13"/>
        <v>47324.917924620728</v>
      </c>
      <c r="E53" s="101">
        <f t="shared" si="7"/>
        <v>1.5971960150127416</v>
      </c>
      <c r="F53" s="70">
        <f t="shared" si="14"/>
        <v>633877.62881073134</v>
      </c>
      <c r="G53" s="41">
        <v>90</v>
      </c>
      <c r="H53" s="56">
        <f t="shared" si="17"/>
        <v>5733.9777371793698</v>
      </c>
      <c r="I53" s="56">
        <f t="shared" si="8"/>
        <v>68807.732846152445</v>
      </c>
      <c r="J53" s="97">
        <f t="shared" si="15"/>
        <v>47324.917924620728</v>
      </c>
      <c r="K53" s="101">
        <f t="shared" si="9"/>
        <v>21482.814921531717</v>
      </c>
      <c r="L53" s="97">
        <f t="shared" si="16"/>
        <v>666263.1952437869</v>
      </c>
      <c r="M53" s="41">
        <v>90</v>
      </c>
      <c r="N53" s="56">
        <f t="shared" si="10"/>
        <v>633877.62881073134</v>
      </c>
      <c r="O53" s="70">
        <f t="shared" si="11"/>
        <v>666263.1952437869</v>
      </c>
    </row>
    <row r="54" spans="1:15">
      <c r="A54" s="41">
        <v>91</v>
      </c>
      <c r="B54" s="56">
        <f t="shared" si="12"/>
        <v>4042.4731665543022</v>
      </c>
      <c r="C54" s="56">
        <f t="shared" si="6"/>
        <v>48509.677998651627</v>
      </c>
      <c r="D54" s="36">
        <f t="shared" si="13"/>
        <v>48508.040872736245</v>
      </c>
      <c r="E54" s="101">
        <f t="shared" si="7"/>
        <v>1.6371259153820574</v>
      </c>
      <c r="F54" s="70">
        <f t="shared" si="14"/>
        <v>654543.67663587653</v>
      </c>
      <c r="G54" s="41">
        <v>91</v>
      </c>
      <c r="H54" s="56">
        <f t="shared" si="17"/>
        <v>5877.3271806088533</v>
      </c>
      <c r="I54" s="56">
        <f t="shared" si="8"/>
        <v>70527.926167306243</v>
      </c>
      <c r="J54" s="97">
        <f t="shared" si="15"/>
        <v>48508.040872736245</v>
      </c>
      <c r="K54" s="101">
        <f t="shared" si="9"/>
        <v>22019.885294569998</v>
      </c>
      <c r="L54" s="97">
        <f t="shared" si="16"/>
        <v>710003.26070330432</v>
      </c>
      <c r="M54" s="41">
        <v>91</v>
      </c>
      <c r="N54" s="56">
        <f t="shared" si="10"/>
        <v>654543.67663587653</v>
      </c>
      <c r="O54" s="70">
        <f t="shared" si="11"/>
        <v>710003.26070330432</v>
      </c>
    </row>
    <row r="55" spans="1:15">
      <c r="A55" s="41">
        <v>92</v>
      </c>
      <c r="B55" s="56">
        <f t="shared" si="12"/>
        <v>4143.5349957181597</v>
      </c>
      <c r="C55" s="56">
        <f t="shared" si="6"/>
        <v>49722.419948617913</v>
      </c>
      <c r="D55" s="36">
        <f t="shared" si="13"/>
        <v>49720.741894554645</v>
      </c>
      <c r="E55" s="101">
        <f t="shared" si="7"/>
        <v>1.6780540632680641</v>
      </c>
      <c r="F55" s="70">
        <f t="shared" si="14"/>
        <v>675883.47854826937</v>
      </c>
      <c r="G55" s="41">
        <v>92</v>
      </c>
      <c r="H55" s="56">
        <f t="shared" si="17"/>
        <v>6024.2603601240744</v>
      </c>
      <c r="I55" s="56">
        <f t="shared" si="8"/>
        <v>72291.124321488896</v>
      </c>
      <c r="J55" s="97">
        <f t="shared" si="15"/>
        <v>49720.741894554645</v>
      </c>
      <c r="K55" s="101">
        <f t="shared" si="9"/>
        <v>22570.382426934251</v>
      </c>
      <c r="L55" s="97">
        <f t="shared" si="16"/>
        <v>755719.7494291662</v>
      </c>
      <c r="M55" s="41">
        <v>92</v>
      </c>
      <c r="N55" s="56">
        <f t="shared" si="10"/>
        <v>675883.47854826937</v>
      </c>
      <c r="O55" s="70">
        <f t="shared" si="11"/>
        <v>755719.7494291662</v>
      </c>
    </row>
    <row r="56" spans="1:15">
      <c r="A56" s="41">
        <v>93</v>
      </c>
      <c r="B56" s="56">
        <f t="shared" si="12"/>
        <v>4247.1233706111134</v>
      </c>
      <c r="C56" s="56">
        <f t="shared" si="6"/>
        <v>50965.480447333364</v>
      </c>
      <c r="D56" s="36">
        <f t="shared" si="13"/>
        <v>50963.760441918508</v>
      </c>
      <c r="E56" s="101">
        <f t="shared" si="7"/>
        <v>1.7200054148561321</v>
      </c>
      <c r="F56" s="70">
        <f t="shared" si="14"/>
        <v>697918.99995435774</v>
      </c>
      <c r="G56" s="41">
        <v>93</v>
      </c>
      <c r="H56" s="56">
        <f t="shared" si="17"/>
        <v>6174.866869127176</v>
      </c>
      <c r="I56" s="56">
        <f t="shared" si="8"/>
        <v>74098.402429526119</v>
      </c>
      <c r="J56" s="97">
        <f t="shared" si="15"/>
        <v>50963.760441918508</v>
      </c>
      <c r="K56" s="101">
        <f t="shared" si="9"/>
        <v>23134.641987607611</v>
      </c>
      <c r="L56" s="97">
        <f t="shared" si="16"/>
        <v>803490.85524816462</v>
      </c>
      <c r="M56" s="41">
        <v>93</v>
      </c>
      <c r="N56" s="56">
        <f t="shared" si="10"/>
        <v>697918.99995435774</v>
      </c>
      <c r="O56" s="70">
        <f t="shared" si="11"/>
        <v>803490.85524816462</v>
      </c>
    </row>
    <row r="57" spans="1:15">
      <c r="A57" s="41">
        <v>94</v>
      </c>
      <c r="B57" s="56">
        <f t="shared" si="12"/>
        <v>4353.3014548763913</v>
      </c>
      <c r="C57" s="56">
        <f t="shared" si="6"/>
        <v>52239.617458516695</v>
      </c>
      <c r="D57" s="36">
        <f t="shared" si="13"/>
        <v>52237.854452966465</v>
      </c>
      <c r="E57" s="101">
        <f t="shared" si="7"/>
        <v>1.7630055502304458</v>
      </c>
      <c r="F57" s="70">
        <f t="shared" si="14"/>
        <v>720672.92235841998</v>
      </c>
      <c r="G57" s="41">
        <v>94</v>
      </c>
      <c r="H57" s="56">
        <f t="shared" si="17"/>
        <v>6329.2385408553546</v>
      </c>
      <c r="I57" s="56">
        <f t="shared" si="8"/>
        <v>75950.862490264262</v>
      </c>
      <c r="J57" s="97">
        <f t="shared" si="15"/>
        <v>52237.854452966465</v>
      </c>
      <c r="K57" s="101">
        <f t="shared" si="9"/>
        <v>23713.008037297797</v>
      </c>
      <c r="L57" s="97">
        <f t="shared" si="16"/>
        <v>853397.66516655253</v>
      </c>
      <c r="M57" s="41">
        <v>94</v>
      </c>
      <c r="N57" s="56">
        <f t="shared" si="10"/>
        <v>720672.92235841998</v>
      </c>
      <c r="O57" s="70">
        <f t="shared" si="11"/>
        <v>853397.66516655253</v>
      </c>
    </row>
    <row r="58" spans="1:15">
      <c r="A58" s="41">
        <v>95</v>
      </c>
      <c r="B58" s="56">
        <f t="shared" si="12"/>
        <v>4462.1339912483008</v>
      </c>
      <c r="C58" s="56">
        <f t="shared" si="6"/>
        <v>53545.607894979606</v>
      </c>
      <c r="D58" s="36">
        <f t="shared" si="13"/>
        <v>53543.800814290626</v>
      </c>
      <c r="E58" s="101">
        <f t="shared" si="7"/>
        <v>1.8070806889809319</v>
      </c>
      <c r="F58" s="70">
        <f t="shared" si="14"/>
        <v>744168.66670799349</v>
      </c>
      <c r="G58" s="41">
        <v>95</v>
      </c>
      <c r="H58" s="56">
        <f t="shared" si="17"/>
        <v>6487.4695043767379</v>
      </c>
      <c r="I58" s="56">
        <f t="shared" si="8"/>
        <v>77849.634052520851</v>
      </c>
      <c r="J58" s="97">
        <f t="shared" si="15"/>
        <v>53543.800814290626</v>
      </c>
      <c r="K58" s="101">
        <f t="shared" si="9"/>
        <v>24305.833238230225</v>
      </c>
      <c r="L58" s="97">
        <f t="shared" si="16"/>
        <v>905524.26228921232</v>
      </c>
      <c r="M58" s="41">
        <v>95</v>
      </c>
      <c r="N58" s="56">
        <f t="shared" si="10"/>
        <v>744168.66670799349</v>
      </c>
      <c r="O58" s="70">
        <f t="shared" si="11"/>
        <v>905524.26228921232</v>
      </c>
    </row>
    <row r="59" spans="1:15">
      <c r="A59" s="41">
        <v>96</v>
      </c>
      <c r="B59" s="56">
        <f t="shared" si="12"/>
        <v>4573.6873410295084</v>
      </c>
      <c r="C59" s="56">
        <f t="shared" si="6"/>
        <v>54884.248092354101</v>
      </c>
      <c r="D59" s="36">
        <f t="shared" si="13"/>
        <v>54882.395834647883</v>
      </c>
      <c r="E59" s="101">
        <f t="shared" si="7"/>
        <v>1.8522577062176424</v>
      </c>
      <c r="F59" s="70">
        <f t="shared" si="14"/>
        <v>768430.41750038031</v>
      </c>
      <c r="G59" s="41">
        <v>96</v>
      </c>
      <c r="H59" s="56">
        <f t="shared" si="17"/>
        <v>6649.6562419861557</v>
      </c>
      <c r="I59" s="56">
        <f t="shared" si="8"/>
        <v>79795.874903833872</v>
      </c>
      <c r="J59" s="97">
        <f t="shared" si="15"/>
        <v>54882.395834647883</v>
      </c>
      <c r="K59" s="101">
        <f t="shared" si="9"/>
        <v>24913.479069185989</v>
      </c>
      <c r="L59" s="97">
        <f t="shared" si="16"/>
        <v>959957.83230902662</v>
      </c>
      <c r="M59" s="41">
        <v>96</v>
      </c>
      <c r="N59" s="56">
        <f t="shared" si="10"/>
        <v>768430.41750038031</v>
      </c>
      <c r="O59" s="70">
        <f t="shared" si="11"/>
        <v>959957.83230902662</v>
      </c>
    </row>
    <row r="60" spans="1:15">
      <c r="A60" s="41">
        <v>97</v>
      </c>
      <c r="B60" s="56">
        <f t="shared" si="12"/>
        <v>4688.0295245552461</v>
      </c>
      <c r="C60" s="56">
        <f t="shared" si="6"/>
        <v>56256.354294662953</v>
      </c>
      <c r="D60" s="36">
        <f t="shared" si="13"/>
        <v>56254.455730514077</v>
      </c>
      <c r="E60" s="101">
        <f t="shared" si="7"/>
        <v>1.8985641488761758</v>
      </c>
      <c r="F60" s="70">
        <f t="shared" si="14"/>
        <v>793483.14767504157</v>
      </c>
      <c r="G60" s="41">
        <v>97</v>
      </c>
      <c r="H60" s="56">
        <f t="shared" si="17"/>
        <v>6815.8976480358087</v>
      </c>
      <c r="I60" s="56">
        <f t="shared" si="8"/>
        <v>81790.771776429698</v>
      </c>
      <c r="J60" s="97">
        <f t="shared" si="15"/>
        <v>56254.455730514077</v>
      </c>
      <c r="K60" s="101">
        <f t="shared" si="9"/>
        <v>25536.316045915621</v>
      </c>
      <c r="L60" s="97">
        <f t="shared" si="16"/>
        <v>1016788.7736882165</v>
      </c>
      <c r="M60" s="41">
        <v>97</v>
      </c>
      <c r="N60" s="56">
        <f t="shared" si="10"/>
        <v>793483.14767504157</v>
      </c>
      <c r="O60" s="70">
        <f t="shared" si="11"/>
        <v>1016788.7736882165</v>
      </c>
    </row>
    <row r="61" spans="1:15">
      <c r="A61" s="41">
        <v>98</v>
      </c>
      <c r="B61" s="56">
        <f t="shared" si="12"/>
        <v>4805.2302626691271</v>
      </c>
      <c r="C61" s="56">
        <f t="shared" si="6"/>
        <v>57662.763152029525</v>
      </c>
      <c r="D61" s="36">
        <f t="shared" si="13"/>
        <v>57660.817123776927</v>
      </c>
      <c r="E61" s="101">
        <f t="shared" si="7"/>
        <v>1.9460282525978982</v>
      </c>
      <c r="F61" s="70">
        <f t="shared" si="14"/>
        <v>819352.64431750053</v>
      </c>
      <c r="G61" s="41">
        <v>98</v>
      </c>
      <c r="H61" s="56">
        <f t="shared" si="17"/>
        <v>6986.2950892367035</v>
      </c>
      <c r="I61" s="56">
        <f t="shared" si="8"/>
        <v>83835.541070840438</v>
      </c>
      <c r="J61" s="97">
        <f t="shared" si="15"/>
        <v>57660.817123776927</v>
      </c>
      <c r="K61" s="101">
        <f t="shared" si="9"/>
        <v>26174.72394706351</v>
      </c>
      <c r="L61" s="97">
        <f t="shared" si="16"/>
        <v>1076110.8116575158</v>
      </c>
      <c r="M61" s="41">
        <v>98</v>
      </c>
      <c r="N61" s="56">
        <f t="shared" si="10"/>
        <v>819352.64431750053</v>
      </c>
      <c r="O61" s="70">
        <f t="shared" si="11"/>
        <v>1076110.8116575158</v>
      </c>
    </row>
    <row r="62" spans="1:15">
      <c r="A62" s="41">
        <v>99</v>
      </c>
      <c r="B62" s="56">
        <f t="shared" si="12"/>
        <v>4925.3610192358547</v>
      </c>
      <c r="C62" s="56">
        <f t="shared" si="6"/>
        <v>59104.33223083026</v>
      </c>
      <c r="D62" s="36">
        <f t="shared" si="13"/>
        <v>59102.337551871344</v>
      </c>
      <c r="E62" s="101">
        <f t="shared" si="7"/>
        <v>1.9946789589157561</v>
      </c>
      <c r="F62" s="70">
        <f t="shared" si="14"/>
        <v>846065.53520120995</v>
      </c>
      <c r="G62" s="41">
        <v>99</v>
      </c>
      <c r="H62" s="56">
        <f t="shared" si="17"/>
        <v>7160.9524664676201</v>
      </c>
      <c r="I62" s="56">
        <f t="shared" si="8"/>
        <v>85931.429597611437</v>
      </c>
      <c r="J62" s="97">
        <f t="shared" si="15"/>
        <v>59102.337551871344</v>
      </c>
      <c r="K62" s="101">
        <f t="shared" si="9"/>
        <v>26829.092045740093</v>
      </c>
      <c r="L62" s="97">
        <f t="shared" si="16"/>
        <v>1138021.1161632908</v>
      </c>
      <c r="M62" s="41">
        <v>99</v>
      </c>
      <c r="N62" s="56">
        <f t="shared" si="10"/>
        <v>846065.53520120995</v>
      </c>
      <c r="O62" s="70">
        <f t="shared" si="11"/>
        <v>1138021.1161632908</v>
      </c>
    </row>
    <row r="63" spans="1:15" ht="15.75" thickBot="1">
      <c r="A63" s="43">
        <v>100</v>
      </c>
      <c r="B63" s="59">
        <f t="shared" si="12"/>
        <v>5048.4950447167503</v>
      </c>
      <c r="C63" s="59">
        <f t="shared" si="6"/>
        <v>60581.940536601003</v>
      </c>
      <c r="D63" s="36">
        <f t="shared" si="13"/>
        <v>60579.895990668119</v>
      </c>
      <c r="E63" s="101">
        <f t="shared" si="7"/>
        <v>2.0445459328839206</v>
      </c>
      <c r="F63" s="70">
        <f t="shared" si="14"/>
        <v>873649.31619470229</v>
      </c>
      <c r="G63" s="43">
        <v>100</v>
      </c>
      <c r="H63" s="59">
        <f t="shared" si="17"/>
        <v>7339.9762781293102</v>
      </c>
      <c r="I63" s="59">
        <f t="shared" si="8"/>
        <v>88079.715337551723</v>
      </c>
      <c r="J63" s="97">
        <f t="shared" si="15"/>
        <v>60579.895990668119</v>
      </c>
      <c r="K63" s="101">
        <f t="shared" si="9"/>
        <v>27499.819346883603</v>
      </c>
      <c r="L63" s="97">
        <f t="shared" si="16"/>
        <v>1202620.4238970976</v>
      </c>
      <c r="M63" s="43">
        <v>100</v>
      </c>
      <c r="N63" s="59">
        <f t="shared" si="10"/>
        <v>873649.31619470229</v>
      </c>
      <c r="O63" s="71">
        <f t="shared" si="11"/>
        <v>1202620.4238970976</v>
      </c>
    </row>
    <row r="73" spans="1:24" ht="15.75" thickBot="1"/>
    <row r="74" spans="1:24" ht="15.75" thickBot="1">
      <c r="A74" s="95" t="s">
        <v>154</v>
      </c>
      <c r="J74" t="s">
        <v>158</v>
      </c>
    </row>
    <row r="75" spans="1:24" ht="45.75" thickBot="1">
      <c r="A75" s="39" t="s">
        <v>133</v>
      </c>
      <c r="B75" s="72" t="s">
        <v>155</v>
      </c>
      <c r="C75" s="96" t="s">
        <v>156</v>
      </c>
      <c r="D75" s="99" t="s">
        <v>159</v>
      </c>
      <c r="E75" s="100" t="s">
        <v>160</v>
      </c>
      <c r="F75" s="98" t="s">
        <v>166</v>
      </c>
      <c r="G75" s="96" t="s">
        <v>168</v>
      </c>
      <c r="H75" s="69" t="s">
        <v>157</v>
      </c>
      <c r="J75" s="76" t="s">
        <v>133</v>
      </c>
      <c r="K75" s="50" t="s">
        <v>155</v>
      </c>
      <c r="L75" s="103" t="s">
        <v>156</v>
      </c>
      <c r="M75" s="50" t="s">
        <v>162</v>
      </c>
      <c r="N75" s="104" t="s">
        <v>160</v>
      </c>
      <c r="O75" s="105" t="s">
        <v>166</v>
      </c>
      <c r="P75" s="105" t="s">
        <v>169</v>
      </c>
      <c r="Q75" s="106" t="s">
        <v>157</v>
      </c>
    </row>
    <row r="76" spans="1:24">
      <c r="A76" s="41">
        <v>62</v>
      </c>
      <c r="B76" s="56">
        <f>B12</f>
        <v>1975.3999999999999</v>
      </c>
      <c r="C76" s="56">
        <f>B25*12</f>
        <v>23704.799999999999</v>
      </c>
      <c r="D76" s="56">
        <f>$G$15</f>
        <v>2167.5</v>
      </c>
      <c r="E76" s="56">
        <f>D76*12</f>
        <v>26010</v>
      </c>
      <c r="F76" s="97">
        <f>$B$9</f>
        <v>23704</v>
      </c>
      <c r="G76" s="97">
        <f>(E76+C76)-F76</f>
        <v>26010.800000000003</v>
      </c>
      <c r="H76" s="94">
        <f>$H$4*(1+$B$5)+G76</f>
        <v>284160.8</v>
      </c>
      <c r="J76" s="61">
        <v>62</v>
      </c>
      <c r="K76" s="62">
        <v>0</v>
      </c>
      <c r="L76" s="62">
        <f>K76*12</f>
        <v>0</v>
      </c>
      <c r="M76" s="62">
        <f>D76</f>
        <v>2167.5</v>
      </c>
      <c r="N76" s="62">
        <f>M76*12</f>
        <v>26010</v>
      </c>
      <c r="O76" s="101">
        <f>B9</f>
        <v>23704</v>
      </c>
      <c r="P76" s="101">
        <f>(L76+N76)-O76</f>
        <v>2306</v>
      </c>
      <c r="Q76" s="102">
        <f>($H$4)*(1+$B$5)+N76+P76-C76</f>
        <v>262761.2</v>
      </c>
      <c r="X76" t="str">
        <f>"Compare Saving of Married Frank and Bill at rate of return of " &amp; B5*100 &amp; "% and Cola of " &amp; B4*100 &amp; "% " &amp; "Yearly Expenses = $" &amp; B9</f>
        <v>Compare Saving of Married Frank and Bill at rate of return of 3.26% and Cola of 2.5% Yearly Expenses = $23704</v>
      </c>
    </row>
    <row r="77" spans="1:24">
      <c r="A77" s="41">
        <v>63</v>
      </c>
      <c r="B77" s="56">
        <f>B76*(1+$B$4)</f>
        <v>2024.7849999999996</v>
      </c>
      <c r="C77" s="56">
        <f>B26*12</f>
        <v>24297.419999999995</v>
      </c>
      <c r="D77" s="56">
        <f>D76*(1+$B$4)</f>
        <v>2221.6875</v>
      </c>
      <c r="E77" s="56">
        <f>D77*12</f>
        <v>26660.25</v>
      </c>
      <c r="F77" s="97">
        <f>F76*(1+$B$4)</f>
        <v>24296.6</v>
      </c>
      <c r="G77" s="97">
        <f t="shared" ref="G77:G114" si="18">(E77+C77)-F77</f>
        <v>26661.07</v>
      </c>
      <c r="H77" s="94">
        <f>H76*(1+$B$5)+G77</f>
        <v>320085.51207999996</v>
      </c>
      <c r="J77" s="41">
        <v>63</v>
      </c>
      <c r="K77" s="56">
        <v>0</v>
      </c>
      <c r="L77" s="56">
        <f t="shared" ref="L77:L114" si="19">K77*12</f>
        <v>0</v>
      </c>
      <c r="M77" s="56">
        <f>M76*(1+$B$4)</f>
        <v>2221.6875</v>
      </c>
      <c r="N77" s="56">
        <f t="shared" ref="N77:N114" si="20">M77*12</f>
        <v>26660.25</v>
      </c>
      <c r="O77" s="97">
        <f>O76*(1+$B$4)</f>
        <v>24296.6</v>
      </c>
      <c r="P77" s="101">
        <f t="shared" ref="P77:P114" si="21">(L77+N77)-O77</f>
        <v>2363.6500000000015</v>
      </c>
      <c r="Q77" s="102">
        <f>Q76*(1+$B$5)+P77</f>
        <v>273690.86512000003</v>
      </c>
      <c r="R77" s="23"/>
    </row>
    <row r="78" spans="1:24">
      <c r="A78" s="41">
        <v>64</v>
      </c>
      <c r="B78" s="56">
        <f t="shared" ref="B78:B114" si="22">B77*(1+$B$4)</f>
        <v>2075.4046249999992</v>
      </c>
      <c r="C78" s="56">
        <f t="shared" ref="C78:C114" si="23">B27*12</f>
        <v>24904.855499999991</v>
      </c>
      <c r="D78" s="56">
        <f t="shared" ref="D78:D114" si="24">D77*(1+$B$4)</f>
        <v>2277.2296874999997</v>
      </c>
      <c r="E78" s="56">
        <f t="shared" ref="E78:E114" si="25">D78*12</f>
        <v>27326.756249999999</v>
      </c>
      <c r="F78" s="97">
        <f t="shared" ref="F78:F114" si="26">F77*(1+$B$4)</f>
        <v>24904.014999999996</v>
      </c>
      <c r="G78" s="97">
        <f t="shared" si="18"/>
        <v>27327.596749999993</v>
      </c>
      <c r="H78" s="94">
        <f t="shared" ref="H78:H114" si="27">H77*(1+$B$5)+G78</f>
        <v>357847.8965238079</v>
      </c>
      <c r="J78" s="41">
        <v>64</v>
      </c>
      <c r="K78" s="56">
        <v>0</v>
      </c>
      <c r="L78" s="56">
        <f t="shared" si="19"/>
        <v>0</v>
      </c>
      <c r="M78" s="56">
        <f t="shared" ref="M78:M114" si="28">M77*(1+$B$4)</f>
        <v>2277.2296874999997</v>
      </c>
      <c r="N78" s="56">
        <f t="shared" si="20"/>
        <v>27326.756249999999</v>
      </c>
      <c r="O78" s="97">
        <f t="shared" ref="O78:O114" si="29">O77*(1+$B$4)</f>
        <v>24904.014999999996</v>
      </c>
      <c r="P78" s="101">
        <f t="shared" si="21"/>
        <v>2422.7412500000028</v>
      </c>
      <c r="Q78" s="102">
        <f t="shared" ref="Q78:Q114" si="30">Q77*(1+$B$5)+P78</f>
        <v>285035.92857291206</v>
      </c>
    </row>
    <row r="79" spans="1:24">
      <c r="A79" s="41">
        <v>65</v>
      </c>
      <c r="B79" s="56">
        <f t="shared" si="22"/>
        <v>2127.289740624999</v>
      </c>
      <c r="C79" s="56">
        <f t="shared" si="23"/>
        <v>25527.476887499986</v>
      </c>
      <c r="D79" s="56">
        <f t="shared" si="24"/>
        <v>2334.1604296874993</v>
      </c>
      <c r="E79" s="56">
        <f t="shared" si="25"/>
        <v>28009.925156249992</v>
      </c>
      <c r="F79" s="97">
        <f t="shared" si="26"/>
        <v>25526.615374999994</v>
      </c>
      <c r="G79" s="97">
        <f t="shared" si="18"/>
        <v>28010.786668749985</v>
      </c>
      <c r="H79" s="94">
        <f t="shared" si="27"/>
        <v>397524.52461923403</v>
      </c>
      <c r="J79" s="41">
        <v>65</v>
      </c>
      <c r="K79" s="56">
        <v>0</v>
      </c>
      <c r="L79" s="56">
        <f t="shared" si="19"/>
        <v>0</v>
      </c>
      <c r="M79" s="56">
        <f t="shared" si="28"/>
        <v>2334.1604296874993</v>
      </c>
      <c r="N79" s="56">
        <f t="shared" si="20"/>
        <v>28009.925156249992</v>
      </c>
      <c r="O79" s="97">
        <f t="shared" si="29"/>
        <v>25526.615374999994</v>
      </c>
      <c r="P79" s="101">
        <f t="shared" si="21"/>
        <v>2483.3097812499982</v>
      </c>
      <c r="Q79" s="102">
        <f t="shared" si="30"/>
        <v>296811.40962563897</v>
      </c>
    </row>
    <row r="80" spans="1:24">
      <c r="A80" s="41">
        <v>66</v>
      </c>
      <c r="B80" s="56">
        <f t="shared" si="22"/>
        <v>2180.4719841406236</v>
      </c>
      <c r="C80" s="56">
        <f t="shared" si="23"/>
        <v>26165.663809687481</v>
      </c>
      <c r="D80" s="56">
        <f t="shared" si="24"/>
        <v>2392.5144404296866</v>
      </c>
      <c r="E80" s="56">
        <f t="shared" si="25"/>
        <v>28710.173285156241</v>
      </c>
      <c r="F80" s="97">
        <f t="shared" si="26"/>
        <v>26164.780759374993</v>
      </c>
      <c r="G80" s="97">
        <f t="shared" si="18"/>
        <v>28711.056335468729</v>
      </c>
      <c r="H80" s="94">
        <f t="shared" si="27"/>
        <v>439194.88045728975</v>
      </c>
      <c r="J80" s="41">
        <v>66</v>
      </c>
      <c r="K80" s="56">
        <v>0</v>
      </c>
      <c r="L80" s="56">
        <f t="shared" si="19"/>
        <v>0</v>
      </c>
      <c r="M80" s="56">
        <f t="shared" si="28"/>
        <v>2392.5144404296866</v>
      </c>
      <c r="N80" s="56">
        <f t="shared" si="20"/>
        <v>28710.173285156241</v>
      </c>
      <c r="O80" s="97">
        <f t="shared" si="29"/>
        <v>26164.780759374993</v>
      </c>
      <c r="P80" s="101">
        <f t="shared" si="21"/>
        <v>2545.392525781248</v>
      </c>
      <c r="Q80" s="102">
        <f t="shared" si="30"/>
        <v>309032.85410521604</v>
      </c>
    </row>
    <row r="81" spans="1:17">
      <c r="A81" s="41">
        <v>67</v>
      </c>
      <c r="B81" s="56">
        <f t="shared" si="22"/>
        <v>2234.9837837441391</v>
      </c>
      <c r="C81" s="56">
        <f t="shared" si="23"/>
        <v>26819.80540492967</v>
      </c>
      <c r="D81" s="56">
        <f t="shared" si="24"/>
        <v>2452.3273014404285</v>
      </c>
      <c r="E81" s="56">
        <f t="shared" si="25"/>
        <v>29427.927617285142</v>
      </c>
      <c r="F81" s="97">
        <f t="shared" si="26"/>
        <v>26818.900278359364</v>
      </c>
      <c r="G81" s="97">
        <f t="shared" si="18"/>
        <v>29428.832743855452</v>
      </c>
      <c r="H81" s="94">
        <f t="shared" si="27"/>
        <v>482941.4663040528</v>
      </c>
      <c r="J81" s="41">
        <v>67</v>
      </c>
      <c r="K81" s="56">
        <v>0</v>
      </c>
      <c r="L81" s="56">
        <f t="shared" si="19"/>
        <v>0</v>
      </c>
      <c r="M81" s="56">
        <f t="shared" si="28"/>
        <v>2452.3273014404285</v>
      </c>
      <c r="N81" s="56">
        <f t="shared" si="20"/>
        <v>29427.927617285142</v>
      </c>
      <c r="O81" s="97">
        <f t="shared" si="29"/>
        <v>26818.900278359364</v>
      </c>
      <c r="P81" s="101">
        <f t="shared" si="21"/>
        <v>2609.0273389257782</v>
      </c>
      <c r="Q81" s="102">
        <f t="shared" si="30"/>
        <v>321716.35248797189</v>
      </c>
    </row>
    <row r="82" spans="1:17">
      <c r="A82" s="41">
        <v>68</v>
      </c>
      <c r="B82" s="56">
        <f t="shared" si="22"/>
        <v>2290.8583783377426</v>
      </c>
      <c r="C82" s="56">
        <f t="shared" si="23"/>
        <v>27490.300540052911</v>
      </c>
      <c r="D82" s="56">
        <f t="shared" si="24"/>
        <v>2513.635483976439</v>
      </c>
      <c r="E82" s="56">
        <f t="shared" si="25"/>
        <v>30163.625807717268</v>
      </c>
      <c r="F82" s="97">
        <f t="shared" si="26"/>
        <v>27489.372785318345</v>
      </c>
      <c r="G82" s="97">
        <f t="shared" si="18"/>
        <v>30164.553562451831</v>
      </c>
      <c r="H82" s="94">
        <f t="shared" si="27"/>
        <v>528849.91166801669</v>
      </c>
      <c r="J82" s="41">
        <v>68</v>
      </c>
      <c r="K82" s="56">
        <v>0</v>
      </c>
      <c r="L82" s="56">
        <f t="shared" si="19"/>
        <v>0</v>
      </c>
      <c r="M82" s="56">
        <f t="shared" si="28"/>
        <v>2513.635483976439</v>
      </c>
      <c r="N82" s="56">
        <f t="shared" si="20"/>
        <v>30163.625807717268</v>
      </c>
      <c r="O82" s="97">
        <f t="shared" si="29"/>
        <v>27489.372785318345</v>
      </c>
      <c r="P82" s="101">
        <f t="shared" si="21"/>
        <v>2674.2530223989233</v>
      </c>
      <c r="Q82" s="102">
        <f t="shared" si="30"/>
        <v>334878.5586014787</v>
      </c>
    </row>
    <row r="83" spans="1:17">
      <c r="A83" s="41">
        <v>69</v>
      </c>
      <c r="B83" s="56">
        <f t="shared" si="22"/>
        <v>2348.1298377961862</v>
      </c>
      <c r="C83" s="56">
        <f t="shared" si="23"/>
        <v>28177.558053554232</v>
      </c>
      <c r="D83" s="56">
        <f t="shared" si="24"/>
        <v>2576.4763710758498</v>
      </c>
      <c r="E83" s="56">
        <f t="shared" si="25"/>
        <v>30917.716452910197</v>
      </c>
      <c r="F83" s="97">
        <f t="shared" si="26"/>
        <v>28176.607104951301</v>
      </c>
      <c r="G83" s="97">
        <f t="shared" si="18"/>
        <v>30918.667401513125</v>
      </c>
      <c r="H83" s="94">
        <f t="shared" si="27"/>
        <v>577009.08618990704</v>
      </c>
      <c r="J83" s="41">
        <v>69</v>
      </c>
      <c r="K83" s="56">
        <v>0</v>
      </c>
      <c r="L83" s="56">
        <f t="shared" si="19"/>
        <v>0</v>
      </c>
      <c r="M83" s="56">
        <f t="shared" si="28"/>
        <v>2576.4763710758498</v>
      </c>
      <c r="N83" s="56">
        <f t="shared" si="20"/>
        <v>30917.716452910197</v>
      </c>
      <c r="O83" s="97">
        <f t="shared" si="29"/>
        <v>28176.607104951301</v>
      </c>
      <c r="P83" s="101">
        <f t="shared" si="21"/>
        <v>2741.1093479588963</v>
      </c>
      <c r="Q83" s="102">
        <f t="shared" si="30"/>
        <v>348536.70895984577</v>
      </c>
    </row>
    <row r="84" spans="1:17">
      <c r="A84" s="41">
        <v>70</v>
      </c>
      <c r="B84" s="56">
        <f t="shared" si="22"/>
        <v>2406.8330837410908</v>
      </c>
      <c r="C84" s="56">
        <f t="shared" si="23"/>
        <v>28881.997004893092</v>
      </c>
      <c r="D84" s="56">
        <f t="shared" si="24"/>
        <v>2640.8882803527458</v>
      </c>
      <c r="E84" s="56">
        <f t="shared" si="25"/>
        <v>31690.65936423295</v>
      </c>
      <c r="F84" s="97">
        <f t="shared" si="26"/>
        <v>28881.022282575082</v>
      </c>
      <c r="G84" s="97">
        <f t="shared" si="18"/>
        <v>31691.634086550956</v>
      </c>
      <c r="H84" s="94">
        <f t="shared" si="27"/>
        <v>627511.21648624889</v>
      </c>
      <c r="J84" s="41">
        <v>70</v>
      </c>
      <c r="K84" s="56">
        <f>B20</f>
        <v>3499.28</v>
      </c>
      <c r="L84" s="56">
        <f t="shared" si="19"/>
        <v>41991.360000000001</v>
      </c>
      <c r="M84" s="56">
        <f t="shared" si="28"/>
        <v>2640.8882803527458</v>
      </c>
      <c r="N84" s="56">
        <f t="shared" si="20"/>
        <v>31690.65936423295</v>
      </c>
      <c r="O84" s="97">
        <f t="shared" si="29"/>
        <v>28881.022282575082</v>
      </c>
      <c r="P84" s="101">
        <f t="shared" si="21"/>
        <v>44800.997081657872</v>
      </c>
      <c r="Q84" s="102">
        <f t="shared" si="30"/>
        <v>404700.0027535946</v>
      </c>
    </row>
    <row r="85" spans="1:17">
      <c r="A85" s="41">
        <v>71</v>
      </c>
      <c r="B85" s="56">
        <f t="shared" si="22"/>
        <v>2467.0039108346177</v>
      </c>
      <c r="C85" s="56">
        <f t="shared" si="23"/>
        <v>29604.046930015415</v>
      </c>
      <c r="D85" s="56">
        <f t="shared" si="24"/>
        <v>2706.9104873615643</v>
      </c>
      <c r="E85" s="56">
        <f t="shared" si="25"/>
        <v>32482.925848338771</v>
      </c>
      <c r="F85" s="97">
        <f t="shared" si="26"/>
        <v>29603.047839639457</v>
      </c>
      <c r="G85" s="97">
        <f t="shared" si="18"/>
        <v>32483.924938714732</v>
      </c>
      <c r="H85" s="94">
        <f t="shared" si="27"/>
        <v>680452.00708241528</v>
      </c>
      <c r="J85" s="41">
        <v>71</v>
      </c>
      <c r="K85" s="56">
        <f t="shared" ref="K85:K114" si="31">K84*(1+$B$4)</f>
        <v>3586.7619999999997</v>
      </c>
      <c r="L85" s="56">
        <f t="shared" si="19"/>
        <v>43041.144</v>
      </c>
      <c r="M85" s="56">
        <f t="shared" si="28"/>
        <v>2706.9104873615643</v>
      </c>
      <c r="N85" s="56">
        <f t="shared" si="20"/>
        <v>32482.925848338771</v>
      </c>
      <c r="O85" s="97">
        <f t="shared" si="29"/>
        <v>29603.047839639457</v>
      </c>
      <c r="P85" s="101">
        <f t="shared" si="21"/>
        <v>45921.022008699307</v>
      </c>
      <c r="Q85" s="102">
        <f t="shared" si="30"/>
        <v>463814.24485206109</v>
      </c>
    </row>
    <row r="86" spans="1:17">
      <c r="A86" s="41">
        <v>72</v>
      </c>
      <c r="B86" s="56">
        <f t="shared" si="22"/>
        <v>2528.679008605483</v>
      </c>
      <c r="C86" s="56">
        <f t="shared" si="23"/>
        <v>30344.148103265798</v>
      </c>
      <c r="D86" s="56">
        <f t="shared" si="24"/>
        <v>2774.5832495456029</v>
      </c>
      <c r="E86" s="56">
        <f t="shared" si="25"/>
        <v>33294.998994547233</v>
      </c>
      <c r="F86" s="97">
        <f t="shared" si="26"/>
        <v>30343.124035630441</v>
      </c>
      <c r="G86" s="97">
        <f t="shared" si="18"/>
        <v>33296.02306218259</v>
      </c>
      <c r="H86" s="94">
        <f t="shared" si="27"/>
        <v>735930.76557548461</v>
      </c>
      <c r="J86" s="41">
        <v>72</v>
      </c>
      <c r="K86" s="56">
        <f t="shared" si="31"/>
        <v>3676.4310499999992</v>
      </c>
      <c r="L86" s="56">
        <f t="shared" si="19"/>
        <v>44117.172599999991</v>
      </c>
      <c r="M86" s="56">
        <f t="shared" si="28"/>
        <v>2774.5832495456029</v>
      </c>
      <c r="N86" s="56">
        <f t="shared" si="20"/>
        <v>33294.998994547233</v>
      </c>
      <c r="O86" s="97">
        <f t="shared" si="29"/>
        <v>30343.124035630441</v>
      </c>
      <c r="P86" s="101">
        <f t="shared" si="21"/>
        <v>47069.047558916784</v>
      </c>
      <c r="Q86" s="102">
        <f t="shared" si="30"/>
        <v>526003.63679315499</v>
      </c>
    </row>
    <row r="87" spans="1:17">
      <c r="A87" s="41">
        <v>73</v>
      </c>
      <c r="B87" s="56">
        <f t="shared" si="22"/>
        <v>2591.8959838206197</v>
      </c>
      <c r="C87" s="56">
        <f t="shared" si="23"/>
        <v>31102.751805847438</v>
      </c>
      <c r="D87" s="56">
        <f t="shared" si="24"/>
        <v>2843.9478307842428</v>
      </c>
      <c r="E87" s="56">
        <f t="shared" si="25"/>
        <v>34127.37396941091</v>
      </c>
      <c r="F87" s="97">
        <f t="shared" si="26"/>
        <v>31101.702136521199</v>
      </c>
      <c r="G87" s="97">
        <f t="shared" si="18"/>
        <v>34128.423638737149</v>
      </c>
      <c r="H87" s="94">
        <f t="shared" si="27"/>
        <v>794050.53217198257</v>
      </c>
      <c r="J87" s="41">
        <v>73</v>
      </c>
      <c r="K87" s="56">
        <f t="shared" si="31"/>
        <v>3768.341826249999</v>
      </c>
      <c r="L87" s="56">
        <f t="shared" si="19"/>
        <v>45220.101914999992</v>
      </c>
      <c r="M87" s="56">
        <f t="shared" si="28"/>
        <v>2843.9478307842428</v>
      </c>
      <c r="N87" s="56">
        <f t="shared" si="20"/>
        <v>34127.37396941091</v>
      </c>
      <c r="O87" s="97">
        <f t="shared" si="29"/>
        <v>31101.702136521199</v>
      </c>
      <c r="P87" s="101">
        <f t="shared" si="21"/>
        <v>48245.773747889703</v>
      </c>
      <c r="Q87" s="102">
        <f t="shared" si="30"/>
        <v>591397.12910050154</v>
      </c>
    </row>
    <row r="88" spans="1:17">
      <c r="A88" s="41">
        <v>74</v>
      </c>
      <c r="B88" s="56">
        <f t="shared" si="22"/>
        <v>2656.693383416135</v>
      </c>
      <c r="C88" s="56">
        <f t="shared" si="23"/>
        <v>31880.320600993618</v>
      </c>
      <c r="D88" s="56">
        <f t="shared" si="24"/>
        <v>2915.0465265538487</v>
      </c>
      <c r="E88" s="56">
        <f t="shared" si="25"/>
        <v>34980.558318646188</v>
      </c>
      <c r="F88" s="97">
        <f t="shared" si="26"/>
        <v>31879.244689934225</v>
      </c>
      <c r="G88" s="97">
        <f t="shared" si="18"/>
        <v>34981.634229705574</v>
      </c>
      <c r="H88" s="94">
        <f t="shared" si="27"/>
        <v>854918.21375049476</v>
      </c>
      <c r="J88" s="41">
        <v>74</v>
      </c>
      <c r="K88" s="56">
        <f t="shared" si="31"/>
        <v>3862.5503719062485</v>
      </c>
      <c r="L88" s="56">
        <f t="shared" si="19"/>
        <v>46350.604462874981</v>
      </c>
      <c r="M88" s="56">
        <f t="shared" si="28"/>
        <v>2915.0465265538487</v>
      </c>
      <c r="N88" s="56">
        <f t="shared" si="20"/>
        <v>34980.558318646188</v>
      </c>
      <c r="O88" s="97">
        <f t="shared" si="29"/>
        <v>31879.244689934225</v>
      </c>
      <c r="P88" s="101">
        <f t="shared" si="21"/>
        <v>49451.918091586944</v>
      </c>
      <c r="Q88" s="102">
        <f t="shared" si="30"/>
        <v>660128.59360076475</v>
      </c>
    </row>
    <row r="89" spans="1:17">
      <c r="A89" s="41">
        <v>75</v>
      </c>
      <c r="B89" s="56">
        <f t="shared" si="22"/>
        <v>2723.1107180015383</v>
      </c>
      <c r="C89" s="56">
        <f t="shared" si="23"/>
        <v>32677.328616018458</v>
      </c>
      <c r="D89" s="56">
        <f t="shared" si="24"/>
        <v>2987.9226897176945</v>
      </c>
      <c r="E89" s="56">
        <f t="shared" si="25"/>
        <v>35855.072276612336</v>
      </c>
      <c r="F89" s="97">
        <f t="shared" si="26"/>
        <v>32676.225807182578</v>
      </c>
      <c r="G89" s="97">
        <f t="shared" si="18"/>
        <v>35856.175085448223</v>
      </c>
      <c r="H89" s="94">
        <f t="shared" si="27"/>
        <v>918644.72260420909</v>
      </c>
      <c r="J89" s="41">
        <v>75</v>
      </c>
      <c r="K89" s="56">
        <f t="shared" si="31"/>
        <v>3959.1141312039044</v>
      </c>
      <c r="L89" s="56">
        <f t="shared" si="19"/>
        <v>47509.369574446857</v>
      </c>
      <c r="M89" s="56">
        <f t="shared" si="28"/>
        <v>2987.9226897176945</v>
      </c>
      <c r="N89" s="56">
        <f t="shared" si="20"/>
        <v>35855.072276612336</v>
      </c>
      <c r="O89" s="97">
        <f t="shared" si="29"/>
        <v>32676.225807182578</v>
      </c>
      <c r="P89" s="101">
        <f t="shared" si="21"/>
        <v>50688.216043876615</v>
      </c>
      <c r="Q89" s="102">
        <f t="shared" si="30"/>
        <v>732337.00179602625</v>
      </c>
    </row>
    <row r="90" spans="1:17">
      <c r="A90" s="41">
        <v>76</v>
      </c>
      <c r="B90" s="56">
        <f t="shared" si="22"/>
        <v>2791.1884859515767</v>
      </c>
      <c r="C90" s="56">
        <f t="shared" si="23"/>
        <v>33494.261831418917</v>
      </c>
      <c r="D90" s="56">
        <f t="shared" si="24"/>
        <v>3062.6207569606368</v>
      </c>
      <c r="E90" s="56">
        <f t="shared" si="25"/>
        <v>36751.449083527637</v>
      </c>
      <c r="F90" s="97">
        <f t="shared" si="26"/>
        <v>33493.13145236214</v>
      </c>
      <c r="G90" s="97">
        <f t="shared" si="18"/>
        <v>36752.579462584414</v>
      </c>
      <c r="H90" s="94">
        <f t="shared" si="27"/>
        <v>985345.12002369075</v>
      </c>
      <c r="J90" s="41">
        <v>76</v>
      </c>
      <c r="K90" s="56">
        <f t="shared" si="31"/>
        <v>4058.0919844840018</v>
      </c>
      <c r="L90" s="56">
        <f t="shared" si="19"/>
        <v>48697.103813808018</v>
      </c>
      <c r="M90" s="56">
        <f t="shared" si="28"/>
        <v>3062.6207569606368</v>
      </c>
      <c r="N90" s="56">
        <f t="shared" si="20"/>
        <v>36751.449083527637</v>
      </c>
      <c r="O90" s="97">
        <f t="shared" si="29"/>
        <v>33493.13145236214</v>
      </c>
      <c r="P90" s="101">
        <f t="shared" si="21"/>
        <v>51955.421444973515</v>
      </c>
      <c r="Q90" s="102">
        <f t="shared" si="30"/>
        <v>808166.60949955019</v>
      </c>
    </row>
    <row r="91" spans="1:17">
      <c r="A91" s="41">
        <v>77</v>
      </c>
      <c r="B91" s="56">
        <f t="shared" si="22"/>
        <v>2860.968198100366</v>
      </c>
      <c r="C91" s="56">
        <f t="shared" si="23"/>
        <v>34331.618377204388</v>
      </c>
      <c r="D91" s="56">
        <f t="shared" si="24"/>
        <v>3139.1862758846523</v>
      </c>
      <c r="E91" s="56">
        <f t="shared" si="25"/>
        <v>37670.235310615826</v>
      </c>
      <c r="F91" s="97">
        <f t="shared" si="26"/>
        <v>34330.45973867119</v>
      </c>
      <c r="G91" s="97">
        <f t="shared" si="18"/>
        <v>37671.393949149024</v>
      </c>
      <c r="H91" s="94">
        <f t="shared" si="27"/>
        <v>1055138.7648856121</v>
      </c>
      <c r="J91" s="41">
        <v>77</v>
      </c>
      <c r="K91" s="56">
        <f t="shared" si="31"/>
        <v>4159.5442840961014</v>
      </c>
      <c r="L91" s="56">
        <f t="shared" si="19"/>
        <v>49914.53140915322</v>
      </c>
      <c r="M91" s="56">
        <f t="shared" si="28"/>
        <v>3139.1862758846523</v>
      </c>
      <c r="N91" s="56">
        <f t="shared" si="20"/>
        <v>37670.235310615826</v>
      </c>
      <c r="O91" s="97">
        <f t="shared" si="29"/>
        <v>34330.45973867119</v>
      </c>
      <c r="P91" s="101">
        <f t="shared" si="21"/>
        <v>53254.306981097856</v>
      </c>
      <c r="Q91" s="102">
        <f t="shared" si="30"/>
        <v>887767.14795033343</v>
      </c>
    </row>
    <row r="92" spans="1:17">
      <c r="A92" s="41">
        <v>78</v>
      </c>
      <c r="B92" s="56">
        <f t="shared" si="22"/>
        <v>2932.492403052875</v>
      </c>
      <c r="C92" s="56">
        <f t="shared" si="23"/>
        <v>35189.908836634502</v>
      </c>
      <c r="D92" s="56">
        <f t="shared" si="24"/>
        <v>3217.6659327817683</v>
      </c>
      <c r="E92" s="56">
        <f t="shared" si="25"/>
        <v>38611.991193381218</v>
      </c>
      <c r="F92" s="97">
        <f t="shared" si="26"/>
        <v>35188.72123213797</v>
      </c>
      <c r="G92" s="97">
        <f t="shared" si="18"/>
        <v>38613.17879787775</v>
      </c>
      <c r="H92" s="94">
        <f t="shared" si="27"/>
        <v>1128149.4674187608</v>
      </c>
      <c r="J92" s="41">
        <v>78</v>
      </c>
      <c r="K92" s="56">
        <f t="shared" si="31"/>
        <v>4263.5328911985034</v>
      </c>
      <c r="L92" s="56">
        <f t="shared" si="19"/>
        <v>51162.394694382041</v>
      </c>
      <c r="M92" s="56">
        <f t="shared" si="28"/>
        <v>3217.6659327817683</v>
      </c>
      <c r="N92" s="56">
        <f t="shared" si="20"/>
        <v>38611.991193381218</v>
      </c>
      <c r="O92" s="97">
        <f t="shared" si="29"/>
        <v>35188.72123213797</v>
      </c>
      <c r="P92" s="101">
        <f t="shared" si="21"/>
        <v>54585.664655625289</v>
      </c>
      <c r="Q92" s="102">
        <f t="shared" si="30"/>
        <v>971294.02162913955</v>
      </c>
    </row>
    <row r="93" spans="1:17">
      <c r="A93" s="41">
        <v>79</v>
      </c>
      <c r="B93" s="56">
        <f t="shared" si="22"/>
        <v>3005.8047131291964</v>
      </c>
      <c r="C93" s="56">
        <f t="shared" si="23"/>
        <v>36069.656557550356</v>
      </c>
      <c r="D93" s="56">
        <f t="shared" si="24"/>
        <v>3298.1075811013125</v>
      </c>
      <c r="E93" s="56">
        <f t="shared" si="25"/>
        <v>39577.29097321575</v>
      </c>
      <c r="F93" s="97">
        <f t="shared" si="26"/>
        <v>36068.439262941414</v>
      </c>
      <c r="G93" s="97">
        <f t="shared" si="18"/>
        <v>39578.508267824691</v>
      </c>
      <c r="H93" s="94">
        <f t="shared" si="27"/>
        <v>1204505.648324437</v>
      </c>
      <c r="J93" s="41">
        <v>79</v>
      </c>
      <c r="K93" s="56">
        <f t="shared" si="31"/>
        <v>4370.1212134784655</v>
      </c>
      <c r="L93" s="56">
        <f t="shared" si="19"/>
        <v>52441.454561741586</v>
      </c>
      <c r="M93" s="56">
        <f t="shared" si="28"/>
        <v>3298.1075811013125</v>
      </c>
      <c r="N93" s="56">
        <f t="shared" si="20"/>
        <v>39577.29097321575</v>
      </c>
      <c r="O93" s="97">
        <f t="shared" si="29"/>
        <v>36068.439262941414</v>
      </c>
      <c r="P93" s="101">
        <f t="shared" si="21"/>
        <v>55950.306272015914</v>
      </c>
      <c r="Q93" s="102">
        <f t="shared" si="30"/>
        <v>1058908.5130062655</v>
      </c>
    </row>
    <row r="94" spans="1:17">
      <c r="A94" s="41">
        <v>80</v>
      </c>
      <c r="B94" s="56">
        <f t="shared" si="22"/>
        <v>3080.949830957426</v>
      </c>
      <c r="C94" s="56">
        <f t="shared" si="23"/>
        <v>36971.39797148911</v>
      </c>
      <c r="D94" s="56">
        <f t="shared" si="24"/>
        <v>3380.560270628845</v>
      </c>
      <c r="E94" s="56">
        <f t="shared" si="25"/>
        <v>40566.723247546142</v>
      </c>
      <c r="F94" s="97">
        <f t="shared" si="26"/>
        <v>36970.150244514945</v>
      </c>
      <c r="G94" s="97">
        <f t="shared" si="18"/>
        <v>40567.970974520307</v>
      </c>
      <c r="H94" s="94">
        <f t="shared" si="27"/>
        <v>1284340.503434334</v>
      </c>
      <c r="J94" s="41">
        <v>80</v>
      </c>
      <c r="K94" s="56">
        <f t="shared" si="31"/>
        <v>4479.3742438154268</v>
      </c>
      <c r="L94" s="56">
        <f t="shared" si="19"/>
        <v>53752.490925785125</v>
      </c>
      <c r="M94" s="56">
        <f t="shared" si="28"/>
        <v>3380.560270628845</v>
      </c>
      <c r="N94" s="56">
        <f t="shared" si="20"/>
        <v>40566.723247546142</v>
      </c>
      <c r="O94" s="97">
        <f t="shared" si="29"/>
        <v>36970.150244514945</v>
      </c>
      <c r="P94" s="101">
        <f t="shared" si="21"/>
        <v>57349.063928816329</v>
      </c>
      <c r="Q94" s="102">
        <f t="shared" si="30"/>
        <v>1150777.9944590859</v>
      </c>
    </row>
    <row r="95" spans="1:17">
      <c r="A95" s="41">
        <v>81</v>
      </c>
      <c r="B95" s="56">
        <f t="shared" si="22"/>
        <v>3157.9735767313614</v>
      </c>
      <c r="C95" s="56">
        <f t="shared" si="23"/>
        <v>37895.682920776337</v>
      </c>
      <c r="D95" s="56">
        <f t="shared" si="24"/>
        <v>3465.0742773945658</v>
      </c>
      <c r="E95" s="56">
        <f t="shared" si="25"/>
        <v>41580.89132873479</v>
      </c>
      <c r="F95" s="97">
        <f t="shared" si="26"/>
        <v>37894.404000627816</v>
      </c>
      <c r="G95" s="97">
        <f t="shared" si="18"/>
        <v>41582.170248883303</v>
      </c>
      <c r="H95" s="94">
        <f t="shared" si="27"/>
        <v>1367792.1740951764</v>
      </c>
      <c r="J95" s="41">
        <v>81</v>
      </c>
      <c r="K95" s="56">
        <f t="shared" si="31"/>
        <v>4591.3585999108118</v>
      </c>
      <c r="L95" s="56">
        <f t="shared" si="19"/>
        <v>55096.303198929745</v>
      </c>
      <c r="M95" s="56">
        <f t="shared" si="28"/>
        <v>3465.0742773945658</v>
      </c>
      <c r="N95" s="56">
        <f t="shared" si="20"/>
        <v>41580.89132873479</v>
      </c>
      <c r="O95" s="97">
        <f t="shared" si="29"/>
        <v>37894.404000627816</v>
      </c>
      <c r="P95" s="101">
        <f t="shared" si="21"/>
        <v>58782.790527036726</v>
      </c>
      <c r="Q95" s="102">
        <f t="shared" si="30"/>
        <v>1247076.1476054888</v>
      </c>
    </row>
    <row r="96" spans="1:17">
      <c r="A96" s="41">
        <v>82</v>
      </c>
      <c r="B96" s="56">
        <f t="shared" si="22"/>
        <v>3236.9229161496451</v>
      </c>
      <c r="C96" s="56">
        <f t="shared" si="23"/>
        <v>38843.074993795744</v>
      </c>
      <c r="D96" s="56">
        <f t="shared" si="24"/>
        <v>3551.7011343294298</v>
      </c>
      <c r="E96" s="56">
        <f t="shared" si="25"/>
        <v>42620.413611953161</v>
      </c>
      <c r="F96" s="97">
        <f t="shared" si="26"/>
        <v>38841.764100643508</v>
      </c>
      <c r="G96" s="97">
        <f t="shared" si="18"/>
        <v>42621.724505105398</v>
      </c>
      <c r="H96" s="94">
        <f t="shared" si="27"/>
        <v>1455003.9234757845</v>
      </c>
      <c r="J96" s="41">
        <v>82</v>
      </c>
      <c r="K96" s="56">
        <f t="shared" si="31"/>
        <v>4706.1425649085813</v>
      </c>
      <c r="L96" s="56">
        <f t="shared" si="19"/>
        <v>56473.710778902976</v>
      </c>
      <c r="M96" s="56">
        <f t="shared" si="28"/>
        <v>3551.7011343294298</v>
      </c>
      <c r="N96" s="56">
        <f t="shared" si="20"/>
        <v>42620.413611953161</v>
      </c>
      <c r="O96" s="97">
        <f t="shared" si="29"/>
        <v>38841.764100643508</v>
      </c>
      <c r="P96" s="101">
        <f t="shared" si="21"/>
        <v>60252.360290212622</v>
      </c>
      <c r="Q96" s="102">
        <f t="shared" si="30"/>
        <v>1347983.1903076402</v>
      </c>
    </row>
    <row r="97" spans="1:17">
      <c r="A97" s="41">
        <v>83</v>
      </c>
      <c r="B97" s="56">
        <f t="shared" si="22"/>
        <v>3317.8459890533859</v>
      </c>
      <c r="C97" s="56">
        <f t="shared" si="23"/>
        <v>39814.151868640634</v>
      </c>
      <c r="D97" s="56">
        <f t="shared" si="24"/>
        <v>3640.4936626876652</v>
      </c>
      <c r="E97" s="56">
        <f t="shared" si="25"/>
        <v>43685.923952251978</v>
      </c>
      <c r="F97" s="97">
        <f t="shared" si="26"/>
        <v>39812.808203159591</v>
      </c>
      <c r="G97" s="97">
        <f t="shared" si="18"/>
        <v>43687.267617733021</v>
      </c>
      <c r="H97" s="94">
        <f t="shared" si="27"/>
        <v>1546124.3189988281</v>
      </c>
      <c r="J97" s="41">
        <v>83</v>
      </c>
      <c r="K97" s="56">
        <f t="shared" si="31"/>
        <v>4823.7961290312951</v>
      </c>
      <c r="L97" s="56">
        <f t="shared" si="19"/>
        <v>57885.553548375538</v>
      </c>
      <c r="M97" s="56">
        <f t="shared" si="28"/>
        <v>3640.4936626876652</v>
      </c>
      <c r="N97" s="56">
        <f t="shared" si="20"/>
        <v>43685.923952251978</v>
      </c>
      <c r="O97" s="97">
        <f t="shared" si="29"/>
        <v>39812.808203159591</v>
      </c>
      <c r="P97" s="101">
        <f t="shared" si="21"/>
        <v>61758.669297467924</v>
      </c>
      <c r="Q97" s="102">
        <f t="shared" si="30"/>
        <v>1453686.1116091372</v>
      </c>
    </row>
    <row r="98" spans="1:17">
      <c r="A98" s="41">
        <v>84</v>
      </c>
      <c r="B98" s="56">
        <f t="shared" si="22"/>
        <v>3400.7921387797201</v>
      </c>
      <c r="C98" s="56">
        <f t="shared" si="23"/>
        <v>40809.505665356643</v>
      </c>
      <c r="D98" s="56">
        <f t="shared" si="24"/>
        <v>3731.5060042548566</v>
      </c>
      <c r="E98" s="56">
        <f t="shared" si="25"/>
        <v>44778.072051058276</v>
      </c>
      <c r="F98" s="97">
        <f t="shared" si="26"/>
        <v>40808.128408238576</v>
      </c>
      <c r="G98" s="97">
        <f t="shared" si="18"/>
        <v>44779.449308176343</v>
      </c>
      <c r="H98" s="94">
        <f t="shared" si="27"/>
        <v>1641307.4211063662</v>
      </c>
      <c r="J98" s="41">
        <v>84</v>
      </c>
      <c r="K98" s="56">
        <f t="shared" si="31"/>
        <v>4944.3910322570773</v>
      </c>
      <c r="L98" s="56">
        <f t="shared" si="19"/>
        <v>59332.692387084928</v>
      </c>
      <c r="M98" s="56">
        <f t="shared" si="28"/>
        <v>3731.5060042548566</v>
      </c>
      <c r="N98" s="56">
        <f t="shared" si="20"/>
        <v>44778.072051058276</v>
      </c>
      <c r="O98" s="97">
        <f t="shared" si="29"/>
        <v>40808.128408238576</v>
      </c>
      <c r="P98" s="101">
        <f t="shared" si="21"/>
        <v>63302.636029904628</v>
      </c>
      <c r="Q98" s="102">
        <f t="shared" si="30"/>
        <v>1564378.9148774997</v>
      </c>
    </row>
    <row r="99" spans="1:17">
      <c r="A99" s="41">
        <v>85</v>
      </c>
      <c r="B99" s="56">
        <f t="shared" si="22"/>
        <v>3485.8119422492127</v>
      </c>
      <c r="C99" s="56">
        <f t="shared" si="23"/>
        <v>41829.743306990553</v>
      </c>
      <c r="D99" s="56">
        <f t="shared" si="24"/>
        <v>3824.7936543612277</v>
      </c>
      <c r="E99" s="56">
        <f t="shared" si="25"/>
        <v>45897.523852334736</v>
      </c>
      <c r="F99" s="97">
        <f t="shared" si="26"/>
        <v>41828.331618444536</v>
      </c>
      <c r="G99" s="97">
        <f t="shared" si="18"/>
        <v>45898.935540880753</v>
      </c>
      <c r="H99" s="94">
        <f t="shared" si="27"/>
        <v>1740712.9785753144</v>
      </c>
      <c r="J99" s="41">
        <v>85</v>
      </c>
      <c r="K99" s="56">
        <f t="shared" si="31"/>
        <v>5068.0008080635034</v>
      </c>
      <c r="L99" s="56">
        <f t="shared" si="19"/>
        <v>60816.009696762041</v>
      </c>
      <c r="M99" s="56">
        <f t="shared" si="28"/>
        <v>3824.7936543612277</v>
      </c>
      <c r="N99" s="56">
        <f t="shared" si="20"/>
        <v>45897.523852334736</v>
      </c>
      <c r="O99" s="97">
        <f t="shared" si="29"/>
        <v>41828.331618444536</v>
      </c>
      <c r="P99" s="101">
        <f t="shared" si="21"/>
        <v>64885.201930652249</v>
      </c>
      <c r="Q99" s="102">
        <f t="shared" si="30"/>
        <v>1680262.8694331583</v>
      </c>
    </row>
    <row r="100" spans="1:17">
      <c r="A100" s="41">
        <v>86</v>
      </c>
      <c r="B100" s="56">
        <f t="shared" si="22"/>
        <v>3572.9572408054428</v>
      </c>
      <c r="C100" s="56">
        <f t="shared" si="23"/>
        <v>42875.486889665313</v>
      </c>
      <c r="D100" s="56">
        <f t="shared" si="24"/>
        <v>3920.4134957202582</v>
      </c>
      <c r="E100" s="56">
        <f t="shared" si="25"/>
        <v>47044.961948643097</v>
      </c>
      <c r="F100" s="97">
        <f t="shared" si="26"/>
        <v>42874.039908905645</v>
      </c>
      <c r="G100" s="97">
        <f t="shared" si="18"/>
        <v>47046.408929402765</v>
      </c>
      <c r="H100" s="94">
        <f t="shared" si="27"/>
        <v>1844506.6306062723</v>
      </c>
      <c r="J100" s="41">
        <v>86</v>
      </c>
      <c r="K100" s="56">
        <f t="shared" si="31"/>
        <v>5194.7008282650904</v>
      </c>
      <c r="L100" s="56">
        <f t="shared" si="19"/>
        <v>62336.409939181089</v>
      </c>
      <c r="M100" s="56">
        <f t="shared" si="28"/>
        <v>3920.4134957202582</v>
      </c>
      <c r="N100" s="56">
        <f t="shared" si="20"/>
        <v>47044.961948643097</v>
      </c>
      <c r="O100" s="97">
        <f t="shared" si="29"/>
        <v>42874.039908905645</v>
      </c>
      <c r="P100" s="101">
        <f t="shared" si="21"/>
        <v>66507.331978918533</v>
      </c>
      <c r="Q100" s="102">
        <f t="shared" si="30"/>
        <v>1801546.7709555977</v>
      </c>
    </row>
    <row r="101" spans="1:17">
      <c r="A101" s="41">
        <v>87</v>
      </c>
      <c r="B101" s="56">
        <f t="shared" si="22"/>
        <v>3662.2811718255784</v>
      </c>
      <c r="C101" s="56">
        <f t="shared" si="23"/>
        <v>43947.374061906943</v>
      </c>
      <c r="D101" s="56">
        <f t="shared" si="24"/>
        <v>4018.4238331132642</v>
      </c>
      <c r="E101" s="56">
        <f t="shared" si="25"/>
        <v>48221.085997359172</v>
      </c>
      <c r="F101" s="97">
        <f t="shared" si="26"/>
        <v>43945.890906628279</v>
      </c>
      <c r="G101" s="97">
        <f t="shared" si="18"/>
        <v>48222.569152637836</v>
      </c>
      <c r="H101" s="94">
        <f t="shared" si="27"/>
        <v>1952860.1159166745</v>
      </c>
      <c r="J101" s="41">
        <v>87</v>
      </c>
      <c r="K101" s="56">
        <f t="shared" si="31"/>
        <v>5324.5683489717176</v>
      </c>
      <c r="L101" s="56">
        <f t="shared" si="19"/>
        <v>63894.820187660611</v>
      </c>
      <c r="M101" s="56">
        <f t="shared" si="28"/>
        <v>4018.4238331132642</v>
      </c>
      <c r="N101" s="56">
        <f t="shared" si="20"/>
        <v>48221.085997359172</v>
      </c>
      <c r="O101" s="97">
        <f t="shared" si="29"/>
        <v>43945.890906628279</v>
      </c>
      <c r="P101" s="101">
        <f t="shared" si="21"/>
        <v>68170.015278391511</v>
      </c>
      <c r="Q101" s="102">
        <f t="shared" si="30"/>
        <v>1928447.2109671417</v>
      </c>
    </row>
    <row r="102" spans="1:17">
      <c r="A102" s="41">
        <v>88</v>
      </c>
      <c r="B102" s="56">
        <f t="shared" si="22"/>
        <v>3753.8382011212175</v>
      </c>
      <c r="C102" s="56">
        <f t="shared" si="23"/>
        <v>45046.058413454608</v>
      </c>
      <c r="D102" s="56">
        <f t="shared" si="24"/>
        <v>4118.8844289410954</v>
      </c>
      <c r="E102" s="56">
        <f t="shared" si="25"/>
        <v>49426.613147293145</v>
      </c>
      <c r="F102" s="97">
        <f t="shared" si="26"/>
        <v>45044.538179293981</v>
      </c>
      <c r="G102" s="97">
        <f t="shared" si="18"/>
        <v>49428.133381453772</v>
      </c>
      <c r="H102" s="94">
        <f t="shared" si="27"/>
        <v>2065951.4890770118</v>
      </c>
      <c r="J102" s="41">
        <v>88</v>
      </c>
      <c r="K102" s="56">
        <f t="shared" si="31"/>
        <v>5457.68255769601</v>
      </c>
      <c r="L102" s="56">
        <f t="shared" si="19"/>
        <v>65492.190692352116</v>
      </c>
      <c r="M102" s="56">
        <f t="shared" si="28"/>
        <v>4118.8844289410954</v>
      </c>
      <c r="N102" s="56">
        <f t="shared" si="20"/>
        <v>49426.613147293145</v>
      </c>
      <c r="O102" s="97">
        <f t="shared" si="29"/>
        <v>45044.538179293981</v>
      </c>
      <c r="P102" s="101">
        <f t="shared" si="21"/>
        <v>69874.265660351288</v>
      </c>
      <c r="Q102" s="102">
        <f t="shared" si="30"/>
        <v>2061188.8557050219</v>
      </c>
    </row>
    <row r="103" spans="1:17">
      <c r="A103" s="41">
        <v>89</v>
      </c>
      <c r="B103" s="56">
        <f t="shared" si="22"/>
        <v>3847.6841561492474</v>
      </c>
      <c r="C103" s="56">
        <f t="shared" si="23"/>
        <v>46172.209873790969</v>
      </c>
      <c r="D103" s="56">
        <f t="shared" si="24"/>
        <v>4221.8565396646227</v>
      </c>
      <c r="E103" s="56">
        <f t="shared" si="25"/>
        <v>50662.278475975472</v>
      </c>
      <c r="F103" s="97">
        <f t="shared" si="26"/>
        <v>46170.651633776324</v>
      </c>
      <c r="G103" s="97">
        <f t="shared" si="18"/>
        <v>50663.836715990117</v>
      </c>
      <c r="H103" s="94">
        <f t="shared" si="27"/>
        <v>2183965.3443369125</v>
      </c>
      <c r="J103" s="41">
        <v>89</v>
      </c>
      <c r="K103" s="56">
        <f t="shared" si="31"/>
        <v>5594.1246216384097</v>
      </c>
      <c r="L103" s="56">
        <f t="shared" si="19"/>
        <v>67129.495459660917</v>
      </c>
      <c r="M103" s="56">
        <f t="shared" si="28"/>
        <v>4221.8565396646227</v>
      </c>
      <c r="N103" s="56">
        <f t="shared" si="20"/>
        <v>50662.278475975472</v>
      </c>
      <c r="O103" s="97">
        <f t="shared" si="29"/>
        <v>46170.651633776324</v>
      </c>
      <c r="P103" s="101">
        <f t="shared" si="21"/>
        <v>71621.122301860072</v>
      </c>
      <c r="Q103" s="102">
        <f t="shared" si="30"/>
        <v>2200004.7347028656</v>
      </c>
    </row>
    <row r="104" spans="1:17">
      <c r="A104" s="41">
        <v>90</v>
      </c>
      <c r="B104" s="56">
        <f t="shared" si="22"/>
        <v>3943.8762600529781</v>
      </c>
      <c r="C104" s="56">
        <f t="shared" si="23"/>
        <v>47326.51512063574</v>
      </c>
      <c r="D104" s="56">
        <f t="shared" si="24"/>
        <v>4327.4029531562383</v>
      </c>
      <c r="E104" s="56">
        <f t="shared" si="25"/>
        <v>51928.835437874863</v>
      </c>
      <c r="F104" s="97">
        <f t="shared" si="26"/>
        <v>47324.917924620728</v>
      </c>
      <c r="G104" s="97">
        <f t="shared" si="18"/>
        <v>51930.432633889875</v>
      </c>
      <c r="H104" s="94">
        <f t="shared" si="27"/>
        <v>2307093.0471961857</v>
      </c>
      <c r="J104" s="41">
        <v>90</v>
      </c>
      <c r="K104" s="56">
        <f t="shared" si="31"/>
        <v>5733.9777371793698</v>
      </c>
      <c r="L104" s="56">
        <f t="shared" si="19"/>
        <v>68807.732846152445</v>
      </c>
      <c r="M104" s="56">
        <f t="shared" si="28"/>
        <v>4327.4029531562383</v>
      </c>
      <c r="N104" s="56">
        <f t="shared" si="20"/>
        <v>51928.835437874863</v>
      </c>
      <c r="O104" s="97">
        <f t="shared" si="29"/>
        <v>47324.917924620728</v>
      </c>
      <c r="P104" s="101">
        <f t="shared" si="21"/>
        <v>73411.650359406573</v>
      </c>
      <c r="Q104" s="102">
        <f t="shared" si="30"/>
        <v>2345136.5394135853</v>
      </c>
    </row>
    <row r="105" spans="1:17">
      <c r="A105" s="41">
        <v>91</v>
      </c>
      <c r="B105" s="56">
        <f t="shared" si="22"/>
        <v>4042.4731665543022</v>
      </c>
      <c r="C105" s="56">
        <f t="shared" si="23"/>
        <v>48509.677998651627</v>
      </c>
      <c r="D105" s="56">
        <f t="shared" si="24"/>
        <v>4435.5880269851441</v>
      </c>
      <c r="E105" s="56">
        <f t="shared" si="25"/>
        <v>53227.056323821729</v>
      </c>
      <c r="F105" s="97">
        <f t="shared" si="26"/>
        <v>48508.040872736245</v>
      </c>
      <c r="G105" s="97">
        <f t="shared" si="18"/>
        <v>53228.693449737104</v>
      </c>
      <c r="H105" s="94">
        <f t="shared" si="27"/>
        <v>2435532.9739845181</v>
      </c>
      <c r="J105" s="41">
        <v>91</v>
      </c>
      <c r="K105" s="56">
        <f t="shared" si="31"/>
        <v>5877.3271806088533</v>
      </c>
      <c r="L105" s="56">
        <f t="shared" si="19"/>
        <v>70527.926167306243</v>
      </c>
      <c r="M105" s="56">
        <f t="shared" si="28"/>
        <v>4435.5880269851441</v>
      </c>
      <c r="N105" s="56">
        <f t="shared" si="20"/>
        <v>53227.056323821729</v>
      </c>
      <c r="O105" s="97">
        <f t="shared" si="29"/>
        <v>48508.040872736245</v>
      </c>
      <c r="P105" s="101">
        <f t="shared" si="21"/>
        <v>75246.94161839172</v>
      </c>
      <c r="Q105" s="102">
        <f t="shared" si="30"/>
        <v>2496834.9322168599</v>
      </c>
    </row>
    <row r="106" spans="1:17">
      <c r="A106" s="41">
        <v>92</v>
      </c>
      <c r="B106" s="56">
        <f t="shared" si="22"/>
        <v>4143.5349957181597</v>
      </c>
      <c r="C106" s="56">
        <f t="shared" si="23"/>
        <v>49722.419948617913</v>
      </c>
      <c r="D106" s="56">
        <f t="shared" si="24"/>
        <v>4546.4777276597724</v>
      </c>
      <c r="E106" s="56">
        <f t="shared" si="25"/>
        <v>54557.732731917269</v>
      </c>
      <c r="F106" s="97">
        <f t="shared" si="26"/>
        <v>49720.741894554645</v>
      </c>
      <c r="G106" s="97">
        <f t="shared" si="18"/>
        <v>54559.410785980544</v>
      </c>
      <c r="H106" s="94">
        <f t="shared" si="27"/>
        <v>2569490.7597223939</v>
      </c>
      <c r="J106" s="41">
        <v>92</v>
      </c>
      <c r="K106" s="56">
        <f t="shared" si="31"/>
        <v>6024.2603601240744</v>
      </c>
      <c r="L106" s="56">
        <f t="shared" si="19"/>
        <v>72291.124321488896</v>
      </c>
      <c r="M106" s="56">
        <f t="shared" si="28"/>
        <v>4546.4777276597724</v>
      </c>
      <c r="N106" s="56">
        <f t="shared" si="20"/>
        <v>54557.732731917269</v>
      </c>
      <c r="O106" s="97">
        <f t="shared" si="29"/>
        <v>49720.741894554645</v>
      </c>
      <c r="P106" s="101">
        <f t="shared" si="21"/>
        <v>77128.11515885152</v>
      </c>
      <c r="Q106" s="102">
        <f t="shared" si="30"/>
        <v>2655359.8661659812</v>
      </c>
    </row>
    <row r="107" spans="1:17">
      <c r="A107" s="41">
        <v>93</v>
      </c>
      <c r="B107" s="56">
        <f t="shared" si="22"/>
        <v>4247.1233706111134</v>
      </c>
      <c r="C107" s="56">
        <f t="shared" si="23"/>
        <v>50965.480447333364</v>
      </c>
      <c r="D107" s="56">
        <f t="shared" si="24"/>
        <v>4660.1396708512666</v>
      </c>
      <c r="E107" s="56">
        <f t="shared" si="25"/>
        <v>55921.676050215203</v>
      </c>
      <c r="F107" s="97">
        <f t="shared" si="26"/>
        <v>50963.760441918508</v>
      </c>
      <c r="G107" s="97">
        <f t="shared" si="18"/>
        <v>55923.396055630059</v>
      </c>
      <c r="H107" s="94">
        <f t="shared" si="27"/>
        <v>2709179.5545449737</v>
      </c>
      <c r="J107" s="41">
        <v>93</v>
      </c>
      <c r="K107" s="56">
        <f t="shared" si="31"/>
        <v>6174.866869127176</v>
      </c>
      <c r="L107" s="56">
        <f t="shared" si="19"/>
        <v>74098.402429526119</v>
      </c>
      <c r="M107" s="56">
        <f t="shared" si="28"/>
        <v>4660.1396708512666</v>
      </c>
      <c r="N107" s="56">
        <f t="shared" si="20"/>
        <v>55921.676050215203</v>
      </c>
      <c r="O107" s="97">
        <f t="shared" si="29"/>
        <v>50963.760441918508</v>
      </c>
      <c r="P107" s="101">
        <f t="shared" si="21"/>
        <v>79056.318037822813</v>
      </c>
      <c r="Q107" s="102">
        <f t="shared" si="30"/>
        <v>2820980.9158408148</v>
      </c>
    </row>
    <row r="108" spans="1:17">
      <c r="A108" s="41">
        <v>94</v>
      </c>
      <c r="B108" s="56">
        <f t="shared" si="22"/>
        <v>4353.3014548763913</v>
      </c>
      <c r="C108" s="56">
        <f t="shared" si="23"/>
        <v>52239.617458516695</v>
      </c>
      <c r="D108" s="56">
        <f t="shared" si="24"/>
        <v>4776.6431626225476</v>
      </c>
      <c r="E108" s="56">
        <f t="shared" si="25"/>
        <v>57319.717951470571</v>
      </c>
      <c r="F108" s="97">
        <f t="shared" si="26"/>
        <v>52237.854452966465</v>
      </c>
      <c r="G108" s="97">
        <f t="shared" si="18"/>
        <v>57321.480957020802</v>
      </c>
      <c r="H108" s="94">
        <f t="shared" si="27"/>
        <v>2854820.2889801608</v>
      </c>
      <c r="J108" s="41">
        <v>94</v>
      </c>
      <c r="K108" s="56">
        <f t="shared" si="31"/>
        <v>6329.2385408553546</v>
      </c>
      <c r="L108" s="56">
        <f t="shared" si="19"/>
        <v>75950.862490264262</v>
      </c>
      <c r="M108" s="56">
        <f t="shared" si="28"/>
        <v>4776.6431626225476</v>
      </c>
      <c r="N108" s="56">
        <f t="shared" si="20"/>
        <v>57319.717951470571</v>
      </c>
      <c r="O108" s="97">
        <f t="shared" si="29"/>
        <v>52237.854452966465</v>
      </c>
      <c r="P108" s="101">
        <f t="shared" si="21"/>
        <v>81032.725988768376</v>
      </c>
      <c r="Q108" s="102">
        <f t="shared" si="30"/>
        <v>2993977.619685994</v>
      </c>
    </row>
    <row r="109" spans="1:17">
      <c r="A109" s="41">
        <v>95</v>
      </c>
      <c r="B109" s="56">
        <f t="shared" si="22"/>
        <v>4462.1339912483008</v>
      </c>
      <c r="C109" s="56">
        <f t="shared" si="23"/>
        <v>53545.607894979606</v>
      </c>
      <c r="D109" s="56">
        <f t="shared" si="24"/>
        <v>4896.0592416881109</v>
      </c>
      <c r="E109" s="56">
        <f t="shared" si="25"/>
        <v>58752.710900257327</v>
      </c>
      <c r="F109" s="97">
        <f t="shared" si="26"/>
        <v>53543.800814290626</v>
      </c>
      <c r="G109" s="97">
        <f t="shared" si="18"/>
        <v>58754.517980946308</v>
      </c>
      <c r="H109" s="94">
        <f t="shared" si="27"/>
        <v>3006641.9483818603</v>
      </c>
      <c r="J109" s="41">
        <v>95</v>
      </c>
      <c r="K109" s="56">
        <f t="shared" si="31"/>
        <v>6487.4695043767379</v>
      </c>
      <c r="L109" s="56">
        <f t="shared" si="19"/>
        <v>77849.634052520851</v>
      </c>
      <c r="M109" s="56">
        <f t="shared" si="28"/>
        <v>4896.0592416881109</v>
      </c>
      <c r="N109" s="56">
        <f t="shared" si="20"/>
        <v>58752.710900257327</v>
      </c>
      <c r="O109" s="97">
        <f t="shared" si="29"/>
        <v>53543.800814290626</v>
      </c>
      <c r="P109" s="101">
        <f t="shared" si="21"/>
        <v>83058.544138487574</v>
      </c>
      <c r="Q109" s="102">
        <f t="shared" si="30"/>
        <v>3174639.8342262446</v>
      </c>
    </row>
    <row r="110" spans="1:17">
      <c r="A110" s="41">
        <v>96</v>
      </c>
      <c r="B110" s="56">
        <f t="shared" si="22"/>
        <v>4573.6873410295084</v>
      </c>
      <c r="C110" s="56">
        <f t="shared" si="23"/>
        <v>54884.248092354101</v>
      </c>
      <c r="D110" s="56">
        <f t="shared" si="24"/>
        <v>5018.4607227303131</v>
      </c>
      <c r="E110" s="56">
        <f t="shared" si="25"/>
        <v>60221.528672763758</v>
      </c>
      <c r="F110" s="97">
        <f t="shared" si="26"/>
        <v>54882.395834647883</v>
      </c>
      <c r="G110" s="97">
        <f t="shared" si="18"/>
        <v>60223.380930469975</v>
      </c>
      <c r="H110" s="94">
        <f t="shared" si="27"/>
        <v>3164881.8568295785</v>
      </c>
      <c r="J110" s="41">
        <v>96</v>
      </c>
      <c r="K110" s="56">
        <f t="shared" si="31"/>
        <v>6649.6562419861557</v>
      </c>
      <c r="L110" s="56">
        <f t="shared" si="19"/>
        <v>79795.874903833872</v>
      </c>
      <c r="M110" s="56">
        <f t="shared" si="28"/>
        <v>5018.4607227303131</v>
      </c>
      <c r="N110" s="56">
        <f t="shared" si="20"/>
        <v>60221.528672763758</v>
      </c>
      <c r="O110" s="97">
        <f t="shared" si="29"/>
        <v>54882.395834647883</v>
      </c>
      <c r="P110" s="101">
        <f t="shared" si="21"/>
        <v>85135.007741949754</v>
      </c>
      <c r="Q110" s="102">
        <f t="shared" si="30"/>
        <v>3363268.1005639695</v>
      </c>
    </row>
    <row r="111" spans="1:17">
      <c r="A111" s="41">
        <v>97</v>
      </c>
      <c r="B111" s="56">
        <f t="shared" si="22"/>
        <v>4688.0295245552461</v>
      </c>
      <c r="C111" s="56">
        <f t="shared" si="23"/>
        <v>56256.354294662953</v>
      </c>
      <c r="D111" s="56">
        <f t="shared" si="24"/>
        <v>5143.9222407985708</v>
      </c>
      <c r="E111" s="56">
        <f t="shared" si="25"/>
        <v>61727.066889582849</v>
      </c>
      <c r="F111" s="97">
        <f t="shared" si="26"/>
        <v>56254.455730514077</v>
      </c>
      <c r="G111" s="97">
        <f t="shared" si="18"/>
        <v>61728.965453731726</v>
      </c>
      <c r="H111" s="94">
        <f t="shared" si="27"/>
        <v>3329785.9708159543</v>
      </c>
      <c r="J111" s="41">
        <v>97</v>
      </c>
      <c r="K111" s="56">
        <f t="shared" si="31"/>
        <v>6815.8976480358087</v>
      </c>
      <c r="L111" s="56">
        <f t="shared" si="19"/>
        <v>81790.771776429698</v>
      </c>
      <c r="M111" s="56">
        <f t="shared" si="28"/>
        <v>5143.9222407985708</v>
      </c>
      <c r="N111" s="56">
        <f t="shared" si="20"/>
        <v>61727.066889582849</v>
      </c>
      <c r="O111" s="97">
        <f t="shared" si="29"/>
        <v>56254.455730514077</v>
      </c>
      <c r="P111" s="101">
        <f t="shared" si="21"/>
        <v>87263.382935498463</v>
      </c>
      <c r="Q111" s="102">
        <f t="shared" si="30"/>
        <v>3560174.0235778531</v>
      </c>
    </row>
    <row r="112" spans="1:17">
      <c r="A112" s="41">
        <v>98</v>
      </c>
      <c r="B112" s="56">
        <f t="shared" si="22"/>
        <v>4805.2302626691271</v>
      </c>
      <c r="C112" s="56">
        <f t="shared" si="23"/>
        <v>57662.763152029525</v>
      </c>
      <c r="D112" s="56">
        <f t="shared" si="24"/>
        <v>5272.5202968185349</v>
      </c>
      <c r="E112" s="56">
        <f t="shared" si="25"/>
        <v>63270.243561822419</v>
      </c>
      <c r="F112" s="97">
        <f t="shared" si="26"/>
        <v>57660.817123776927</v>
      </c>
      <c r="G112" s="97">
        <f t="shared" si="18"/>
        <v>63272.18959007501</v>
      </c>
      <c r="H112" s="94">
        <f t="shared" si="27"/>
        <v>3501609.1830546292</v>
      </c>
      <c r="J112" s="41">
        <v>98</v>
      </c>
      <c r="K112" s="56">
        <f t="shared" si="31"/>
        <v>6986.2950892367035</v>
      </c>
      <c r="L112" s="56">
        <f t="shared" si="19"/>
        <v>83835.541070840438</v>
      </c>
      <c r="M112" s="56">
        <f t="shared" si="28"/>
        <v>5272.5202968185349</v>
      </c>
      <c r="N112" s="56">
        <f t="shared" si="20"/>
        <v>63270.243561822419</v>
      </c>
      <c r="O112" s="97">
        <f t="shared" si="29"/>
        <v>57660.817123776927</v>
      </c>
      <c r="P112" s="101">
        <f t="shared" si="21"/>
        <v>89444.967508885937</v>
      </c>
      <c r="Q112" s="102">
        <f t="shared" si="30"/>
        <v>3765680.6642553769</v>
      </c>
    </row>
    <row r="113" spans="1:19">
      <c r="A113" s="41">
        <v>99</v>
      </c>
      <c r="B113" s="56">
        <f t="shared" si="22"/>
        <v>4925.3610192358547</v>
      </c>
      <c r="C113" s="56">
        <f t="shared" si="23"/>
        <v>59104.33223083026</v>
      </c>
      <c r="D113" s="56">
        <f t="shared" si="24"/>
        <v>5404.3333042389977</v>
      </c>
      <c r="E113" s="56">
        <f t="shared" si="25"/>
        <v>64851.999650867976</v>
      </c>
      <c r="F113" s="97">
        <f t="shared" si="26"/>
        <v>59102.337551871344</v>
      </c>
      <c r="G113" s="97">
        <f t="shared" si="18"/>
        <v>64853.994329826892</v>
      </c>
      <c r="H113" s="94">
        <f t="shared" si="27"/>
        <v>3680615.6367520369</v>
      </c>
      <c r="J113" s="41">
        <v>99</v>
      </c>
      <c r="K113" s="56">
        <f t="shared" si="31"/>
        <v>7160.9524664676201</v>
      </c>
      <c r="L113" s="56">
        <f t="shared" si="19"/>
        <v>85931.429597611437</v>
      </c>
      <c r="M113" s="56">
        <f t="shared" si="28"/>
        <v>5404.3333042389977</v>
      </c>
      <c r="N113" s="56">
        <f t="shared" si="20"/>
        <v>64851.999650867976</v>
      </c>
      <c r="O113" s="97">
        <f t="shared" si="29"/>
        <v>59102.337551871344</v>
      </c>
      <c r="P113" s="101">
        <f t="shared" si="21"/>
        <v>91681.091696608084</v>
      </c>
      <c r="Q113" s="102">
        <f t="shared" si="30"/>
        <v>3980122.9456067099</v>
      </c>
    </row>
    <row r="114" spans="1:19" ht="15.75" thickBot="1">
      <c r="A114" s="43">
        <v>100</v>
      </c>
      <c r="B114" s="59">
        <f t="shared" si="22"/>
        <v>5048.4950447167503</v>
      </c>
      <c r="C114" s="56">
        <f t="shared" si="23"/>
        <v>60581.940536601003</v>
      </c>
      <c r="D114" s="56">
        <f t="shared" si="24"/>
        <v>5539.441636844972</v>
      </c>
      <c r="E114" s="56">
        <f t="shared" si="25"/>
        <v>66473.299642139667</v>
      </c>
      <c r="F114" s="97">
        <f t="shared" si="26"/>
        <v>60579.895990668119</v>
      </c>
      <c r="G114" s="97">
        <f t="shared" si="18"/>
        <v>66475.344188072544</v>
      </c>
      <c r="H114" s="94">
        <f t="shared" si="27"/>
        <v>3867079.0506982259</v>
      </c>
      <c r="J114" s="43">
        <v>100</v>
      </c>
      <c r="K114" s="59">
        <f t="shared" si="31"/>
        <v>7339.9762781293102</v>
      </c>
      <c r="L114" s="59">
        <f t="shared" si="19"/>
        <v>88079.715337551723</v>
      </c>
      <c r="M114" s="56">
        <f t="shared" si="28"/>
        <v>5539.441636844972</v>
      </c>
      <c r="N114" s="56">
        <f t="shared" si="20"/>
        <v>66473.299642139667</v>
      </c>
      <c r="O114" s="97">
        <f t="shared" si="29"/>
        <v>60579.895990668119</v>
      </c>
      <c r="P114" s="101">
        <f t="shared" si="21"/>
        <v>93973.118989023264</v>
      </c>
      <c r="Q114" s="102">
        <f t="shared" si="30"/>
        <v>4203848.0726225115</v>
      </c>
    </row>
    <row r="122" spans="1:19" ht="15.75" thickBot="1"/>
    <row r="123" spans="1:19" ht="15.75" thickBot="1">
      <c r="A123" s="95" t="s">
        <v>154</v>
      </c>
      <c r="J123" t="s">
        <v>158</v>
      </c>
    </row>
    <row r="124" spans="1:19" ht="45.75" thickBot="1">
      <c r="A124" s="39" t="s">
        <v>133</v>
      </c>
      <c r="B124" s="72" t="s">
        <v>155</v>
      </c>
      <c r="C124" s="96" t="s">
        <v>156</v>
      </c>
      <c r="D124" s="139" t="s">
        <v>203</v>
      </c>
      <c r="E124" s="99" t="s">
        <v>159</v>
      </c>
      <c r="F124" s="100" t="s">
        <v>160</v>
      </c>
      <c r="G124" s="98" t="s">
        <v>166</v>
      </c>
      <c r="H124" s="96" t="s">
        <v>206</v>
      </c>
      <c r="I124" s="137" t="s">
        <v>157</v>
      </c>
      <c r="K124" s="76" t="s">
        <v>133</v>
      </c>
      <c r="L124" s="50" t="s">
        <v>155</v>
      </c>
      <c r="M124" s="103" t="s">
        <v>156</v>
      </c>
      <c r="N124" s="50" t="s">
        <v>207</v>
      </c>
      <c r="O124" s="50" t="s">
        <v>162</v>
      </c>
      <c r="P124" s="104" t="s">
        <v>160</v>
      </c>
      <c r="Q124" s="105" t="s">
        <v>166</v>
      </c>
      <c r="R124" s="105" t="s">
        <v>169</v>
      </c>
      <c r="S124" s="142" t="s">
        <v>157</v>
      </c>
    </row>
    <row r="125" spans="1:19">
      <c r="A125" s="41">
        <v>62</v>
      </c>
      <c r="B125" s="56">
        <f>B12</f>
        <v>1975.3999999999999</v>
      </c>
      <c r="C125" s="56">
        <f>B125*12</f>
        <v>23704.799999999999</v>
      </c>
      <c r="D125" s="56">
        <f>C125*0.9</f>
        <v>21334.32</v>
      </c>
      <c r="E125" s="56">
        <f>$G$15</f>
        <v>2167.5</v>
      </c>
      <c r="F125" s="56">
        <f>IF(A125&lt;=$H$4,E125*12,D125)</f>
        <v>26010</v>
      </c>
      <c r="G125" s="97">
        <f>$B$9</f>
        <v>23704</v>
      </c>
      <c r="H125" s="97">
        <f>(F125+C125)-G125</f>
        <v>26010.800000000003</v>
      </c>
      <c r="I125" s="94">
        <f>$H$4*(1+$B$5)+H125</f>
        <v>284160.8</v>
      </c>
      <c r="K125" s="61">
        <v>62</v>
      </c>
      <c r="L125" s="62">
        <v>0</v>
      </c>
      <c r="M125" s="62">
        <f>L125*12</f>
        <v>0</v>
      </c>
      <c r="N125" s="62">
        <f>M125*$B$4</f>
        <v>0</v>
      </c>
      <c r="O125" s="62">
        <f>E125</f>
        <v>2167.5</v>
      </c>
      <c r="P125" s="62">
        <f>O125*12</f>
        <v>26010</v>
      </c>
      <c r="Q125" s="101">
        <f>$B$9</f>
        <v>23704</v>
      </c>
      <c r="R125" s="101">
        <f>IF(K125&lt;=$H$6,(M125+P125)-Q125,(IF(P125&gt;=N125,P125-Q125,N125-G126)))</f>
        <v>2306</v>
      </c>
      <c r="S125" s="102">
        <f>($H$4)*(1+$B$5)+P125+R125-C125</f>
        <v>262761.2</v>
      </c>
    </row>
    <row r="126" spans="1:19">
      <c r="A126" s="41">
        <v>63</v>
      </c>
      <c r="B126" s="56">
        <f>B125*(1+$B$4)</f>
        <v>2024.7849999999996</v>
      </c>
      <c r="C126" s="56">
        <f t="shared" ref="C126:C163" si="32">B126*12</f>
        <v>24297.419999999995</v>
      </c>
      <c r="D126" s="56">
        <f t="shared" ref="D126:D163" si="33">C126*0.9</f>
        <v>21867.677999999996</v>
      </c>
      <c r="E126" s="56">
        <f>E125*(1+$B$4)</f>
        <v>2221.6875</v>
      </c>
      <c r="F126" s="56">
        <f>E126*12</f>
        <v>26660.25</v>
      </c>
      <c r="G126" s="97">
        <f>G125*(1+$B$4)</f>
        <v>24296.6</v>
      </c>
      <c r="H126" s="97">
        <f>IF(A126&lt;=$H$5,C126+F126-G126,(IF(F126&gt;=D126,F126-G126,D125-G126)))</f>
        <v>26661.07</v>
      </c>
      <c r="I126" s="94">
        <f>I125*(1+$B$5)+H126</f>
        <v>320085.51207999996</v>
      </c>
      <c r="K126" s="41">
        <v>63</v>
      </c>
      <c r="L126" s="56">
        <v>0</v>
      </c>
      <c r="M126" s="56">
        <f t="shared" ref="M126:M163" si="34">L126*12</f>
        <v>0</v>
      </c>
      <c r="N126" s="62">
        <f t="shared" ref="N126:N132" si="35">M126*$B$4</f>
        <v>0</v>
      </c>
      <c r="O126" s="56">
        <f>O125*(1+$B$4)</f>
        <v>2221.6875</v>
      </c>
      <c r="P126" s="56">
        <f t="shared" ref="P126:P163" si="36">O126*12</f>
        <v>26660.25</v>
      </c>
      <c r="Q126" s="97">
        <f>Q125*(1+$B$4)</f>
        <v>24296.6</v>
      </c>
      <c r="R126" s="101">
        <f>IF(K126&lt;=$H$5,(M126+P126)-Q126,(IF(P126&gt;=N126,P126-Q126,N126-Q126)))</f>
        <v>2363.6500000000015</v>
      </c>
      <c r="S126" s="102">
        <f>S125*(1+$B$5)+R126</f>
        <v>273690.86512000003</v>
      </c>
    </row>
    <row r="127" spans="1:19">
      <c r="A127" s="41">
        <v>64</v>
      </c>
      <c r="B127" s="56">
        <f t="shared" ref="B127:B163" si="37">B126*(1+$B$4)</f>
        <v>2075.4046249999992</v>
      </c>
      <c r="C127" s="56">
        <f t="shared" si="32"/>
        <v>24904.855499999991</v>
      </c>
      <c r="D127" s="56">
        <f t="shared" si="33"/>
        <v>22414.369949999993</v>
      </c>
      <c r="E127" s="56">
        <f t="shared" ref="E127:E163" si="38">E126*(1+$B$4)</f>
        <v>2277.2296874999997</v>
      </c>
      <c r="F127" s="56">
        <f t="shared" ref="F127:F163" si="39">E127*12</f>
        <v>27326.756249999999</v>
      </c>
      <c r="G127" s="97">
        <f t="shared" ref="G127:G163" si="40">G126*(1+$B$4)</f>
        <v>24904.014999999996</v>
      </c>
      <c r="H127" s="97">
        <f t="shared" ref="H127:H163" si="41">IF(A127&lt;=$H$5,C127+F127-G127,(IF(F127&gt;=D127,F127-G127,D126-G127)))</f>
        <v>27327.596749999993</v>
      </c>
      <c r="I127" s="94">
        <f t="shared" ref="I127:I163" si="42">I126*(1+$B$5)+H127</f>
        <v>357847.8965238079</v>
      </c>
      <c r="K127" s="41">
        <v>64</v>
      </c>
      <c r="L127" s="56">
        <v>0</v>
      </c>
      <c r="M127" s="56">
        <f t="shared" si="34"/>
        <v>0</v>
      </c>
      <c r="N127" s="62">
        <f t="shared" si="35"/>
        <v>0</v>
      </c>
      <c r="O127" s="56">
        <f t="shared" ref="O127:O146" si="43">O126*(1+$B$4)</f>
        <v>2277.2296874999997</v>
      </c>
      <c r="P127" s="56">
        <f t="shared" si="36"/>
        <v>27326.756249999999</v>
      </c>
      <c r="Q127" s="97">
        <f t="shared" ref="Q127:Q163" si="44">Q126*(1+$B$4)</f>
        <v>24904.014999999996</v>
      </c>
      <c r="R127" s="101">
        <f t="shared" ref="R127:R163" si="45">IF(K127&lt;=$H$5,(M127+P127)-Q127,(IF(P127&gt;=N127,P127-Q127,N127-Q127)))</f>
        <v>2422.7412500000028</v>
      </c>
      <c r="S127" s="102">
        <f t="shared" ref="S127:S163" si="46">S126*(1+$B$5)+R127</f>
        <v>285035.92857291206</v>
      </c>
    </row>
    <row r="128" spans="1:19">
      <c r="A128" s="41">
        <v>65</v>
      </c>
      <c r="B128" s="56">
        <f t="shared" si="37"/>
        <v>2127.289740624999</v>
      </c>
      <c r="C128" s="56">
        <f t="shared" si="32"/>
        <v>25527.476887499986</v>
      </c>
      <c r="D128" s="56">
        <f t="shared" si="33"/>
        <v>22974.729198749988</v>
      </c>
      <c r="E128" s="56">
        <f t="shared" si="38"/>
        <v>2334.1604296874993</v>
      </c>
      <c r="F128" s="56">
        <f t="shared" si="39"/>
        <v>28009.925156249992</v>
      </c>
      <c r="G128" s="97">
        <f t="shared" si="40"/>
        <v>25526.615374999994</v>
      </c>
      <c r="H128" s="97">
        <f t="shared" si="41"/>
        <v>28010.786668749985</v>
      </c>
      <c r="I128" s="94">
        <f t="shared" si="42"/>
        <v>397524.52461923403</v>
      </c>
      <c r="K128" s="41">
        <v>65</v>
      </c>
      <c r="L128" s="56">
        <v>0</v>
      </c>
      <c r="M128" s="56">
        <f t="shared" si="34"/>
        <v>0</v>
      </c>
      <c r="N128" s="62">
        <f t="shared" si="35"/>
        <v>0</v>
      </c>
      <c r="O128" s="56">
        <f t="shared" si="43"/>
        <v>2334.1604296874993</v>
      </c>
      <c r="P128" s="56">
        <f t="shared" si="36"/>
        <v>28009.925156249992</v>
      </c>
      <c r="Q128" s="97">
        <f t="shared" si="44"/>
        <v>25526.615374999994</v>
      </c>
      <c r="R128" s="101">
        <f t="shared" si="45"/>
        <v>2483.3097812499982</v>
      </c>
      <c r="S128" s="102">
        <f t="shared" si="46"/>
        <v>296811.40962563897</v>
      </c>
    </row>
    <row r="129" spans="1:25">
      <c r="A129" s="41">
        <v>66</v>
      </c>
      <c r="B129" s="56">
        <f t="shared" si="37"/>
        <v>2180.4719841406236</v>
      </c>
      <c r="C129" s="56">
        <f t="shared" si="32"/>
        <v>26165.663809687481</v>
      </c>
      <c r="D129" s="56">
        <f t="shared" si="33"/>
        <v>23549.097428718735</v>
      </c>
      <c r="E129" s="56">
        <f t="shared" si="38"/>
        <v>2392.5144404296866</v>
      </c>
      <c r="F129" s="56">
        <f t="shared" si="39"/>
        <v>28710.173285156241</v>
      </c>
      <c r="G129" s="97">
        <f t="shared" si="40"/>
        <v>26164.780759374993</v>
      </c>
      <c r="H129" s="97">
        <f t="shared" si="41"/>
        <v>28711.056335468729</v>
      </c>
      <c r="I129" s="94">
        <f t="shared" si="42"/>
        <v>439194.88045728975</v>
      </c>
      <c r="K129" s="41">
        <v>66</v>
      </c>
      <c r="L129" s="56">
        <v>0</v>
      </c>
      <c r="M129" s="56">
        <f t="shared" si="34"/>
        <v>0</v>
      </c>
      <c r="N129" s="62">
        <f t="shared" si="35"/>
        <v>0</v>
      </c>
      <c r="O129" s="56">
        <f t="shared" si="43"/>
        <v>2392.5144404296866</v>
      </c>
      <c r="P129" s="56">
        <f t="shared" si="36"/>
        <v>28710.173285156241</v>
      </c>
      <c r="Q129" s="97">
        <f t="shared" si="44"/>
        <v>26164.780759374993</v>
      </c>
      <c r="R129" s="101">
        <f t="shared" si="45"/>
        <v>2545.392525781248</v>
      </c>
      <c r="S129" s="102">
        <f t="shared" si="46"/>
        <v>309032.85410521604</v>
      </c>
    </row>
    <row r="130" spans="1:25">
      <c r="A130" s="41">
        <v>67</v>
      </c>
      <c r="B130" s="56">
        <f t="shared" si="37"/>
        <v>2234.9837837441391</v>
      </c>
      <c r="C130" s="56">
        <f t="shared" si="32"/>
        <v>26819.80540492967</v>
      </c>
      <c r="D130" s="56">
        <f t="shared" si="33"/>
        <v>24137.824864436705</v>
      </c>
      <c r="E130" s="56">
        <f t="shared" si="38"/>
        <v>2452.3273014404285</v>
      </c>
      <c r="F130" s="56">
        <f t="shared" si="39"/>
        <v>29427.927617285142</v>
      </c>
      <c r="G130" s="97">
        <f t="shared" si="40"/>
        <v>26818.900278359364</v>
      </c>
      <c r="H130" s="97">
        <f t="shared" si="41"/>
        <v>29428.832743855452</v>
      </c>
      <c r="I130" s="94">
        <f t="shared" si="42"/>
        <v>482941.4663040528</v>
      </c>
      <c r="K130" s="41">
        <v>67</v>
      </c>
      <c r="L130" s="56">
        <v>0</v>
      </c>
      <c r="M130" s="56">
        <f t="shared" si="34"/>
        <v>0</v>
      </c>
      <c r="N130" s="62">
        <f t="shared" si="35"/>
        <v>0</v>
      </c>
      <c r="O130" s="56">
        <f t="shared" si="43"/>
        <v>2452.3273014404285</v>
      </c>
      <c r="P130" s="56">
        <f t="shared" si="36"/>
        <v>29427.927617285142</v>
      </c>
      <c r="Q130" s="97">
        <f t="shared" si="44"/>
        <v>26818.900278359364</v>
      </c>
      <c r="R130" s="101">
        <f t="shared" si="45"/>
        <v>2609.0273389257782</v>
      </c>
      <c r="S130" s="102">
        <f t="shared" si="46"/>
        <v>321716.35248797189</v>
      </c>
    </row>
    <row r="131" spans="1:25">
      <c r="A131" s="41">
        <v>68</v>
      </c>
      <c r="B131" s="56">
        <f t="shared" si="37"/>
        <v>2290.8583783377426</v>
      </c>
      <c r="C131" s="56">
        <f t="shared" si="32"/>
        <v>27490.300540052911</v>
      </c>
      <c r="D131" s="56">
        <f t="shared" si="33"/>
        <v>24741.270486047619</v>
      </c>
      <c r="E131" s="56">
        <f t="shared" si="38"/>
        <v>2513.635483976439</v>
      </c>
      <c r="F131" s="56">
        <f t="shared" si="39"/>
        <v>30163.625807717268</v>
      </c>
      <c r="G131" s="97">
        <f t="shared" si="40"/>
        <v>27489.372785318345</v>
      </c>
      <c r="H131" s="97">
        <f t="shared" si="41"/>
        <v>30164.553562451831</v>
      </c>
      <c r="I131" s="94">
        <f t="shared" si="42"/>
        <v>528849.91166801669</v>
      </c>
      <c r="K131" s="41">
        <v>68</v>
      </c>
      <c r="L131" s="56">
        <v>0</v>
      </c>
      <c r="M131" s="56">
        <f t="shared" si="34"/>
        <v>0</v>
      </c>
      <c r="N131" s="62">
        <f t="shared" si="35"/>
        <v>0</v>
      </c>
      <c r="O131" s="56">
        <f t="shared" si="43"/>
        <v>2513.635483976439</v>
      </c>
      <c r="P131" s="56">
        <f t="shared" si="36"/>
        <v>30163.625807717268</v>
      </c>
      <c r="Q131" s="97">
        <f t="shared" si="44"/>
        <v>27489.372785318345</v>
      </c>
      <c r="R131" s="101">
        <f t="shared" si="45"/>
        <v>2674.2530223989233</v>
      </c>
      <c r="S131" s="102">
        <f t="shared" si="46"/>
        <v>334878.5586014787</v>
      </c>
    </row>
    <row r="132" spans="1:25">
      <c r="A132" s="41">
        <v>69</v>
      </c>
      <c r="B132" s="56">
        <f t="shared" si="37"/>
        <v>2348.1298377961862</v>
      </c>
      <c r="C132" s="56">
        <f t="shared" si="32"/>
        <v>28177.558053554232</v>
      </c>
      <c r="D132" s="56">
        <f t="shared" si="33"/>
        <v>25359.802248198808</v>
      </c>
      <c r="E132" s="56">
        <f t="shared" si="38"/>
        <v>2576.4763710758498</v>
      </c>
      <c r="F132" s="56">
        <f t="shared" si="39"/>
        <v>30917.716452910197</v>
      </c>
      <c r="G132" s="97">
        <f t="shared" si="40"/>
        <v>28176.607104951301</v>
      </c>
      <c r="H132" s="97">
        <f t="shared" si="41"/>
        <v>30918.667401513125</v>
      </c>
      <c r="I132" s="94">
        <f t="shared" si="42"/>
        <v>577009.08618990704</v>
      </c>
      <c r="K132" s="41">
        <v>69</v>
      </c>
      <c r="L132" s="56">
        <v>0</v>
      </c>
      <c r="M132" s="56">
        <f t="shared" si="34"/>
        <v>0</v>
      </c>
      <c r="N132" s="62">
        <f t="shared" si="35"/>
        <v>0</v>
      </c>
      <c r="O132" s="56">
        <f t="shared" si="43"/>
        <v>2576.4763710758498</v>
      </c>
      <c r="P132" s="56">
        <f t="shared" si="36"/>
        <v>30917.716452910197</v>
      </c>
      <c r="Q132" s="97">
        <f t="shared" si="44"/>
        <v>28176.607104951301</v>
      </c>
      <c r="R132" s="101">
        <f t="shared" si="45"/>
        <v>2741.1093479588963</v>
      </c>
      <c r="S132" s="102">
        <f t="shared" si="46"/>
        <v>348536.70895984577</v>
      </c>
    </row>
    <row r="133" spans="1:25">
      <c r="A133" s="41">
        <v>70</v>
      </c>
      <c r="B133" s="56">
        <f t="shared" si="37"/>
        <v>2406.8330837410908</v>
      </c>
      <c r="C133" s="56">
        <f t="shared" si="32"/>
        <v>28881.997004893092</v>
      </c>
      <c r="D133" s="56">
        <f t="shared" si="33"/>
        <v>25993.797304403783</v>
      </c>
      <c r="E133" s="56">
        <f t="shared" si="38"/>
        <v>2640.8882803527458</v>
      </c>
      <c r="F133" s="56">
        <f t="shared" si="39"/>
        <v>31690.65936423295</v>
      </c>
      <c r="G133" s="97">
        <f t="shared" si="40"/>
        <v>28881.022282575082</v>
      </c>
      <c r="H133" s="97">
        <f t="shared" si="41"/>
        <v>31691.634086550956</v>
      </c>
      <c r="I133" s="94">
        <f t="shared" si="42"/>
        <v>627511.21648624889</v>
      </c>
      <c r="K133" s="41">
        <v>70</v>
      </c>
      <c r="L133" s="56">
        <f>B20</f>
        <v>3499.28</v>
      </c>
      <c r="M133" s="56">
        <f t="shared" si="34"/>
        <v>41991.360000000001</v>
      </c>
      <c r="N133" s="62">
        <f>M133*0.9</f>
        <v>37792.224000000002</v>
      </c>
      <c r="O133" s="56">
        <f t="shared" si="43"/>
        <v>2640.8882803527458</v>
      </c>
      <c r="P133" s="56">
        <f t="shared" si="36"/>
        <v>31690.65936423295</v>
      </c>
      <c r="Q133" s="97">
        <f t="shared" si="44"/>
        <v>28881.022282575082</v>
      </c>
      <c r="R133" s="101">
        <f t="shared" si="45"/>
        <v>44800.997081657872</v>
      </c>
      <c r="S133" s="102">
        <f t="shared" si="46"/>
        <v>404700.0027535946</v>
      </c>
    </row>
    <row r="134" spans="1:25">
      <c r="A134" s="41">
        <v>71</v>
      </c>
      <c r="B134" s="56">
        <f t="shared" si="37"/>
        <v>2467.0039108346177</v>
      </c>
      <c r="C134" s="56">
        <f t="shared" si="32"/>
        <v>29604.046930015415</v>
      </c>
      <c r="D134" s="56">
        <f t="shared" si="33"/>
        <v>26643.642237013875</v>
      </c>
      <c r="E134" s="56">
        <f t="shared" si="38"/>
        <v>2706.9104873615643</v>
      </c>
      <c r="F134" s="56">
        <f t="shared" si="39"/>
        <v>32482.925848338771</v>
      </c>
      <c r="G134" s="97">
        <f t="shared" si="40"/>
        <v>29603.047839639457</v>
      </c>
      <c r="H134" s="97">
        <f t="shared" si="41"/>
        <v>32483.924938714732</v>
      </c>
      <c r="I134" s="94">
        <f t="shared" si="42"/>
        <v>680452.00708241528</v>
      </c>
      <c r="K134" s="41">
        <v>71</v>
      </c>
      <c r="L134" s="56">
        <f t="shared" ref="L134:L163" si="47">L133*(1+$B$4)</f>
        <v>3586.7619999999997</v>
      </c>
      <c r="M134" s="56">
        <f t="shared" si="34"/>
        <v>43041.144</v>
      </c>
      <c r="N134" s="62">
        <f t="shared" ref="N134:N163" si="48">M134*0.9</f>
        <v>38737.029600000002</v>
      </c>
      <c r="O134" s="56">
        <f t="shared" si="43"/>
        <v>2706.9104873615643</v>
      </c>
      <c r="P134" s="56">
        <f t="shared" si="36"/>
        <v>32482.925848338771</v>
      </c>
      <c r="Q134" s="97">
        <f t="shared" si="44"/>
        <v>29603.047839639457</v>
      </c>
      <c r="R134" s="101">
        <f t="shared" si="45"/>
        <v>45921.022008699307</v>
      </c>
      <c r="S134" s="102">
        <f t="shared" si="46"/>
        <v>463814.24485206109</v>
      </c>
    </row>
    <row r="135" spans="1:25">
      <c r="A135" s="41">
        <v>72</v>
      </c>
      <c r="B135" s="56">
        <f t="shared" si="37"/>
        <v>2528.679008605483</v>
      </c>
      <c r="C135" s="56">
        <f t="shared" si="32"/>
        <v>30344.148103265798</v>
      </c>
      <c r="D135" s="56">
        <f t="shared" si="33"/>
        <v>27309.733292939218</v>
      </c>
      <c r="E135" s="56">
        <f t="shared" si="38"/>
        <v>2774.5832495456029</v>
      </c>
      <c r="F135" s="56">
        <f t="shared" si="39"/>
        <v>33294.998994547233</v>
      </c>
      <c r="G135" s="97">
        <f t="shared" si="40"/>
        <v>30343.124035630441</v>
      </c>
      <c r="H135" s="97">
        <f t="shared" si="41"/>
        <v>33296.02306218259</v>
      </c>
      <c r="I135" s="94">
        <f t="shared" si="42"/>
        <v>735930.76557548461</v>
      </c>
      <c r="K135" s="41">
        <v>72</v>
      </c>
      <c r="L135" s="56">
        <f t="shared" si="47"/>
        <v>3676.4310499999992</v>
      </c>
      <c r="M135" s="56">
        <f t="shared" si="34"/>
        <v>44117.172599999991</v>
      </c>
      <c r="N135" s="62">
        <f t="shared" si="48"/>
        <v>39705.455339999993</v>
      </c>
      <c r="O135" s="56">
        <f t="shared" si="43"/>
        <v>2774.5832495456029</v>
      </c>
      <c r="P135" s="56">
        <f t="shared" si="36"/>
        <v>33294.998994547233</v>
      </c>
      <c r="Q135" s="97">
        <f t="shared" si="44"/>
        <v>30343.124035630441</v>
      </c>
      <c r="R135" s="101">
        <f t="shared" si="45"/>
        <v>47069.047558916784</v>
      </c>
      <c r="S135" s="102">
        <f t="shared" si="46"/>
        <v>526003.63679315499</v>
      </c>
    </row>
    <row r="136" spans="1:25">
      <c r="A136" s="41">
        <v>73</v>
      </c>
      <c r="B136" s="56">
        <f t="shared" si="37"/>
        <v>2591.8959838206197</v>
      </c>
      <c r="C136" s="56">
        <f t="shared" si="32"/>
        <v>31102.751805847438</v>
      </c>
      <c r="D136" s="56">
        <f t="shared" si="33"/>
        <v>27992.476625262694</v>
      </c>
      <c r="E136" s="56">
        <f t="shared" si="38"/>
        <v>2843.9478307842428</v>
      </c>
      <c r="F136" s="56">
        <f t="shared" si="39"/>
        <v>34127.37396941091</v>
      </c>
      <c r="G136" s="97">
        <f t="shared" si="40"/>
        <v>31101.702136521199</v>
      </c>
      <c r="H136" s="97">
        <f t="shared" si="41"/>
        <v>34128.423638737149</v>
      </c>
      <c r="I136" s="94">
        <f t="shared" si="42"/>
        <v>794050.53217198257</v>
      </c>
      <c r="K136" s="41">
        <v>73</v>
      </c>
      <c r="L136" s="56">
        <f t="shared" si="47"/>
        <v>3768.341826249999</v>
      </c>
      <c r="M136" s="56">
        <f t="shared" si="34"/>
        <v>45220.101914999992</v>
      </c>
      <c r="N136" s="62">
        <f t="shared" si="48"/>
        <v>40698.091723499994</v>
      </c>
      <c r="O136" s="56">
        <f t="shared" si="43"/>
        <v>2843.9478307842428</v>
      </c>
      <c r="P136" s="56">
        <f t="shared" si="36"/>
        <v>34127.37396941091</v>
      </c>
      <c r="Q136" s="97">
        <f t="shared" si="44"/>
        <v>31101.702136521199</v>
      </c>
      <c r="R136" s="101">
        <f t="shared" si="45"/>
        <v>48245.773747889703</v>
      </c>
      <c r="S136" s="102">
        <f t="shared" si="46"/>
        <v>591397.12910050154</v>
      </c>
    </row>
    <row r="137" spans="1:25">
      <c r="A137" s="41">
        <v>74</v>
      </c>
      <c r="B137" s="56">
        <f t="shared" si="37"/>
        <v>2656.693383416135</v>
      </c>
      <c r="C137" s="56">
        <f t="shared" si="32"/>
        <v>31880.320600993618</v>
      </c>
      <c r="D137" s="56">
        <f t="shared" si="33"/>
        <v>28692.288540894257</v>
      </c>
      <c r="E137" s="56">
        <f t="shared" si="38"/>
        <v>2915.0465265538487</v>
      </c>
      <c r="F137" s="56">
        <f t="shared" si="39"/>
        <v>34980.558318646188</v>
      </c>
      <c r="G137" s="97">
        <f t="shared" si="40"/>
        <v>31879.244689934225</v>
      </c>
      <c r="H137" s="97">
        <f t="shared" si="41"/>
        <v>34981.634229705574</v>
      </c>
      <c r="I137" s="94">
        <f t="shared" si="42"/>
        <v>854918.21375049476</v>
      </c>
      <c r="K137" s="41">
        <v>74</v>
      </c>
      <c r="L137" s="56">
        <f t="shared" si="47"/>
        <v>3862.5503719062485</v>
      </c>
      <c r="M137" s="56">
        <f t="shared" si="34"/>
        <v>46350.604462874981</v>
      </c>
      <c r="N137" s="62">
        <f t="shared" si="48"/>
        <v>41715.544016587482</v>
      </c>
      <c r="O137" s="56">
        <f t="shared" si="43"/>
        <v>2915.0465265538487</v>
      </c>
      <c r="P137" s="56">
        <f t="shared" si="36"/>
        <v>34980.558318646188</v>
      </c>
      <c r="Q137" s="97">
        <f t="shared" si="44"/>
        <v>31879.244689934225</v>
      </c>
      <c r="R137" s="101">
        <f t="shared" si="45"/>
        <v>49451.918091586944</v>
      </c>
      <c r="S137" s="102">
        <f t="shared" si="46"/>
        <v>660128.59360076475</v>
      </c>
      <c r="Y137" t="str">
        <f>"Compare Saving of Married Frank and Bill at rate of return of " &amp; B5*100 &amp; "% and Cola of " &amp; B4*100 &amp; "% " &amp; "Yearly Expenses = $" &amp; B9 &amp; " Frank and Bill pass at age " &amp; H5</f>
        <v>Compare Saving of Married Frank and Bill at rate of return of 3.26% and Cola of 2.5% Yearly Expenses = $23704 Frank and Bill pass at age 80</v>
      </c>
    </row>
    <row r="138" spans="1:25">
      <c r="A138" s="41">
        <v>75</v>
      </c>
      <c r="B138" s="56">
        <f t="shared" si="37"/>
        <v>2723.1107180015383</v>
      </c>
      <c r="C138" s="56">
        <f t="shared" si="32"/>
        <v>32677.328616018458</v>
      </c>
      <c r="D138" s="56">
        <f t="shared" si="33"/>
        <v>29409.595754416612</v>
      </c>
      <c r="E138" s="56">
        <f t="shared" si="38"/>
        <v>2987.9226897176945</v>
      </c>
      <c r="F138" s="56">
        <f t="shared" si="39"/>
        <v>35855.072276612336</v>
      </c>
      <c r="G138" s="97">
        <f t="shared" si="40"/>
        <v>32676.225807182578</v>
      </c>
      <c r="H138" s="97">
        <f t="shared" si="41"/>
        <v>35856.175085448223</v>
      </c>
      <c r="I138" s="94">
        <f t="shared" si="42"/>
        <v>918644.72260420909</v>
      </c>
      <c r="K138" s="41">
        <v>75</v>
      </c>
      <c r="L138" s="56">
        <f t="shared" si="47"/>
        <v>3959.1141312039044</v>
      </c>
      <c r="M138" s="56">
        <f t="shared" si="34"/>
        <v>47509.369574446857</v>
      </c>
      <c r="N138" s="62">
        <f t="shared" si="48"/>
        <v>42758.432617002174</v>
      </c>
      <c r="O138" s="56">
        <f t="shared" si="43"/>
        <v>2987.9226897176945</v>
      </c>
      <c r="P138" s="56">
        <f t="shared" si="36"/>
        <v>35855.072276612336</v>
      </c>
      <c r="Q138" s="97">
        <f t="shared" si="44"/>
        <v>32676.225807182578</v>
      </c>
      <c r="R138" s="101">
        <f t="shared" si="45"/>
        <v>50688.216043876615</v>
      </c>
      <c r="S138" s="102">
        <f t="shared" si="46"/>
        <v>732337.00179602625</v>
      </c>
    </row>
    <row r="139" spans="1:25">
      <c r="A139" s="41">
        <v>76</v>
      </c>
      <c r="B139" s="56">
        <f t="shared" si="37"/>
        <v>2791.1884859515767</v>
      </c>
      <c r="C139" s="56">
        <f t="shared" si="32"/>
        <v>33494.261831418917</v>
      </c>
      <c r="D139" s="56">
        <f t="shared" si="33"/>
        <v>30144.835648277025</v>
      </c>
      <c r="E139" s="56">
        <f t="shared" si="38"/>
        <v>3062.6207569606368</v>
      </c>
      <c r="F139" s="56">
        <f t="shared" si="39"/>
        <v>36751.449083527637</v>
      </c>
      <c r="G139" s="97">
        <f t="shared" si="40"/>
        <v>33493.13145236214</v>
      </c>
      <c r="H139" s="97">
        <f t="shared" si="41"/>
        <v>36752.579462584414</v>
      </c>
      <c r="I139" s="94">
        <f t="shared" si="42"/>
        <v>985345.12002369075</v>
      </c>
      <c r="K139" s="41">
        <v>76</v>
      </c>
      <c r="L139" s="56">
        <f t="shared" si="47"/>
        <v>4058.0919844840018</v>
      </c>
      <c r="M139" s="56">
        <f t="shared" si="34"/>
        <v>48697.103813808018</v>
      </c>
      <c r="N139" s="62">
        <f t="shared" si="48"/>
        <v>43827.39343242722</v>
      </c>
      <c r="O139" s="56">
        <f t="shared" si="43"/>
        <v>3062.6207569606368</v>
      </c>
      <c r="P139" s="56">
        <f t="shared" si="36"/>
        <v>36751.449083527637</v>
      </c>
      <c r="Q139" s="97">
        <f t="shared" si="44"/>
        <v>33493.13145236214</v>
      </c>
      <c r="R139" s="101">
        <f t="shared" si="45"/>
        <v>51955.421444973515</v>
      </c>
      <c r="S139" s="102">
        <f t="shared" si="46"/>
        <v>808166.60949955019</v>
      </c>
    </row>
    <row r="140" spans="1:25">
      <c r="A140" s="41">
        <v>77</v>
      </c>
      <c r="B140" s="56">
        <f t="shared" si="37"/>
        <v>2860.968198100366</v>
      </c>
      <c r="C140" s="56">
        <f t="shared" si="32"/>
        <v>34331.618377204388</v>
      </c>
      <c r="D140" s="56">
        <f t="shared" si="33"/>
        <v>30898.456539483948</v>
      </c>
      <c r="E140" s="56">
        <f t="shared" si="38"/>
        <v>3139.1862758846523</v>
      </c>
      <c r="F140" s="56">
        <f t="shared" si="39"/>
        <v>37670.235310615826</v>
      </c>
      <c r="G140" s="97">
        <f t="shared" si="40"/>
        <v>34330.45973867119</v>
      </c>
      <c r="H140" s="97">
        <f t="shared" si="41"/>
        <v>37671.393949149024</v>
      </c>
      <c r="I140" s="94">
        <f t="shared" si="42"/>
        <v>1055138.7648856121</v>
      </c>
      <c r="K140" s="41">
        <v>77</v>
      </c>
      <c r="L140" s="56">
        <f t="shared" si="47"/>
        <v>4159.5442840961014</v>
      </c>
      <c r="M140" s="56">
        <f t="shared" si="34"/>
        <v>49914.53140915322</v>
      </c>
      <c r="N140" s="62">
        <f t="shared" si="48"/>
        <v>44923.078268237899</v>
      </c>
      <c r="O140" s="56">
        <f t="shared" si="43"/>
        <v>3139.1862758846523</v>
      </c>
      <c r="P140" s="56">
        <f t="shared" si="36"/>
        <v>37670.235310615826</v>
      </c>
      <c r="Q140" s="97">
        <f t="shared" si="44"/>
        <v>34330.45973867119</v>
      </c>
      <c r="R140" s="101">
        <f t="shared" si="45"/>
        <v>53254.306981097856</v>
      </c>
      <c r="S140" s="102">
        <f t="shared" si="46"/>
        <v>887767.14795033343</v>
      </c>
    </row>
    <row r="141" spans="1:25">
      <c r="A141" s="41">
        <v>78</v>
      </c>
      <c r="B141" s="56">
        <f t="shared" si="37"/>
        <v>2932.492403052875</v>
      </c>
      <c r="C141" s="56">
        <f t="shared" si="32"/>
        <v>35189.908836634502</v>
      </c>
      <c r="D141" s="56">
        <f t="shared" si="33"/>
        <v>31670.917952971053</v>
      </c>
      <c r="E141" s="56">
        <f t="shared" si="38"/>
        <v>3217.6659327817683</v>
      </c>
      <c r="F141" s="56">
        <f t="shared" si="39"/>
        <v>38611.991193381218</v>
      </c>
      <c r="G141" s="97">
        <f t="shared" si="40"/>
        <v>35188.72123213797</v>
      </c>
      <c r="H141" s="97">
        <f t="shared" si="41"/>
        <v>38613.17879787775</v>
      </c>
      <c r="I141" s="94">
        <f t="shared" si="42"/>
        <v>1128149.4674187608</v>
      </c>
      <c r="K141" s="41">
        <v>78</v>
      </c>
      <c r="L141" s="56">
        <f t="shared" si="47"/>
        <v>4263.5328911985034</v>
      </c>
      <c r="M141" s="56">
        <f t="shared" si="34"/>
        <v>51162.394694382041</v>
      </c>
      <c r="N141" s="62">
        <f t="shared" si="48"/>
        <v>46046.155224943839</v>
      </c>
      <c r="O141" s="56">
        <f t="shared" si="43"/>
        <v>3217.6659327817683</v>
      </c>
      <c r="P141" s="56">
        <f t="shared" si="36"/>
        <v>38611.991193381218</v>
      </c>
      <c r="Q141" s="97">
        <f t="shared" si="44"/>
        <v>35188.72123213797</v>
      </c>
      <c r="R141" s="101">
        <f t="shared" si="45"/>
        <v>54585.664655625289</v>
      </c>
      <c r="S141" s="102">
        <f t="shared" si="46"/>
        <v>971294.02162913955</v>
      </c>
    </row>
    <row r="142" spans="1:25">
      <c r="A142" s="41">
        <v>79</v>
      </c>
      <c r="B142" s="56">
        <f t="shared" si="37"/>
        <v>3005.8047131291964</v>
      </c>
      <c r="C142" s="56">
        <f t="shared" si="32"/>
        <v>36069.656557550356</v>
      </c>
      <c r="D142" s="56">
        <f t="shared" si="33"/>
        <v>32462.690901795322</v>
      </c>
      <c r="E142" s="56">
        <f t="shared" si="38"/>
        <v>3298.1075811013125</v>
      </c>
      <c r="F142" s="56">
        <f t="shared" si="39"/>
        <v>39577.29097321575</v>
      </c>
      <c r="G142" s="97">
        <f t="shared" si="40"/>
        <v>36068.439262941414</v>
      </c>
      <c r="H142" s="97">
        <f t="shared" si="41"/>
        <v>39578.508267824691</v>
      </c>
      <c r="I142" s="94">
        <f t="shared" si="42"/>
        <v>1204505.648324437</v>
      </c>
      <c r="K142" s="41">
        <v>79</v>
      </c>
      <c r="L142" s="56">
        <f t="shared" si="47"/>
        <v>4370.1212134784655</v>
      </c>
      <c r="M142" s="56">
        <f t="shared" si="34"/>
        <v>52441.454561741586</v>
      </c>
      <c r="N142" s="62">
        <f t="shared" si="48"/>
        <v>47197.30910556743</v>
      </c>
      <c r="O142" s="56">
        <f t="shared" si="43"/>
        <v>3298.1075811013125</v>
      </c>
      <c r="P142" s="56">
        <f t="shared" si="36"/>
        <v>39577.29097321575</v>
      </c>
      <c r="Q142" s="97">
        <f t="shared" si="44"/>
        <v>36068.439262941414</v>
      </c>
      <c r="R142" s="101">
        <f t="shared" si="45"/>
        <v>55950.306272015914</v>
      </c>
      <c r="S142" s="102">
        <f t="shared" si="46"/>
        <v>1058908.5130062655</v>
      </c>
    </row>
    <row r="143" spans="1:25">
      <c r="A143" s="41">
        <v>80</v>
      </c>
      <c r="B143" s="56">
        <f t="shared" si="37"/>
        <v>3080.949830957426</v>
      </c>
      <c r="C143" s="56">
        <f t="shared" si="32"/>
        <v>36971.39797148911</v>
      </c>
      <c r="D143" s="56">
        <f t="shared" si="33"/>
        <v>33274.258174340197</v>
      </c>
      <c r="E143" s="56">
        <f t="shared" si="38"/>
        <v>3380.560270628845</v>
      </c>
      <c r="F143" s="56">
        <f t="shared" si="39"/>
        <v>40566.723247546142</v>
      </c>
      <c r="G143" s="97">
        <f t="shared" si="40"/>
        <v>36970.150244514945</v>
      </c>
      <c r="H143" s="97">
        <f t="shared" si="41"/>
        <v>40567.970974520307</v>
      </c>
      <c r="I143" s="94">
        <f t="shared" si="42"/>
        <v>1284340.503434334</v>
      </c>
      <c r="K143" s="41">
        <v>80</v>
      </c>
      <c r="L143" s="56">
        <f t="shared" si="47"/>
        <v>4479.3742438154268</v>
      </c>
      <c r="M143" s="56">
        <f t="shared" si="34"/>
        <v>53752.490925785125</v>
      </c>
      <c r="N143" s="62">
        <f t="shared" si="48"/>
        <v>48377.241833206615</v>
      </c>
      <c r="O143" s="56">
        <f t="shared" si="43"/>
        <v>3380.560270628845</v>
      </c>
      <c r="P143" s="56">
        <f t="shared" si="36"/>
        <v>40566.723247546142</v>
      </c>
      <c r="Q143" s="97">
        <f t="shared" si="44"/>
        <v>36970.150244514945</v>
      </c>
      <c r="R143" s="101">
        <f t="shared" si="45"/>
        <v>57349.063928816329</v>
      </c>
      <c r="S143" s="102">
        <f t="shared" si="46"/>
        <v>1150777.9944590859</v>
      </c>
    </row>
    <row r="144" spans="1:25">
      <c r="A144" s="41">
        <v>81</v>
      </c>
      <c r="B144" s="56">
        <f t="shared" si="37"/>
        <v>3157.9735767313614</v>
      </c>
      <c r="C144" s="56">
        <f t="shared" si="32"/>
        <v>37895.682920776337</v>
      </c>
      <c r="D144" s="56">
        <f t="shared" si="33"/>
        <v>34106.114628698706</v>
      </c>
      <c r="E144" s="56">
        <f t="shared" si="38"/>
        <v>3465.0742773945658</v>
      </c>
      <c r="F144" s="56">
        <f t="shared" si="39"/>
        <v>41580.89132873479</v>
      </c>
      <c r="G144" s="97">
        <f t="shared" si="40"/>
        <v>37894.404000627816</v>
      </c>
      <c r="H144" s="97">
        <f>IF(A144&lt;=$H$5,C144+F144-G144,(IF(F144&gt;=D144,F144-G144,D143-G144)))</f>
        <v>3686.487328106974</v>
      </c>
      <c r="I144" s="94">
        <f t="shared" si="42"/>
        <v>1329896.4911744001</v>
      </c>
      <c r="K144" s="41">
        <v>81</v>
      </c>
      <c r="L144" s="56">
        <f t="shared" si="47"/>
        <v>4591.3585999108118</v>
      </c>
      <c r="M144" s="56">
        <f t="shared" si="34"/>
        <v>55096.303198929745</v>
      </c>
      <c r="N144" s="62">
        <f t="shared" si="48"/>
        <v>49586.672879036771</v>
      </c>
      <c r="O144" s="56">
        <f t="shared" si="43"/>
        <v>3465.0742773945658</v>
      </c>
      <c r="P144" s="56">
        <f t="shared" si="36"/>
        <v>41580.89132873479</v>
      </c>
      <c r="Q144" s="97">
        <f t="shared" si="44"/>
        <v>37894.404000627816</v>
      </c>
      <c r="R144" s="101">
        <f t="shared" si="45"/>
        <v>11692.268878408955</v>
      </c>
      <c r="S144" s="102">
        <f t="shared" si="46"/>
        <v>1199985.6259568611</v>
      </c>
      <c r="U144" s="2"/>
    </row>
    <row r="145" spans="1:20">
      <c r="A145" s="41">
        <v>82</v>
      </c>
      <c r="B145" s="56">
        <f t="shared" si="37"/>
        <v>3236.9229161496451</v>
      </c>
      <c r="C145" s="56">
        <f t="shared" si="32"/>
        <v>38843.074993795744</v>
      </c>
      <c r="D145" s="56">
        <f t="shared" si="33"/>
        <v>34958.76749441617</v>
      </c>
      <c r="E145" s="56">
        <f t="shared" si="38"/>
        <v>3551.7011343294298</v>
      </c>
      <c r="F145" s="56">
        <f t="shared" si="39"/>
        <v>42620.413611953161</v>
      </c>
      <c r="G145" s="97">
        <f t="shared" si="40"/>
        <v>38841.764100643508</v>
      </c>
      <c r="H145" s="97">
        <f t="shared" si="41"/>
        <v>3778.6495113096535</v>
      </c>
      <c r="I145" s="94">
        <f t="shared" si="42"/>
        <v>1377029.7662979951</v>
      </c>
      <c r="K145" s="41">
        <v>82</v>
      </c>
      <c r="L145" s="56">
        <f t="shared" si="47"/>
        <v>4706.1425649085813</v>
      </c>
      <c r="M145" s="56">
        <f t="shared" si="34"/>
        <v>56473.710778902976</v>
      </c>
      <c r="N145" s="62">
        <f t="shared" si="48"/>
        <v>50826.339701012679</v>
      </c>
      <c r="O145" s="56">
        <f t="shared" si="43"/>
        <v>3551.7011343294298</v>
      </c>
      <c r="P145" s="56">
        <f t="shared" si="36"/>
        <v>42620.413611953161</v>
      </c>
      <c r="Q145" s="97">
        <f t="shared" si="44"/>
        <v>38841.764100643508</v>
      </c>
      <c r="R145" s="101">
        <f t="shared" si="45"/>
        <v>11984.575600369171</v>
      </c>
      <c r="S145" s="102">
        <f t="shared" si="46"/>
        <v>1251089.7329634239</v>
      </c>
      <c r="T145" s="2"/>
    </row>
    <row r="146" spans="1:20">
      <c r="A146" s="41">
        <v>83</v>
      </c>
      <c r="B146" s="56">
        <f t="shared" si="37"/>
        <v>3317.8459890533859</v>
      </c>
      <c r="C146" s="56">
        <f t="shared" si="32"/>
        <v>39814.151868640634</v>
      </c>
      <c r="D146" s="56">
        <f t="shared" si="33"/>
        <v>35832.736681776572</v>
      </c>
      <c r="E146" s="56">
        <f t="shared" si="38"/>
        <v>3640.4936626876652</v>
      </c>
      <c r="F146" s="56">
        <f t="shared" si="39"/>
        <v>43685.923952251978</v>
      </c>
      <c r="G146" s="97">
        <f t="shared" si="40"/>
        <v>39812.808203159591</v>
      </c>
      <c r="H146" s="97">
        <f t="shared" si="41"/>
        <v>3873.115749092387</v>
      </c>
      <c r="I146" s="94">
        <f t="shared" si="42"/>
        <v>1425794.052428402</v>
      </c>
      <c r="K146" s="41">
        <v>83</v>
      </c>
      <c r="L146" s="56">
        <f t="shared" si="47"/>
        <v>4823.7961290312951</v>
      </c>
      <c r="M146" s="56">
        <f t="shared" si="34"/>
        <v>57885.553548375538</v>
      </c>
      <c r="N146" s="62">
        <f t="shared" si="48"/>
        <v>52096.998193537984</v>
      </c>
      <c r="O146" s="56">
        <f t="shared" si="43"/>
        <v>3640.4936626876652</v>
      </c>
      <c r="P146" s="56">
        <f t="shared" si="36"/>
        <v>43685.923952251978</v>
      </c>
      <c r="Q146" s="97">
        <f t="shared" si="44"/>
        <v>39812.808203159591</v>
      </c>
      <c r="R146" s="101">
        <f t="shared" si="45"/>
        <v>12284.189990378392</v>
      </c>
      <c r="S146" s="102">
        <f t="shared" si="46"/>
        <v>1304159.4482484099</v>
      </c>
    </row>
    <row r="147" spans="1:20">
      <c r="A147" s="41">
        <v>84</v>
      </c>
      <c r="B147" s="56">
        <f t="shared" si="37"/>
        <v>3400.7921387797201</v>
      </c>
      <c r="C147" s="56">
        <f t="shared" si="32"/>
        <v>40809.505665356643</v>
      </c>
      <c r="D147" s="56">
        <f t="shared" si="33"/>
        <v>36728.55509882098</v>
      </c>
      <c r="E147" s="56">
        <f t="shared" si="38"/>
        <v>3731.5060042548566</v>
      </c>
      <c r="F147" s="56">
        <f t="shared" si="39"/>
        <v>44778.072051058276</v>
      </c>
      <c r="G147" s="97">
        <f t="shared" si="40"/>
        <v>40808.128408238576</v>
      </c>
      <c r="H147" s="97">
        <f t="shared" si="41"/>
        <v>3969.9436428197005</v>
      </c>
      <c r="I147" s="94">
        <f t="shared" si="42"/>
        <v>1476244.8821803876</v>
      </c>
      <c r="K147" s="41">
        <v>84</v>
      </c>
      <c r="L147" s="56">
        <f t="shared" si="47"/>
        <v>4944.3910322570773</v>
      </c>
      <c r="M147" s="56">
        <f t="shared" si="34"/>
        <v>59332.692387084928</v>
      </c>
      <c r="N147" s="62">
        <f t="shared" si="48"/>
        <v>53399.423148376438</v>
      </c>
      <c r="O147" s="56">
        <f>L147*0.9</f>
        <v>4449.9519290313701</v>
      </c>
      <c r="P147" s="56">
        <f t="shared" si="36"/>
        <v>53399.423148376445</v>
      </c>
      <c r="Q147" s="97">
        <f t="shared" si="44"/>
        <v>40808.128408238576</v>
      </c>
      <c r="R147" s="101">
        <f t="shared" si="45"/>
        <v>12591.29474013787</v>
      </c>
      <c r="S147" s="102">
        <f t="shared" si="46"/>
        <v>1359266.3410014459</v>
      </c>
    </row>
    <row r="148" spans="1:20">
      <c r="A148" s="41">
        <v>85</v>
      </c>
      <c r="B148" s="56">
        <f t="shared" si="37"/>
        <v>3485.8119422492127</v>
      </c>
      <c r="C148" s="56">
        <f t="shared" si="32"/>
        <v>41829.743306990553</v>
      </c>
      <c r="D148" s="56">
        <f t="shared" si="33"/>
        <v>37646.768976291496</v>
      </c>
      <c r="E148" s="56">
        <f t="shared" si="38"/>
        <v>3824.7936543612277</v>
      </c>
      <c r="F148" s="56">
        <f t="shared" si="39"/>
        <v>45897.523852334736</v>
      </c>
      <c r="G148" s="97">
        <f t="shared" si="40"/>
        <v>41828.331618444536</v>
      </c>
      <c r="H148" s="97">
        <f t="shared" si="41"/>
        <v>4069.1922338902004</v>
      </c>
      <c r="I148" s="94">
        <f t="shared" si="42"/>
        <v>1528439.6575733584</v>
      </c>
      <c r="K148" s="41">
        <v>85</v>
      </c>
      <c r="L148" s="56">
        <f t="shared" si="47"/>
        <v>5068.0008080635034</v>
      </c>
      <c r="M148" s="56">
        <f t="shared" si="34"/>
        <v>60816.009696762041</v>
      </c>
      <c r="N148" s="62">
        <f t="shared" si="48"/>
        <v>54734.408727085836</v>
      </c>
      <c r="O148" s="56">
        <f t="shared" ref="O148:O163" si="49">L148*0.9</f>
        <v>4561.2007272571536</v>
      </c>
      <c r="P148" s="56">
        <f t="shared" si="36"/>
        <v>54734.408727085844</v>
      </c>
      <c r="Q148" s="97">
        <f t="shared" si="44"/>
        <v>41828.331618444536</v>
      </c>
      <c r="R148" s="101">
        <f t="shared" si="45"/>
        <v>12906.077108641308</v>
      </c>
      <c r="S148" s="102">
        <f t="shared" si="46"/>
        <v>1416484.5008267344</v>
      </c>
    </row>
    <row r="149" spans="1:20">
      <c r="A149" s="41">
        <v>86</v>
      </c>
      <c r="B149" s="56">
        <f t="shared" si="37"/>
        <v>3572.9572408054428</v>
      </c>
      <c r="C149" s="56">
        <f t="shared" si="32"/>
        <v>42875.486889665313</v>
      </c>
      <c r="D149" s="56">
        <f t="shared" si="33"/>
        <v>38587.93820069878</v>
      </c>
      <c r="E149" s="56">
        <f t="shared" si="38"/>
        <v>3920.4134957202582</v>
      </c>
      <c r="F149" s="56">
        <f t="shared" si="39"/>
        <v>47044.961948643097</v>
      </c>
      <c r="G149" s="97">
        <f t="shared" si="40"/>
        <v>42874.039908905645</v>
      </c>
      <c r="H149" s="97">
        <f t="shared" si="41"/>
        <v>4170.922039737452</v>
      </c>
      <c r="I149" s="94">
        <f t="shared" si="42"/>
        <v>1582437.7124499872</v>
      </c>
      <c r="K149" s="41">
        <v>86</v>
      </c>
      <c r="L149" s="56">
        <f t="shared" si="47"/>
        <v>5194.7008282650904</v>
      </c>
      <c r="M149" s="56">
        <f t="shared" si="34"/>
        <v>62336.409939181089</v>
      </c>
      <c r="N149" s="62">
        <f t="shared" si="48"/>
        <v>56102.768945262978</v>
      </c>
      <c r="O149" s="56">
        <f t="shared" si="49"/>
        <v>4675.2307454385818</v>
      </c>
      <c r="P149" s="56">
        <f t="shared" si="36"/>
        <v>56102.768945262986</v>
      </c>
      <c r="Q149" s="97">
        <f t="shared" si="44"/>
        <v>42874.039908905645</v>
      </c>
      <c r="R149" s="101">
        <f t="shared" si="45"/>
        <v>13228.729036357341</v>
      </c>
      <c r="S149" s="102">
        <f t="shared" si="46"/>
        <v>1475890.624590043</v>
      </c>
    </row>
    <row r="150" spans="1:20">
      <c r="A150" s="41">
        <v>87</v>
      </c>
      <c r="B150" s="56">
        <f t="shared" si="37"/>
        <v>3662.2811718255784</v>
      </c>
      <c r="C150" s="56">
        <f t="shared" si="32"/>
        <v>43947.374061906943</v>
      </c>
      <c r="D150" s="56">
        <f t="shared" si="33"/>
        <v>39552.636655716247</v>
      </c>
      <c r="E150" s="56">
        <f t="shared" si="38"/>
        <v>4018.4238331132642</v>
      </c>
      <c r="F150" s="56">
        <f t="shared" si="39"/>
        <v>48221.085997359172</v>
      </c>
      <c r="G150" s="97">
        <f t="shared" si="40"/>
        <v>43945.890906628279</v>
      </c>
      <c r="H150" s="97">
        <f t="shared" si="41"/>
        <v>4275.1950907308928</v>
      </c>
      <c r="I150" s="94">
        <f t="shared" si="42"/>
        <v>1638300.3769665875</v>
      </c>
      <c r="K150" s="41">
        <v>87</v>
      </c>
      <c r="L150" s="56">
        <f t="shared" si="47"/>
        <v>5324.5683489717176</v>
      </c>
      <c r="M150" s="56">
        <f t="shared" si="34"/>
        <v>63894.820187660611</v>
      </c>
      <c r="N150" s="62">
        <f t="shared" si="48"/>
        <v>57505.338168894552</v>
      </c>
      <c r="O150" s="56">
        <f t="shared" si="49"/>
        <v>4792.111514074546</v>
      </c>
      <c r="P150" s="56">
        <f t="shared" si="36"/>
        <v>57505.338168894552</v>
      </c>
      <c r="Q150" s="97">
        <f t="shared" si="44"/>
        <v>43945.890906628279</v>
      </c>
      <c r="R150" s="101">
        <f t="shared" si="45"/>
        <v>13559.447262266272</v>
      </c>
      <c r="S150" s="102">
        <f t="shared" si="46"/>
        <v>1537564.1062139445</v>
      </c>
    </row>
    <row r="151" spans="1:20">
      <c r="A151" s="41">
        <v>88</v>
      </c>
      <c r="B151" s="56">
        <f t="shared" si="37"/>
        <v>3753.8382011212175</v>
      </c>
      <c r="C151" s="56">
        <f t="shared" si="32"/>
        <v>45046.058413454608</v>
      </c>
      <c r="D151" s="56">
        <f t="shared" si="33"/>
        <v>40541.452572109149</v>
      </c>
      <c r="E151" s="56">
        <f t="shared" si="38"/>
        <v>4118.8844289410954</v>
      </c>
      <c r="F151" s="56">
        <f t="shared" si="39"/>
        <v>49426.613147293145</v>
      </c>
      <c r="G151" s="97">
        <f t="shared" si="40"/>
        <v>45044.538179293981</v>
      </c>
      <c r="H151" s="97">
        <f t="shared" si="41"/>
        <v>4382.0749679991641</v>
      </c>
      <c r="I151" s="94">
        <f t="shared" si="42"/>
        <v>1696091.0442236974</v>
      </c>
      <c r="K151" s="41">
        <v>88</v>
      </c>
      <c r="L151" s="56">
        <f t="shared" si="47"/>
        <v>5457.68255769601</v>
      </c>
      <c r="M151" s="56">
        <f t="shared" si="34"/>
        <v>65492.190692352116</v>
      </c>
      <c r="N151" s="62">
        <f t="shared" si="48"/>
        <v>58942.971623116908</v>
      </c>
      <c r="O151" s="56">
        <f t="shared" si="49"/>
        <v>4911.9143019264093</v>
      </c>
      <c r="P151" s="56">
        <f t="shared" si="36"/>
        <v>58942.971623116915</v>
      </c>
      <c r="Q151" s="97">
        <f t="shared" si="44"/>
        <v>45044.538179293981</v>
      </c>
      <c r="R151" s="101">
        <f t="shared" si="45"/>
        <v>13898.433443822934</v>
      </c>
      <c r="S151" s="102">
        <f t="shared" si="46"/>
        <v>1601587.129520342</v>
      </c>
    </row>
    <row r="152" spans="1:20">
      <c r="A152" s="41">
        <v>89</v>
      </c>
      <c r="B152" s="56">
        <f t="shared" si="37"/>
        <v>3847.6841561492474</v>
      </c>
      <c r="C152" s="56">
        <f t="shared" si="32"/>
        <v>46172.209873790969</v>
      </c>
      <c r="D152" s="56">
        <f t="shared" si="33"/>
        <v>41554.988886411877</v>
      </c>
      <c r="E152" s="56">
        <f t="shared" si="38"/>
        <v>4221.8565396646227</v>
      </c>
      <c r="F152" s="56">
        <f t="shared" si="39"/>
        <v>50662.278475975472</v>
      </c>
      <c r="G152" s="97">
        <f t="shared" si="40"/>
        <v>46170.651633776324</v>
      </c>
      <c r="H152" s="97">
        <f t="shared" si="41"/>
        <v>4491.6268421991481</v>
      </c>
      <c r="I152" s="94">
        <f t="shared" si="42"/>
        <v>1755875.239107589</v>
      </c>
      <c r="K152" s="41">
        <v>89</v>
      </c>
      <c r="L152" s="56">
        <f t="shared" si="47"/>
        <v>5594.1246216384097</v>
      </c>
      <c r="M152" s="56">
        <f t="shared" si="34"/>
        <v>67129.495459660917</v>
      </c>
      <c r="N152" s="62">
        <f t="shared" si="48"/>
        <v>60416.545913694827</v>
      </c>
      <c r="O152" s="56">
        <f t="shared" si="49"/>
        <v>5034.7121594745686</v>
      </c>
      <c r="P152" s="56">
        <f t="shared" si="36"/>
        <v>60416.545913694819</v>
      </c>
      <c r="Q152" s="97">
        <f t="shared" si="44"/>
        <v>46170.651633776324</v>
      </c>
      <c r="R152" s="101">
        <f t="shared" si="45"/>
        <v>14245.894279918495</v>
      </c>
      <c r="S152" s="102">
        <f t="shared" si="46"/>
        <v>1668044.7642226235</v>
      </c>
    </row>
    <row r="153" spans="1:20">
      <c r="A153" s="41">
        <v>90</v>
      </c>
      <c r="B153" s="56">
        <f t="shared" si="37"/>
        <v>3943.8762600529781</v>
      </c>
      <c r="C153" s="56">
        <f t="shared" si="32"/>
        <v>47326.51512063574</v>
      </c>
      <c r="D153" s="56">
        <f t="shared" si="33"/>
        <v>42593.863608572166</v>
      </c>
      <c r="E153" s="56">
        <f t="shared" si="38"/>
        <v>4327.4029531562383</v>
      </c>
      <c r="F153" s="56">
        <f t="shared" si="39"/>
        <v>51928.835437874863</v>
      </c>
      <c r="G153" s="97">
        <f t="shared" si="40"/>
        <v>47324.917924620728</v>
      </c>
      <c r="H153" s="97">
        <f t="shared" si="41"/>
        <v>4603.917513254135</v>
      </c>
      <c r="I153" s="94">
        <f t="shared" si="42"/>
        <v>1817720.6894157503</v>
      </c>
      <c r="K153" s="41">
        <v>90</v>
      </c>
      <c r="L153" s="56">
        <f t="shared" si="47"/>
        <v>5733.9777371793698</v>
      </c>
      <c r="M153" s="56">
        <f t="shared" si="34"/>
        <v>68807.732846152445</v>
      </c>
      <c r="N153" s="62">
        <f t="shared" si="48"/>
        <v>61926.959561537202</v>
      </c>
      <c r="O153" s="56">
        <f t="shared" si="49"/>
        <v>5160.5799634614332</v>
      </c>
      <c r="P153" s="56">
        <f t="shared" si="36"/>
        <v>61926.959561537195</v>
      </c>
      <c r="Q153" s="97">
        <f t="shared" si="44"/>
        <v>47324.917924620728</v>
      </c>
      <c r="R153" s="101">
        <f t="shared" si="45"/>
        <v>14602.041636916467</v>
      </c>
      <c r="S153" s="102">
        <f t="shared" si="46"/>
        <v>1737025.0651731975</v>
      </c>
    </row>
    <row r="154" spans="1:20">
      <c r="A154" s="41">
        <v>91</v>
      </c>
      <c r="B154" s="56">
        <f t="shared" si="37"/>
        <v>4042.4731665543022</v>
      </c>
      <c r="C154" s="56">
        <f t="shared" si="32"/>
        <v>48509.677998651627</v>
      </c>
      <c r="D154" s="56">
        <f t="shared" si="33"/>
        <v>43658.710198786466</v>
      </c>
      <c r="E154" s="56">
        <f t="shared" si="38"/>
        <v>4435.5880269851441</v>
      </c>
      <c r="F154" s="56">
        <f t="shared" si="39"/>
        <v>53227.056323821729</v>
      </c>
      <c r="G154" s="97">
        <f t="shared" si="40"/>
        <v>48508.040872736245</v>
      </c>
      <c r="H154" s="97">
        <f t="shared" si="41"/>
        <v>4719.0154510854845</v>
      </c>
      <c r="I154" s="94">
        <f t="shared" si="42"/>
        <v>1881697.3993417893</v>
      </c>
      <c r="K154" s="41">
        <v>91</v>
      </c>
      <c r="L154" s="56">
        <f t="shared" si="47"/>
        <v>5877.3271806088533</v>
      </c>
      <c r="M154" s="56">
        <f t="shared" si="34"/>
        <v>70527.926167306243</v>
      </c>
      <c r="N154" s="62">
        <f t="shared" si="48"/>
        <v>63475.133550575621</v>
      </c>
      <c r="O154" s="56">
        <f t="shared" si="49"/>
        <v>5289.5944625479679</v>
      </c>
      <c r="P154" s="56">
        <f t="shared" si="36"/>
        <v>63475.133550575614</v>
      </c>
      <c r="Q154" s="97">
        <f t="shared" si="44"/>
        <v>48508.040872736245</v>
      </c>
      <c r="R154" s="101">
        <f t="shared" si="45"/>
        <v>14967.09267783937</v>
      </c>
      <c r="S154" s="102">
        <f t="shared" si="46"/>
        <v>1808619.174975683</v>
      </c>
    </row>
    <row r="155" spans="1:20">
      <c r="A155" s="41">
        <v>92</v>
      </c>
      <c r="B155" s="56">
        <f t="shared" si="37"/>
        <v>4143.5349957181597</v>
      </c>
      <c r="C155" s="56">
        <f t="shared" si="32"/>
        <v>49722.419948617913</v>
      </c>
      <c r="D155" s="56">
        <f t="shared" si="33"/>
        <v>44750.177953756123</v>
      </c>
      <c r="E155" s="56">
        <f t="shared" si="38"/>
        <v>4546.4777276597724</v>
      </c>
      <c r="F155" s="56">
        <f t="shared" si="39"/>
        <v>54557.732731917269</v>
      </c>
      <c r="G155" s="97">
        <f t="shared" si="40"/>
        <v>49720.741894554645</v>
      </c>
      <c r="H155" s="97">
        <f t="shared" si="41"/>
        <v>4836.990837362624</v>
      </c>
      <c r="I155" s="94">
        <f t="shared" si="42"/>
        <v>1947877.7253976942</v>
      </c>
      <c r="K155" s="41">
        <v>92</v>
      </c>
      <c r="L155" s="56">
        <f t="shared" si="47"/>
        <v>6024.2603601240744</v>
      </c>
      <c r="M155" s="56">
        <f t="shared" si="34"/>
        <v>72291.124321488896</v>
      </c>
      <c r="N155" s="62">
        <f t="shared" si="48"/>
        <v>65062.011889340007</v>
      </c>
      <c r="O155" s="56">
        <f t="shared" si="49"/>
        <v>5421.8343241116672</v>
      </c>
      <c r="P155" s="56">
        <f t="shared" si="36"/>
        <v>65062.011889340007</v>
      </c>
      <c r="Q155" s="97">
        <f t="shared" si="44"/>
        <v>49720.741894554645</v>
      </c>
      <c r="R155" s="101">
        <f t="shared" si="45"/>
        <v>15341.269994785362</v>
      </c>
      <c r="S155" s="102">
        <f t="shared" si="46"/>
        <v>1882921.4300746755</v>
      </c>
    </row>
    <row r="156" spans="1:20">
      <c r="A156" s="41">
        <v>93</v>
      </c>
      <c r="B156" s="56">
        <f t="shared" si="37"/>
        <v>4247.1233706111134</v>
      </c>
      <c r="C156" s="56">
        <f t="shared" si="32"/>
        <v>50965.480447333364</v>
      </c>
      <c r="D156" s="56">
        <f t="shared" si="33"/>
        <v>45868.932402600032</v>
      </c>
      <c r="E156" s="56">
        <f t="shared" si="38"/>
        <v>4660.1396708512666</v>
      </c>
      <c r="F156" s="56">
        <f t="shared" si="39"/>
        <v>55921.676050215203</v>
      </c>
      <c r="G156" s="97">
        <f t="shared" si="40"/>
        <v>50963.760441918508</v>
      </c>
      <c r="H156" s="97">
        <f t="shared" si="41"/>
        <v>4957.9156082966947</v>
      </c>
      <c r="I156" s="94">
        <f t="shared" si="42"/>
        <v>2016336.4548539557</v>
      </c>
      <c r="K156" s="41">
        <v>93</v>
      </c>
      <c r="L156" s="56">
        <f t="shared" si="47"/>
        <v>6174.866869127176</v>
      </c>
      <c r="M156" s="56">
        <f t="shared" si="34"/>
        <v>74098.402429526119</v>
      </c>
      <c r="N156" s="62">
        <f t="shared" si="48"/>
        <v>66688.562186573516</v>
      </c>
      <c r="O156" s="56">
        <f t="shared" si="49"/>
        <v>5557.3801822144587</v>
      </c>
      <c r="P156" s="56">
        <f t="shared" si="36"/>
        <v>66688.562186573501</v>
      </c>
      <c r="Q156" s="97">
        <f t="shared" si="44"/>
        <v>50963.760441918508</v>
      </c>
      <c r="R156" s="101">
        <f t="shared" si="45"/>
        <v>15724.801744654993</v>
      </c>
      <c r="S156" s="102">
        <f t="shared" si="46"/>
        <v>1960029.4704397649</v>
      </c>
    </row>
    <row r="157" spans="1:20">
      <c r="A157" s="41">
        <v>94</v>
      </c>
      <c r="B157" s="56">
        <f t="shared" si="37"/>
        <v>4353.3014548763913</v>
      </c>
      <c r="C157" s="56">
        <f t="shared" si="32"/>
        <v>52239.617458516695</v>
      </c>
      <c r="D157" s="56">
        <f t="shared" si="33"/>
        <v>47015.65571266503</v>
      </c>
      <c r="E157" s="56">
        <f t="shared" si="38"/>
        <v>4776.6431626225476</v>
      </c>
      <c r="F157" s="56">
        <f t="shared" si="39"/>
        <v>57319.717951470571</v>
      </c>
      <c r="G157" s="97">
        <f t="shared" si="40"/>
        <v>52237.854452966465</v>
      </c>
      <c r="H157" s="97">
        <f t="shared" si="41"/>
        <v>5081.8634985041062</v>
      </c>
      <c r="I157" s="94">
        <f t="shared" si="42"/>
        <v>2087150.8867806986</v>
      </c>
      <c r="K157" s="41">
        <v>94</v>
      </c>
      <c r="L157" s="56">
        <f t="shared" si="47"/>
        <v>6329.2385408553546</v>
      </c>
      <c r="M157" s="56">
        <f t="shared" si="34"/>
        <v>75950.862490264262</v>
      </c>
      <c r="N157" s="62">
        <f t="shared" si="48"/>
        <v>68355.776241237836</v>
      </c>
      <c r="O157" s="56">
        <f t="shared" si="49"/>
        <v>5696.3146867698197</v>
      </c>
      <c r="P157" s="56">
        <f t="shared" si="36"/>
        <v>68355.776241237836</v>
      </c>
      <c r="Q157" s="97">
        <f t="shared" si="44"/>
        <v>52237.854452966465</v>
      </c>
      <c r="R157" s="101">
        <f t="shared" si="45"/>
        <v>16117.921788271371</v>
      </c>
      <c r="S157" s="102">
        <f t="shared" si="46"/>
        <v>2040044.3529643724</v>
      </c>
    </row>
    <row r="158" spans="1:20">
      <c r="A158" s="41">
        <v>95</v>
      </c>
      <c r="B158" s="56">
        <f t="shared" si="37"/>
        <v>4462.1339912483008</v>
      </c>
      <c r="C158" s="56">
        <f t="shared" si="32"/>
        <v>53545.607894979606</v>
      </c>
      <c r="D158" s="56">
        <f t="shared" si="33"/>
        <v>48191.047105481644</v>
      </c>
      <c r="E158" s="56">
        <f t="shared" si="38"/>
        <v>4896.0592416881109</v>
      </c>
      <c r="F158" s="56">
        <f t="shared" si="39"/>
        <v>58752.710900257327</v>
      </c>
      <c r="G158" s="97">
        <f t="shared" si="40"/>
        <v>53543.800814290626</v>
      </c>
      <c r="H158" s="97">
        <f t="shared" si="41"/>
        <v>5208.9100859667014</v>
      </c>
      <c r="I158" s="94">
        <f t="shared" si="42"/>
        <v>2160400.9157757158</v>
      </c>
      <c r="K158" s="41">
        <v>95</v>
      </c>
      <c r="L158" s="56">
        <f t="shared" si="47"/>
        <v>6487.4695043767379</v>
      </c>
      <c r="M158" s="56">
        <f t="shared" si="34"/>
        <v>77849.634052520851</v>
      </c>
      <c r="N158" s="62">
        <f t="shared" si="48"/>
        <v>70064.670647268766</v>
      </c>
      <c r="O158" s="56">
        <f t="shared" si="49"/>
        <v>5838.7225539390638</v>
      </c>
      <c r="P158" s="56">
        <f t="shared" si="36"/>
        <v>70064.670647268766</v>
      </c>
      <c r="Q158" s="97">
        <f t="shared" si="44"/>
        <v>53543.800814290626</v>
      </c>
      <c r="R158" s="101">
        <f t="shared" si="45"/>
        <v>16520.86983297814</v>
      </c>
      <c r="S158" s="102">
        <f t="shared" si="46"/>
        <v>2123070.6687039891</v>
      </c>
    </row>
    <row r="159" spans="1:20">
      <c r="A159" s="41">
        <v>96</v>
      </c>
      <c r="B159" s="56">
        <f t="shared" si="37"/>
        <v>4573.6873410295084</v>
      </c>
      <c r="C159" s="56">
        <f t="shared" si="32"/>
        <v>54884.248092354101</v>
      </c>
      <c r="D159" s="56">
        <f t="shared" si="33"/>
        <v>49395.823283118691</v>
      </c>
      <c r="E159" s="56">
        <f t="shared" si="38"/>
        <v>5018.4607227303131</v>
      </c>
      <c r="F159" s="56">
        <f t="shared" si="39"/>
        <v>60221.528672763758</v>
      </c>
      <c r="G159" s="97">
        <f t="shared" si="40"/>
        <v>54882.395834647883</v>
      </c>
      <c r="H159" s="97">
        <f t="shared" si="41"/>
        <v>5339.1328381158746</v>
      </c>
      <c r="I159" s="94">
        <f t="shared" si="42"/>
        <v>2236169.1184681202</v>
      </c>
      <c r="K159" s="41">
        <v>96</v>
      </c>
      <c r="L159" s="56">
        <f t="shared" si="47"/>
        <v>6649.6562419861557</v>
      </c>
      <c r="M159" s="56">
        <f t="shared" si="34"/>
        <v>79795.874903833872</v>
      </c>
      <c r="N159" s="62">
        <f t="shared" si="48"/>
        <v>71816.287413450482</v>
      </c>
      <c r="O159" s="56">
        <f t="shared" si="49"/>
        <v>5984.6906177875398</v>
      </c>
      <c r="P159" s="56">
        <f t="shared" si="36"/>
        <v>71816.287413450482</v>
      </c>
      <c r="Q159" s="97">
        <f t="shared" si="44"/>
        <v>54882.395834647883</v>
      </c>
      <c r="R159" s="101">
        <f t="shared" si="45"/>
        <v>16933.891578802599</v>
      </c>
      <c r="S159" s="102">
        <f t="shared" si="46"/>
        <v>2209216.6640825416</v>
      </c>
    </row>
    <row r="160" spans="1:20">
      <c r="A160" s="41">
        <v>97</v>
      </c>
      <c r="B160" s="56">
        <f t="shared" si="37"/>
        <v>4688.0295245552461</v>
      </c>
      <c r="C160" s="56">
        <f t="shared" si="32"/>
        <v>56256.354294662953</v>
      </c>
      <c r="D160" s="56">
        <f t="shared" si="33"/>
        <v>50630.718865196657</v>
      </c>
      <c r="E160" s="56">
        <f t="shared" si="38"/>
        <v>5143.9222407985708</v>
      </c>
      <c r="F160" s="56">
        <f t="shared" si="39"/>
        <v>61727.066889582849</v>
      </c>
      <c r="G160" s="97">
        <f t="shared" si="40"/>
        <v>56254.455730514077</v>
      </c>
      <c r="H160" s="97">
        <f t="shared" si="41"/>
        <v>5472.6111590687724</v>
      </c>
      <c r="I160" s="94">
        <f t="shared" si="42"/>
        <v>2314540.8428892498</v>
      </c>
      <c r="K160" s="41">
        <v>97</v>
      </c>
      <c r="L160" s="56">
        <f t="shared" si="47"/>
        <v>6815.8976480358087</v>
      </c>
      <c r="M160" s="56">
        <f t="shared" si="34"/>
        <v>81790.771776429698</v>
      </c>
      <c r="N160" s="62">
        <f t="shared" si="48"/>
        <v>73611.694598786737</v>
      </c>
      <c r="O160" s="56">
        <f t="shared" si="49"/>
        <v>6134.3078832322281</v>
      </c>
      <c r="P160" s="56">
        <f t="shared" si="36"/>
        <v>73611.694598786737</v>
      </c>
      <c r="Q160" s="97">
        <f t="shared" si="44"/>
        <v>56254.455730514077</v>
      </c>
      <c r="R160" s="101">
        <f t="shared" si="45"/>
        <v>17357.23886827266</v>
      </c>
      <c r="S160" s="102">
        <f t="shared" si="46"/>
        <v>2298594.3661999051</v>
      </c>
    </row>
    <row r="161" spans="1:19">
      <c r="A161" s="41">
        <v>98</v>
      </c>
      <c r="B161" s="56">
        <f t="shared" si="37"/>
        <v>4805.2302626691271</v>
      </c>
      <c r="C161" s="56">
        <f t="shared" si="32"/>
        <v>57662.763152029525</v>
      </c>
      <c r="D161" s="56">
        <f t="shared" si="33"/>
        <v>51896.486836826574</v>
      </c>
      <c r="E161" s="56">
        <f t="shared" si="38"/>
        <v>5272.5202968185349</v>
      </c>
      <c r="F161" s="56">
        <f t="shared" si="39"/>
        <v>63270.243561822419</v>
      </c>
      <c r="G161" s="97">
        <f t="shared" si="40"/>
        <v>57660.817123776927</v>
      </c>
      <c r="H161" s="97">
        <f t="shared" si="41"/>
        <v>5609.4264380454915</v>
      </c>
      <c r="I161" s="94">
        <f t="shared" si="42"/>
        <v>2395604.3008054849</v>
      </c>
      <c r="K161" s="41">
        <v>98</v>
      </c>
      <c r="L161" s="56">
        <f t="shared" si="47"/>
        <v>6986.2950892367035</v>
      </c>
      <c r="M161" s="56">
        <f t="shared" si="34"/>
        <v>83835.541070840438</v>
      </c>
      <c r="N161" s="62">
        <f t="shared" si="48"/>
        <v>75451.986963756397</v>
      </c>
      <c r="O161" s="56">
        <f t="shared" si="49"/>
        <v>6287.6655803130334</v>
      </c>
      <c r="P161" s="56">
        <f t="shared" si="36"/>
        <v>75451.986963756397</v>
      </c>
      <c r="Q161" s="97">
        <f t="shared" si="44"/>
        <v>57660.817123776927</v>
      </c>
      <c r="R161" s="101">
        <f t="shared" si="45"/>
        <v>17791.16983997947</v>
      </c>
      <c r="S161" s="102">
        <f t="shared" si="46"/>
        <v>2391319.7123780013</v>
      </c>
    </row>
    <row r="162" spans="1:19">
      <c r="A162" s="41">
        <v>99</v>
      </c>
      <c r="B162" s="56">
        <f t="shared" si="37"/>
        <v>4925.3610192358547</v>
      </c>
      <c r="C162" s="56">
        <f t="shared" si="32"/>
        <v>59104.33223083026</v>
      </c>
      <c r="D162" s="56">
        <f t="shared" si="33"/>
        <v>53193.899007747234</v>
      </c>
      <c r="E162" s="56">
        <f t="shared" si="38"/>
        <v>5404.3333042389977</v>
      </c>
      <c r="F162" s="56">
        <f t="shared" si="39"/>
        <v>64851.999650867976</v>
      </c>
      <c r="G162" s="97">
        <f t="shared" si="40"/>
        <v>59102.337551871344</v>
      </c>
      <c r="H162" s="97">
        <f t="shared" si="41"/>
        <v>5749.6620989966323</v>
      </c>
      <c r="I162" s="94">
        <f t="shared" si="42"/>
        <v>2479450.6631107405</v>
      </c>
      <c r="K162" s="41">
        <v>99</v>
      </c>
      <c r="L162" s="56">
        <f t="shared" si="47"/>
        <v>7160.9524664676201</v>
      </c>
      <c r="M162" s="56">
        <f t="shared" si="34"/>
        <v>85931.429597611437</v>
      </c>
      <c r="N162" s="62">
        <f t="shared" si="48"/>
        <v>77338.286637850295</v>
      </c>
      <c r="O162" s="56">
        <f t="shared" si="49"/>
        <v>6444.8572198208585</v>
      </c>
      <c r="P162" s="56">
        <f t="shared" si="36"/>
        <v>77338.286637850309</v>
      </c>
      <c r="Q162" s="97">
        <f t="shared" si="44"/>
        <v>59102.337551871344</v>
      </c>
      <c r="R162" s="101">
        <f t="shared" si="45"/>
        <v>18235.949085978966</v>
      </c>
      <c r="S162" s="102">
        <f t="shared" si="46"/>
        <v>2487512.6840875028</v>
      </c>
    </row>
    <row r="163" spans="1:19" ht="15.75" thickBot="1">
      <c r="A163" s="43">
        <v>100</v>
      </c>
      <c r="B163" s="56">
        <f t="shared" si="37"/>
        <v>5048.4950447167503</v>
      </c>
      <c r="C163" s="56">
        <f t="shared" si="32"/>
        <v>60581.940536601003</v>
      </c>
      <c r="D163" s="56">
        <f t="shared" si="33"/>
        <v>54523.746482940907</v>
      </c>
      <c r="E163" s="56">
        <f t="shared" si="38"/>
        <v>5539.441636844972</v>
      </c>
      <c r="F163" s="56">
        <f t="shared" si="39"/>
        <v>66473.299642139667</v>
      </c>
      <c r="G163" s="97">
        <f t="shared" si="40"/>
        <v>60579.895990668119</v>
      </c>
      <c r="H163" s="97">
        <f t="shared" si="41"/>
        <v>5893.4036514715481</v>
      </c>
      <c r="I163" s="94">
        <f t="shared" si="42"/>
        <v>2566174.1583796223</v>
      </c>
      <c r="K163" s="43">
        <v>100</v>
      </c>
      <c r="L163" s="59">
        <f t="shared" si="47"/>
        <v>7339.9762781293102</v>
      </c>
      <c r="M163" s="59">
        <f t="shared" si="34"/>
        <v>88079.715337551723</v>
      </c>
      <c r="N163" s="62">
        <f t="shared" si="48"/>
        <v>79271.743803796548</v>
      </c>
      <c r="O163" s="56">
        <f t="shared" si="49"/>
        <v>6605.9786503163796</v>
      </c>
      <c r="P163" s="56">
        <f t="shared" si="36"/>
        <v>79271.743803796562</v>
      </c>
      <c r="Q163" s="97">
        <f t="shared" si="44"/>
        <v>60579.895990668119</v>
      </c>
      <c r="R163" s="101">
        <f t="shared" si="45"/>
        <v>18691.847813128443</v>
      </c>
      <c r="S163" s="102">
        <f t="shared" si="46"/>
        <v>2587297.4454018837</v>
      </c>
    </row>
    <row r="164" spans="1:19">
      <c r="D164" s="110"/>
    </row>
  </sheetData>
  <conditionalFormatting sqref="A125:I163 K125:S163">
    <cfRule type="expression" dxfId="2" priority="4">
      <formula>MOD(ROW(),2)=1</formula>
    </cfRule>
  </conditionalFormatting>
  <conditionalFormatting sqref="A25:O63">
    <cfRule type="expression" dxfId="1" priority="1">
      <formula>MOD(ROW(),2)=1</formula>
    </cfRule>
  </conditionalFormatting>
  <conditionalFormatting sqref="J76:Q114">
    <cfRule type="expression" dxfId="0" priority="6">
      <formula>MOD(ROW(),2)=1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6E87-9102-4867-883D-98F379F14A01}">
  <dimension ref="B2:M60"/>
  <sheetViews>
    <sheetView topLeftCell="A34" zoomScaleNormal="100" workbookViewId="0">
      <selection activeCell="P54" sqref="P54"/>
    </sheetView>
  </sheetViews>
  <sheetFormatPr defaultRowHeight="15"/>
  <cols>
    <col min="7" max="7" width="15.140625" customWidth="1"/>
    <col min="8" max="8" width="21.7109375" customWidth="1"/>
    <col min="9" max="9" width="10.42578125" customWidth="1"/>
    <col min="10" max="10" width="17.28515625" customWidth="1"/>
    <col min="11" max="11" width="11.42578125" customWidth="1"/>
  </cols>
  <sheetData>
    <row r="2" spans="2:13" ht="15.75" thickBot="1"/>
    <row r="3" spans="2:13" ht="15.75" thickBot="1">
      <c r="B3" s="30"/>
      <c r="C3" s="31"/>
      <c r="D3" s="31"/>
      <c r="E3" s="32"/>
    </row>
    <row r="4" spans="2:13">
      <c r="B4" s="154" t="s">
        <v>127</v>
      </c>
      <c r="C4" s="155"/>
      <c r="D4" s="155"/>
      <c r="E4" s="156"/>
      <c r="G4" s="53" t="s">
        <v>94</v>
      </c>
      <c r="H4" s="40">
        <f>Main!B6</f>
        <v>2.5000000000000001E-2</v>
      </c>
    </row>
    <row r="5" spans="2:13">
      <c r="B5" s="154" t="s">
        <v>128</v>
      </c>
      <c r="C5" s="155"/>
      <c r="D5" s="155"/>
      <c r="E5" s="156"/>
      <c r="G5" s="54" t="s">
        <v>136</v>
      </c>
      <c r="H5" s="42">
        <v>2000000</v>
      </c>
    </row>
    <row r="6" spans="2:13" ht="15.75" thickBot="1">
      <c r="B6" s="157" t="s">
        <v>129</v>
      </c>
      <c r="C6" s="158"/>
      <c r="D6" s="158"/>
      <c r="E6" s="159"/>
      <c r="G6" s="55" t="s">
        <v>123</v>
      </c>
      <c r="H6" s="44">
        <f>Main!B5</f>
        <v>2.5000000000000001E-2</v>
      </c>
    </row>
    <row r="7" spans="2:13">
      <c r="B7" s="160" t="s">
        <v>130</v>
      </c>
      <c r="C7" s="161"/>
      <c r="D7" s="161"/>
      <c r="E7" s="162"/>
    </row>
    <row r="8" spans="2:13" ht="27.6" customHeight="1">
      <c r="B8" s="160" t="s">
        <v>131</v>
      </c>
      <c r="C8" s="161"/>
      <c r="D8" s="161"/>
      <c r="E8" s="162"/>
    </row>
    <row r="9" spans="2:13" ht="27.6" customHeight="1">
      <c r="B9" s="160" t="s">
        <v>132</v>
      </c>
      <c r="C9" s="161"/>
      <c r="D9" s="161"/>
      <c r="E9" s="162"/>
    </row>
    <row r="10" spans="2:13" ht="15.75" thickBot="1">
      <c r="B10" s="151"/>
      <c r="C10" s="152"/>
      <c r="D10" s="152"/>
      <c r="E10" s="153"/>
    </row>
    <row r="11" spans="2:13" ht="45.75" thickBot="1">
      <c r="B11" s="33" t="s">
        <v>133</v>
      </c>
      <c r="C11" s="26" t="s">
        <v>134</v>
      </c>
      <c r="D11" s="25" t="s">
        <v>133</v>
      </c>
      <c r="E11" s="26" t="s">
        <v>134</v>
      </c>
      <c r="H11" s="48" t="s">
        <v>136</v>
      </c>
      <c r="I11" s="49"/>
      <c r="J11" s="50" t="s">
        <v>137</v>
      </c>
      <c r="K11" s="51" t="s">
        <v>138</v>
      </c>
      <c r="L11" s="49"/>
      <c r="M11" s="52" t="s">
        <v>139</v>
      </c>
    </row>
    <row r="12" spans="2:13">
      <c r="B12" s="34">
        <v>72</v>
      </c>
      <c r="C12" s="27">
        <v>27.4</v>
      </c>
      <c r="D12" s="24">
        <v>97</v>
      </c>
      <c r="E12" s="27">
        <v>7.8</v>
      </c>
      <c r="G12" s="143">
        <v>72</v>
      </c>
      <c r="H12" s="45">
        <f>H5</f>
        <v>2000000</v>
      </c>
      <c r="I12" s="46">
        <f>C12</f>
        <v>27.4</v>
      </c>
      <c r="J12" s="45">
        <f t="shared" ref="J12:J35" si="0">H12/I12</f>
        <v>72992.700729927004</v>
      </c>
      <c r="K12" s="47"/>
      <c r="M12" s="1">
        <f>J12/H12</f>
        <v>3.6496350364963501E-2</v>
      </c>
    </row>
    <row r="13" spans="2:13">
      <c r="B13" s="34">
        <v>73</v>
      </c>
      <c r="C13" s="27">
        <v>26.5</v>
      </c>
      <c r="D13" s="24">
        <v>98</v>
      </c>
      <c r="E13" s="27">
        <v>7.3</v>
      </c>
      <c r="G13" s="24">
        <v>73</v>
      </c>
      <c r="H13" s="36">
        <f t="shared" ref="H13:H36" si="1">(H12-J12)*(1+$H$4)</f>
        <v>1975182.4817518245</v>
      </c>
      <c r="I13" s="37">
        <f>C13</f>
        <v>26.5</v>
      </c>
      <c r="J13" s="36">
        <f t="shared" si="0"/>
        <v>74535.187990634891</v>
      </c>
      <c r="K13" s="36">
        <f>J12*(1+$H$6)</f>
        <v>74817.518248175169</v>
      </c>
      <c r="M13" s="1">
        <f t="shared" ref="M13:M60" si="2">J13/H13</f>
        <v>3.7735849056603779E-2</v>
      </c>
    </row>
    <row r="14" spans="2:13" ht="14.45" customHeight="1">
      <c r="B14" s="34">
        <v>74</v>
      </c>
      <c r="C14" s="27">
        <v>25.5</v>
      </c>
      <c r="D14" s="24">
        <v>99</v>
      </c>
      <c r="E14" s="27">
        <v>6.8</v>
      </c>
      <c r="G14" s="143">
        <v>74</v>
      </c>
      <c r="H14" s="36">
        <f t="shared" si="1"/>
        <v>1948163.4761052192</v>
      </c>
      <c r="I14" s="37">
        <f t="shared" ref="I14:I36" si="3">C14</f>
        <v>25.5</v>
      </c>
      <c r="J14" s="36">
        <f t="shared" si="0"/>
        <v>76398.567690400756</v>
      </c>
      <c r="K14" s="36">
        <f>K13*(1+$H$6)</f>
        <v>76687.956204379545</v>
      </c>
      <c r="M14" s="1">
        <f t="shared" si="2"/>
        <v>3.9215686274509803E-2</v>
      </c>
    </row>
    <row r="15" spans="2:13" ht="14.45" customHeight="1">
      <c r="B15" s="34">
        <v>75</v>
      </c>
      <c r="C15" s="27">
        <v>24.6</v>
      </c>
      <c r="D15" s="24">
        <v>100</v>
      </c>
      <c r="E15" s="27">
        <v>6.4</v>
      </c>
      <c r="G15" s="24">
        <v>75</v>
      </c>
      <c r="H15" s="36">
        <f t="shared" si="1"/>
        <v>1918559.0311251886</v>
      </c>
      <c r="I15" s="37">
        <f t="shared" si="3"/>
        <v>24.6</v>
      </c>
      <c r="J15" s="36">
        <f t="shared" si="0"/>
        <v>77990.204517284088</v>
      </c>
      <c r="K15" s="36">
        <f t="shared" ref="K15:K60" si="4">K14*(1+$H$6)</f>
        <v>78605.155109489031</v>
      </c>
      <c r="M15" s="1">
        <f t="shared" si="2"/>
        <v>4.065040650406504E-2</v>
      </c>
    </row>
    <row r="16" spans="2:13" ht="15" customHeight="1" thickBot="1">
      <c r="B16" s="35">
        <v>76</v>
      </c>
      <c r="C16" s="29">
        <v>23.7</v>
      </c>
      <c r="D16" s="28">
        <v>101</v>
      </c>
      <c r="E16" s="29">
        <v>6</v>
      </c>
      <c r="G16" s="143">
        <v>76</v>
      </c>
      <c r="H16" s="36">
        <f t="shared" si="1"/>
        <v>1886583.0472731018</v>
      </c>
      <c r="I16" s="37">
        <f t="shared" si="3"/>
        <v>23.7</v>
      </c>
      <c r="J16" s="36">
        <f t="shared" si="0"/>
        <v>79602.660222493752</v>
      </c>
      <c r="K16" s="36">
        <f t="shared" si="4"/>
        <v>80570.283987226256</v>
      </c>
      <c r="M16" s="1">
        <f t="shared" si="2"/>
        <v>4.2194092827004225E-2</v>
      </c>
    </row>
    <row r="17" spans="2:13" ht="14.45" customHeight="1">
      <c r="B17" s="34">
        <v>77</v>
      </c>
      <c r="C17" s="27">
        <v>22.9</v>
      </c>
      <c r="D17" s="24">
        <v>102</v>
      </c>
      <c r="E17" s="27">
        <v>5.6</v>
      </c>
      <c r="G17" s="24">
        <v>77</v>
      </c>
      <c r="H17" s="36">
        <f t="shared" si="1"/>
        <v>1852154.896726873</v>
      </c>
      <c r="I17" s="37">
        <f t="shared" si="3"/>
        <v>22.9</v>
      </c>
      <c r="J17" s="36">
        <f t="shared" si="0"/>
        <v>80880.126494623284</v>
      </c>
      <c r="K17" s="36">
        <f t="shared" si="4"/>
        <v>82584.541086906902</v>
      </c>
      <c r="M17" s="1">
        <f t="shared" si="2"/>
        <v>4.3668122270742363E-2</v>
      </c>
    </row>
    <row r="18" spans="2:13" ht="14.45" customHeight="1">
      <c r="B18" s="34">
        <v>78</v>
      </c>
      <c r="C18" s="27">
        <v>22</v>
      </c>
      <c r="D18" s="24">
        <v>103</v>
      </c>
      <c r="E18" s="27">
        <v>5.2</v>
      </c>
      <c r="G18" s="143">
        <v>78</v>
      </c>
      <c r="H18" s="36">
        <f t="shared" si="1"/>
        <v>1815556.6394880558</v>
      </c>
      <c r="I18" s="37">
        <f t="shared" si="3"/>
        <v>22</v>
      </c>
      <c r="J18" s="36">
        <f t="shared" si="0"/>
        <v>82525.301794911633</v>
      </c>
      <c r="K18" s="36">
        <f t="shared" si="4"/>
        <v>84649.154614079569</v>
      </c>
      <c r="M18" s="1">
        <f t="shared" si="2"/>
        <v>4.5454545454545456E-2</v>
      </c>
    </row>
    <row r="19" spans="2:13">
      <c r="B19" s="34">
        <v>79</v>
      </c>
      <c r="C19" s="27">
        <v>21.1</v>
      </c>
      <c r="D19" s="24">
        <v>104</v>
      </c>
      <c r="E19" s="27">
        <v>4.9000000000000004</v>
      </c>
      <c r="G19" s="24">
        <v>79</v>
      </c>
      <c r="H19" s="36">
        <f t="shared" si="1"/>
        <v>1776357.1211354726</v>
      </c>
      <c r="I19" s="37">
        <f t="shared" si="3"/>
        <v>21.1</v>
      </c>
      <c r="J19" s="36">
        <f t="shared" si="0"/>
        <v>84187.541286041349</v>
      </c>
      <c r="K19" s="36">
        <f t="shared" si="4"/>
        <v>86765.383479431548</v>
      </c>
      <c r="M19" s="1">
        <f t="shared" si="2"/>
        <v>4.7393364928909949E-2</v>
      </c>
    </row>
    <row r="20" spans="2:13">
      <c r="B20" s="34">
        <v>80</v>
      </c>
      <c r="C20" s="27">
        <v>20.2</v>
      </c>
      <c r="D20" s="24">
        <v>105</v>
      </c>
      <c r="E20" s="27">
        <v>4.5999999999999996</v>
      </c>
      <c r="G20" s="143">
        <v>80</v>
      </c>
      <c r="H20" s="36">
        <f t="shared" si="1"/>
        <v>1734473.819345667</v>
      </c>
      <c r="I20" s="37">
        <f t="shared" si="3"/>
        <v>20.2</v>
      </c>
      <c r="J20" s="36">
        <f t="shared" si="0"/>
        <v>85865.040561666683</v>
      </c>
      <c r="K20" s="36">
        <f t="shared" si="4"/>
        <v>88934.518066417324</v>
      </c>
      <c r="M20" s="1">
        <f t="shared" si="2"/>
        <v>4.9504950495049507E-2</v>
      </c>
    </row>
    <row r="21" spans="2:13" ht="15.75" thickBot="1">
      <c r="B21" s="35">
        <v>81</v>
      </c>
      <c r="C21" s="29">
        <v>19.399999999999999</v>
      </c>
      <c r="D21" s="28">
        <v>106</v>
      </c>
      <c r="E21" s="29">
        <v>4.3</v>
      </c>
      <c r="G21" s="24">
        <v>81</v>
      </c>
      <c r="H21" s="36">
        <f t="shared" si="1"/>
        <v>1689823.9982536002</v>
      </c>
      <c r="I21" s="37">
        <f t="shared" si="3"/>
        <v>19.399999999999999</v>
      </c>
      <c r="J21" s="36">
        <f t="shared" si="0"/>
        <v>87104.329806886613</v>
      </c>
      <c r="K21" s="36">
        <f t="shared" si="4"/>
        <v>91157.881018077751</v>
      </c>
      <c r="M21" s="1">
        <f t="shared" si="2"/>
        <v>5.1546391752577324E-2</v>
      </c>
    </row>
    <row r="22" spans="2:13">
      <c r="B22" s="34">
        <v>82</v>
      </c>
      <c r="C22" s="27">
        <v>18.5</v>
      </c>
      <c r="D22" s="24">
        <v>107</v>
      </c>
      <c r="E22" s="27">
        <v>4.0999999999999996</v>
      </c>
      <c r="G22" s="143">
        <v>82</v>
      </c>
      <c r="H22" s="36">
        <f t="shared" si="1"/>
        <v>1642787.6601578812</v>
      </c>
      <c r="I22" s="37">
        <f t="shared" si="3"/>
        <v>18.5</v>
      </c>
      <c r="J22" s="36">
        <f t="shared" si="0"/>
        <v>88799.33298150709</v>
      </c>
      <c r="K22" s="36">
        <f t="shared" si="4"/>
        <v>93436.828043529691</v>
      </c>
      <c r="M22" s="1">
        <f t="shared" si="2"/>
        <v>5.405405405405405E-2</v>
      </c>
    </row>
    <row r="23" spans="2:13">
      <c r="B23" s="34">
        <v>83</v>
      </c>
      <c r="C23" s="27">
        <v>17.7</v>
      </c>
      <c r="D23" s="24">
        <v>108</v>
      </c>
      <c r="E23" s="27">
        <v>3.9</v>
      </c>
      <c r="G23" s="24">
        <v>83</v>
      </c>
      <c r="H23" s="36">
        <f t="shared" si="1"/>
        <v>1592838.0353557833</v>
      </c>
      <c r="I23" s="37">
        <f t="shared" si="3"/>
        <v>17.7</v>
      </c>
      <c r="J23" s="36">
        <f t="shared" si="0"/>
        <v>89990.849455129006</v>
      </c>
      <c r="K23" s="36">
        <f t="shared" si="4"/>
        <v>95772.748744617929</v>
      </c>
      <c r="M23" s="1">
        <f t="shared" si="2"/>
        <v>5.6497175141242945E-2</v>
      </c>
    </row>
    <row r="24" spans="2:13">
      <c r="B24" s="34">
        <v>84</v>
      </c>
      <c r="C24" s="27">
        <v>16.8</v>
      </c>
      <c r="D24" s="24">
        <v>109</v>
      </c>
      <c r="E24" s="27">
        <v>3.7</v>
      </c>
      <c r="G24" s="143">
        <v>84</v>
      </c>
      <c r="H24" s="36">
        <f t="shared" si="1"/>
        <v>1540418.3655481704</v>
      </c>
      <c r="I24" s="37">
        <f t="shared" si="3"/>
        <v>16.8</v>
      </c>
      <c r="J24" s="36">
        <f t="shared" si="0"/>
        <v>91691.569377867287</v>
      </c>
      <c r="K24" s="36">
        <f t="shared" si="4"/>
        <v>98167.067463233368</v>
      </c>
      <c r="M24" s="1">
        <f t="shared" si="2"/>
        <v>5.9523809523809527E-2</v>
      </c>
    </row>
    <row r="25" spans="2:13">
      <c r="B25" s="34">
        <v>85</v>
      </c>
      <c r="C25" s="27">
        <v>16</v>
      </c>
      <c r="D25" s="24">
        <v>110</v>
      </c>
      <c r="E25" s="27">
        <v>3.5</v>
      </c>
      <c r="G25" s="24">
        <v>85</v>
      </c>
      <c r="H25" s="36">
        <f t="shared" si="1"/>
        <v>1484944.9660745605</v>
      </c>
      <c r="I25" s="37">
        <f t="shared" si="3"/>
        <v>16</v>
      </c>
      <c r="J25" s="36">
        <f t="shared" si="0"/>
        <v>92809.060379660034</v>
      </c>
      <c r="K25" s="36">
        <f t="shared" si="4"/>
        <v>100621.2441498142</v>
      </c>
      <c r="M25" s="1">
        <f t="shared" si="2"/>
        <v>6.25E-2</v>
      </c>
    </row>
    <row r="26" spans="2:13" ht="15.75" thickBot="1">
      <c r="B26" s="35">
        <v>86</v>
      </c>
      <c r="C26" s="29">
        <v>15.2</v>
      </c>
      <c r="D26" s="28">
        <v>111</v>
      </c>
      <c r="E26" s="29">
        <v>3.4</v>
      </c>
      <c r="G26" s="143">
        <v>86</v>
      </c>
      <c r="H26" s="36">
        <f t="shared" si="1"/>
        <v>1426939.303337273</v>
      </c>
      <c r="I26" s="37">
        <f t="shared" si="3"/>
        <v>15.2</v>
      </c>
      <c r="J26" s="36">
        <f t="shared" si="0"/>
        <v>93877.585745873221</v>
      </c>
      <c r="K26" s="36">
        <f t="shared" si="4"/>
        <v>103136.77525355955</v>
      </c>
      <c r="M26" s="1">
        <f t="shared" si="2"/>
        <v>6.5789473684210523E-2</v>
      </c>
    </row>
    <row r="27" spans="2:13">
      <c r="B27" s="34">
        <v>87</v>
      </c>
      <c r="C27" s="27">
        <v>14.4</v>
      </c>
      <c r="D27" s="24">
        <v>112</v>
      </c>
      <c r="E27" s="27">
        <v>3.3</v>
      </c>
      <c r="G27" s="24">
        <v>87</v>
      </c>
      <c r="H27" s="36">
        <f t="shared" si="1"/>
        <v>1366388.2605311847</v>
      </c>
      <c r="I27" s="37">
        <f t="shared" si="3"/>
        <v>14.4</v>
      </c>
      <c r="J27" s="36">
        <f t="shared" si="0"/>
        <v>94888.073647998943</v>
      </c>
      <c r="K27" s="36">
        <f t="shared" si="4"/>
        <v>105715.19463489854</v>
      </c>
      <c r="M27" s="1">
        <f t="shared" si="2"/>
        <v>6.9444444444444448E-2</v>
      </c>
    </row>
    <row r="28" spans="2:13">
      <c r="B28" s="34">
        <v>88</v>
      </c>
      <c r="C28" s="27">
        <v>13.7</v>
      </c>
      <c r="D28" s="24">
        <v>113</v>
      </c>
      <c r="E28" s="27">
        <v>3.1</v>
      </c>
      <c r="G28" s="143">
        <v>88</v>
      </c>
      <c r="H28" s="36">
        <f t="shared" si="1"/>
        <v>1303287.6915552653</v>
      </c>
      <c r="I28" s="37">
        <f t="shared" si="3"/>
        <v>13.7</v>
      </c>
      <c r="J28" s="36">
        <f t="shared" si="0"/>
        <v>95130.488434690909</v>
      </c>
      <c r="K28" s="36">
        <f t="shared" si="4"/>
        <v>108358.07450077099</v>
      </c>
      <c r="M28" s="1">
        <f t="shared" si="2"/>
        <v>7.2992700729927015E-2</v>
      </c>
    </row>
    <row r="29" spans="2:13">
      <c r="B29" s="34">
        <v>89</v>
      </c>
      <c r="C29" s="27">
        <v>12.9</v>
      </c>
      <c r="D29" s="24">
        <v>114</v>
      </c>
      <c r="E29" s="27">
        <v>3</v>
      </c>
      <c r="G29" s="24">
        <v>89</v>
      </c>
      <c r="H29" s="36">
        <f t="shared" si="1"/>
        <v>1238361.1331985886</v>
      </c>
      <c r="I29" s="37">
        <f t="shared" si="3"/>
        <v>12.9</v>
      </c>
      <c r="J29" s="36">
        <f t="shared" si="0"/>
        <v>95996.987069658033</v>
      </c>
      <c r="K29" s="36">
        <f t="shared" si="4"/>
        <v>111067.02636329026</v>
      </c>
      <c r="M29" s="1">
        <f t="shared" si="2"/>
        <v>7.7519379844961239E-2</v>
      </c>
    </row>
    <row r="30" spans="2:13">
      <c r="B30" s="34">
        <v>90</v>
      </c>
      <c r="C30" s="27">
        <v>12.2</v>
      </c>
      <c r="D30" s="24">
        <v>115</v>
      </c>
      <c r="E30" s="27">
        <v>2.9</v>
      </c>
      <c r="G30" s="143">
        <v>90</v>
      </c>
      <c r="H30" s="36">
        <f t="shared" si="1"/>
        <v>1170923.2497821539</v>
      </c>
      <c r="I30" s="37">
        <f t="shared" si="3"/>
        <v>12.2</v>
      </c>
      <c r="J30" s="36">
        <f t="shared" si="0"/>
        <v>95977.315555914261</v>
      </c>
      <c r="K30" s="36">
        <f t="shared" si="4"/>
        <v>113843.70202237251</v>
      </c>
      <c r="M30" s="1">
        <f t="shared" si="2"/>
        <v>8.1967213114754106E-2</v>
      </c>
    </row>
    <row r="31" spans="2:13" ht="15.75" thickBot="1">
      <c r="B31" s="35">
        <v>91</v>
      </c>
      <c r="C31" s="29">
        <v>11.5</v>
      </c>
      <c r="D31" s="28">
        <v>116</v>
      </c>
      <c r="E31" s="29">
        <v>2.8</v>
      </c>
      <c r="G31" s="24">
        <v>91</v>
      </c>
      <c r="H31" s="36">
        <f t="shared" si="1"/>
        <v>1101819.5825818954</v>
      </c>
      <c r="I31" s="37">
        <f t="shared" si="3"/>
        <v>11.5</v>
      </c>
      <c r="J31" s="36">
        <f t="shared" si="0"/>
        <v>95810.398485382204</v>
      </c>
      <c r="K31" s="36">
        <f t="shared" si="4"/>
        <v>116689.79457293182</v>
      </c>
      <c r="M31" s="1">
        <f t="shared" si="2"/>
        <v>8.6956521739130432E-2</v>
      </c>
    </row>
    <row r="32" spans="2:13">
      <c r="B32" s="34">
        <v>92</v>
      </c>
      <c r="C32" s="27">
        <v>10.8</v>
      </c>
      <c r="D32" s="24">
        <v>117</v>
      </c>
      <c r="E32" s="27">
        <v>2.7</v>
      </c>
      <c r="G32" s="143">
        <v>92</v>
      </c>
      <c r="H32" s="36">
        <f t="shared" si="1"/>
        <v>1031159.413698926</v>
      </c>
      <c r="I32" s="37">
        <f t="shared" si="3"/>
        <v>10.8</v>
      </c>
      <c r="J32" s="36">
        <f t="shared" si="0"/>
        <v>95477.723490641292</v>
      </c>
      <c r="K32" s="36">
        <f t="shared" si="4"/>
        <v>119607.03943725509</v>
      </c>
      <c r="M32" s="1">
        <f t="shared" si="2"/>
        <v>9.2592592592592587E-2</v>
      </c>
    </row>
    <row r="33" spans="2:13">
      <c r="B33" s="34">
        <v>93</v>
      </c>
      <c r="C33" s="27">
        <v>10.1</v>
      </c>
      <c r="D33" s="24">
        <v>118</v>
      </c>
      <c r="E33" s="27">
        <v>2.5</v>
      </c>
      <c r="G33" s="24">
        <v>93</v>
      </c>
      <c r="H33" s="36">
        <f t="shared" si="1"/>
        <v>959073.73246349173</v>
      </c>
      <c r="I33" s="37">
        <f t="shared" si="3"/>
        <v>10.1</v>
      </c>
      <c r="J33" s="36">
        <f t="shared" si="0"/>
        <v>94957.795293415023</v>
      </c>
      <c r="K33" s="36">
        <f t="shared" si="4"/>
        <v>122597.21542318646</v>
      </c>
      <c r="M33" s="1">
        <f t="shared" si="2"/>
        <v>9.9009900990099015E-2</v>
      </c>
    </row>
    <row r="34" spans="2:13">
      <c r="B34" s="34">
        <v>94</v>
      </c>
      <c r="C34" s="27">
        <v>9.5</v>
      </c>
      <c r="D34" s="24">
        <v>119</v>
      </c>
      <c r="E34" s="27">
        <v>2.2999999999999998</v>
      </c>
      <c r="G34" s="143">
        <v>94</v>
      </c>
      <c r="H34" s="36">
        <f t="shared" si="1"/>
        <v>885718.83559932851</v>
      </c>
      <c r="I34" s="37">
        <f t="shared" si="3"/>
        <v>9.5</v>
      </c>
      <c r="J34" s="36">
        <f t="shared" si="0"/>
        <v>93233.561642034576</v>
      </c>
      <c r="K34" s="36">
        <f t="shared" si="4"/>
        <v>125662.1458087661</v>
      </c>
      <c r="M34" s="1">
        <f t="shared" si="2"/>
        <v>0.10526315789473684</v>
      </c>
    </row>
    <row r="35" spans="2:13" ht="27">
      <c r="B35" s="34">
        <v>95</v>
      </c>
      <c r="C35" s="27">
        <v>8.9</v>
      </c>
      <c r="D35" s="24" t="s">
        <v>135</v>
      </c>
      <c r="E35" s="27">
        <v>2</v>
      </c>
      <c r="G35" s="24">
        <v>95</v>
      </c>
      <c r="H35" s="36">
        <f t="shared" si="1"/>
        <v>812297.40580622619</v>
      </c>
      <c r="I35" s="37">
        <f t="shared" si="3"/>
        <v>8.9</v>
      </c>
      <c r="J35" s="36">
        <f t="shared" si="0"/>
        <v>91269.371438901813</v>
      </c>
      <c r="K35" s="36">
        <f t="shared" si="4"/>
        <v>128803.69945398525</v>
      </c>
      <c r="M35" s="1">
        <f t="shared" si="2"/>
        <v>0.11235955056179775</v>
      </c>
    </row>
    <row r="36" spans="2:13" ht="15.75" thickBot="1">
      <c r="B36" s="35">
        <v>96</v>
      </c>
      <c r="C36" s="27">
        <v>8.4</v>
      </c>
      <c r="D36" s="24"/>
      <c r="E36" s="27"/>
      <c r="G36" s="143">
        <v>96</v>
      </c>
      <c r="H36" s="36">
        <f t="shared" si="1"/>
        <v>739053.73522650742</v>
      </c>
      <c r="I36" s="37">
        <f t="shared" si="3"/>
        <v>8.4</v>
      </c>
      <c r="J36" s="36">
        <f t="shared" ref="J36:J60" si="5">H36/I36</f>
        <v>87982.587526965159</v>
      </c>
      <c r="K36" s="36">
        <f t="shared" si="4"/>
        <v>132023.79194033486</v>
      </c>
      <c r="M36" s="1">
        <f t="shared" si="2"/>
        <v>0.11904761904761904</v>
      </c>
    </row>
    <row r="37" spans="2:13">
      <c r="B37" s="34">
        <v>97</v>
      </c>
      <c r="C37" s="37"/>
      <c r="D37" s="37"/>
      <c r="E37" s="37"/>
      <c r="F37" s="37"/>
      <c r="G37" s="24">
        <v>97</v>
      </c>
      <c r="H37" s="36">
        <f t="shared" ref="H37:H60" si="6">(H36-J36)*(1+$H$4)</f>
        <v>667347.92639203067</v>
      </c>
      <c r="I37" s="37">
        <f>E12</f>
        <v>7.8</v>
      </c>
      <c r="J37" s="36">
        <f t="shared" si="5"/>
        <v>85557.426460516755</v>
      </c>
      <c r="K37" s="36">
        <f t="shared" si="4"/>
        <v>135324.38673884323</v>
      </c>
      <c r="M37" s="1">
        <f t="shared" si="2"/>
        <v>0.12820512820512822</v>
      </c>
    </row>
    <row r="38" spans="2:13" ht="15.75" thickBot="1">
      <c r="B38" s="35">
        <v>98</v>
      </c>
      <c r="C38" s="37"/>
      <c r="D38" s="37"/>
      <c r="E38" s="37"/>
      <c r="F38" s="37"/>
      <c r="G38" s="143">
        <v>98</v>
      </c>
      <c r="H38" s="36">
        <f t="shared" si="6"/>
        <v>596335.26242980175</v>
      </c>
      <c r="I38" s="37">
        <f t="shared" ref="I38:I60" si="7">E13</f>
        <v>7.3</v>
      </c>
      <c r="J38" s="36">
        <f t="shared" si="5"/>
        <v>81689.761976685171</v>
      </c>
      <c r="K38" s="36">
        <f t="shared" si="4"/>
        <v>138707.49640731429</v>
      </c>
      <c r="M38" s="1">
        <f t="shared" si="2"/>
        <v>0.13698630136986301</v>
      </c>
    </row>
    <row r="39" spans="2:13">
      <c r="B39" s="34">
        <v>99</v>
      </c>
      <c r="C39" s="37"/>
      <c r="D39" s="37"/>
      <c r="E39" s="37"/>
      <c r="F39" s="37"/>
      <c r="G39" s="24">
        <v>99</v>
      </c>
      <c r="H39" s="36">
        <f t="shared" si="6"/>
        <v>527511.63796444447</v>
      </c>
      <c r="I39" s="37">
        <f t="shared" si="7"/>
        <v>6.8</v>
      </c>
      <c r="J39" s="36">
        <f t="shared" si="5"/>
        <v>77575.24087712419</v>
      </c>
      <c r="K39" s="36">
        <f t="shared" si="4"/>
        <v>142175.18381749713</v>
      </c>
      <c r="M39" s="1">
        <f t="shared" si="2"/>
        <v>0.14705882352941177</v>
      </c>
    </row>
    <row r="40" spans="2:13" ht="15.75" thickBot="1">
      <c r="B40" s="35">
        <v>100</v>
      </c>
      <c r="C40" s="37"/>
      <c r="D40" s="37"/>
      <c r="E40" s="37"/>
      <c r="F40" s="37"/>
      <c r="G40" s="143">
        <v>100</v>
      </c>
      <c r="H40" s="36">
        <f t="shared" si="6"/>
        <v>461184.80701450323</v>
      </c>
      <c r="I40" s="37">
        <f t="shared" si="7"/>
        <v>6.4</v>
      </c>
      <c r="J40" s="36">
        <f t="shared" si="5"/>
        <v>72060.126096016131</v>
      </c>
      <c r="K40" s="36">
        <f t="shared" si="4"/>
        <v>145729.56341293454</v>
      </c>
      <c r="M40" s="1">
        <f t="shared" si="2"/>
        <v>0.15625</v>
      </c>
    </row>
    <row r="41" spans="2:13">
      <c r="B41" s="34">
        <v>101</v>
      </c>
      <c r="C41" s="37"/>
      <c r="D41" s="37"/>
      <c r="E41" s="37"/>
      <c r="F41" s="37"/>
      <c r="G41" s="24">
        <v>101</v>
      </c>
      <c r="H41" s="36">
        <f t="shared" si="6"/>
        <v>398852.79794144921</v>
      </c>
      <c r="I41" s="37">
        <f t="shared" si="7"/>
        <v>6</v>
      </c>
      <c r="J41" s="36">
        <f t="shared" si="5"/>
        <v>66475.466323574874</v>
      </c>
      <c r="K41" s="36">
        <f t="shared" si="4"/>
        <v>149372.80249825789</v>
      </c>
      <c r="M41" s="1">
        <f t="shared" si="2"/>
        <v>0.16666666666666669</v>
      </c>
    </row>
    <row r="42" spans="2:13" ht="15.75" thickBot="1">
      <c r="B42" s="35">
        <v>102</v>
      </c>
      <c r="C42" s="37"/>
      <c r="D42" s="37"/>
      <c r="E42" s="37"/>
      <c r="F42" s="37"/>
      <c r="G42" s="143">
        <v>102</v>
      </c>
      <c r="H42" s="36">
        <f t="shared" si="6"/>
        <v>340686.76490832114</v>
      </c>
      <c r="I42" s="37">
        <f t="shared" si="7"/>
        <v>5.6</v>
      </c>
      <c r="J42" s="36">
        <f t="shared" si="5"/>
        <v>60836.922305057349</v>
      </c>
      <c r="K42" s="36">
        <f t="shared" si="4"/>
        <v>153107.12256071431</v>
      </c>
      <c r="M42" s="1">
        <f t="shared" si="2"/>
        <v>0.17857142857142858</v>
      </c>
    </row>
    <row r="43" spans="2:13">
      <c r="B43" s="34">
        <v>103</v>
      </c>
      <c r="C43" s="37"/>
      <c r="D43" s="37"/>
      <c r="E43" s="37"/>
      <c r="F43" s="37"/>
      <c r="G43" s="24">
        <v>103</v>
      </c>
      <c r="H43" s="36">
        <f t="shared" si="6"/>
        <v>286846.08866834536</v>
      </c>
      <c r="I43" s="37">
        <f t="shared" si="7"/>
        <v>5.2</v>
      </c>
      <c r="J43" s="36">
        <f t="shared" si="5"/>
        <v>55162.70935929718</v>
      </c>
      <c r="K43" s="36">
        <f t="shared" si="4"/>
        <v>156934.80062473216</v>
      </c>
      <c r="M43" s="1">
        <f t="shared" si="2"/>
        <v>0.19230769230769229</v>
      </c>
    </row>
    <row r="44" spans="2:13" ht="15.75" thickBot="1">
      <c r="B44" s="35">
        <v>104</v>
      </c>
      <c r="C44" s="37"/>
      <c r="D44" s="37"/>
      <c r="E44" s="37"/>
      <c r="F44" s="37"/>
      <c r="G44" s="143">
        <v>104</v>
      </c>
      <c r="H44" s="36">
        <f t="shared" si="6"/>
        <v>237475.46379177435</v>
      </c>
      <c r="I44" s="37">
        <f t="shared" si="7"/>
        <v>4.9000000000000004</v>
      </c>
      <c r="J44" s="36">
        <f t="shared" si="5"/>
        <v>48464.380365668228</v>
      </c>
      <c r="K44" s="36">
        <f t="shared" si="4"/>
        <v>160858.17064035046</v>
      </c>
      <c r="M44" s="1">
        <f t="shared" si="2"/>
        <v>0.2040816326530612</v>
      </c>
    </row>
    <row r="45" spans="2:13">
      <c r="B45" s="34">
        <v>105</v>
      </c>
      <c r="C45" s="37"/>
      <c r="D45" s="37"/>
      <c r="E45" s="37"/>
      <c r="F45" s="37"/>
      <c r="G45" s="24">
        <v>105</v>
      </c>
      <c r="H45" s="36">
        <f t="shared" si="6"/>
        <v>193736.36051175877</v>
      </c>
      <c r="I45" s="37">
        <f t="shared" si="7"/>
        <v>4.5999999999999996</v>
      </c>
      <c r="J45" s="36">
        <f t="shared" si="5"/>
        <v>42116.600111251908</v>
      </c>
      <c r="K45" s="36">
        <f t="shared" si="4"/>
        <v>164879.62490635921</v>
      </c>
      <c r="M45" s="1">
        <f t="shared" si="2"/>
        <v>0.21739130434782608</v>
      </c>
    </row>
    <row r="46" spans="2:13" ht="15.75" thickBot="1">
      <c r="B46" s="35">
        <v>106</v>
      </c>
      <c r="C46" s="37"/>
      <c r="D46" s="37"/>
      <c r="E46" s="37"/>
      <c r="F46" s="37"/>
      <c r="G46" s="143">
        <v>106</v>
      </c>
      <c r="H46" s="36">
        <f t="shared" si="6"/>
        <v>155410.25441051953</v>
      </c>
      <c r="I46" s="37">
        <f t="shared" si="7"/>
        <v>4.3</v>
      </c>
      <c r="J46" s="36">
        <f t="shared" si="5"/>
        <v>36141.919630353383</v>
      </c>
      <c r="K46" s="36">
        <f t="shared" si="4"/>
        <v>169001.61552901816</v>
      </c>
      <c r="M46" s="1">
        <f t="shared" si="2"/>
        <v>0.23255813953488375</v>
      </c>
    </row>
    <row r="47" spans="2:13">
      <c r="B47" s="34">
        <v>107</v>
      </c>
      <c r="C47" s="37"/>
      <c r="D47" s="37"/>
      <c r="E47" s="37"/>
      <c r="F47" s="37"/>
      <c r="G47" s="24">
        <v>107</v>
      </c>
      <c r="H47" s="36">
        <f t="shared" si="6"/>
        <v>122250.04314967028</v>
      </c>
      <c r="I47" s="37">
        <f t="shared" si="7"/>
        <v>4.0999999999999996</v>
      </c>
      <c r="J47" s="36">
        <f t="shared" si="5"/>
        <v>29817.083695041536</v>
      </c>
      <c r="K47" s="36">
        <f t="shared" si="4"/>
        <v>173226.6559172436</v>
      </c>
      <c r="M47" s="1">
        <f t="shared" si="2"/>
        <v>0.24390243902439027</v>
      </c>
    </row>
    <row r="48" spans="2:13" ht="15.75" thickBot="1">
      <c r="B48" s="35">
        <v>108</v>
      </c>
      <c r="C48" s="37"/>
      <c r="D48" s="37"/>
      <c r="E48" s="37"/>
      <c r="F48" s="37"/>
      <c r="G48" s="143">
        <v>108</v>
      </c>
      <c r="H48" s="36">
        <f t="shared" si="6"/>
        <v>94743.783440994448</v>
      </c>
      <c r="I48" s="37">
        <f t="shared" si="7"/>
        <v>3.9</v>
      </c>
      <c r="J48" s="36">
        <f t="shared" si="5"/>
        <v>24293.277805383193</v>
      </c>
      <c r="K48" s="36">
        <f t="shared" si="4"/>
        <v>177557.32231517468</v>
      </c>
      <c r="M48" s="1">
        <f t="shared" si="2"/>
        <v>0.25641025641025644</v>
      </c>
    </row>
    <row r="49" spans="2:13">
      <c r="B49" s="34">
        <v>109</v>
      </c>
      <c r="C49" s="37"/>
      <c r="D49" s="37"/>
      <c r="E49" s="37"/>
      <c r="F49" s="37"/>
      <c r="G49" s="24">
        <v>109</v>
      </c>
      <c r="H49" s="36">
        <f t="shared" si="6"/>
        <v>72211.76827650152</v>
      </c>
      <c r="I49" s="37">
        <f t="shared" si="7"/>
        <v>3.7</v>
      </c>
      <c r="J49" s="36">
        <f t="shared" si="5"/>
        <v>19516.694128784195</v>
      </c>
      <c r="K49" s="36">
        <f t="shared" si="4"/>
        <v>181996.25537305404</v>
      </c>
      <c r="M49" s="1">
        <f t="shared" si="2"/>
        <v>0.27027027027027029</v>
      </c>
    </row>
    <row r="50" spans="2:13" ht="15.75" thickBot="1">
      <c r="B50" s="35">
        <v>110</v>
      </c>
      <c r="C50" s="37"/>
      <c r="D50" s="37"/>
      <c r="E50" s="37"/>
      <c r="F50" s="37"/>
      <c r="G50" s="143">
        <v>110</v>
      </c>
      <c r="H50" s="36">
        <f t="shared" si="6"/>
        <v>54012.451001410256</v>
      </c>
      <c r="I50" s="37">
        <f t="shared" si="7"/>
        <v>3.5</v>
      </c>
      <c r="J50" s="36">
        <f t="shared" si="5"/>
        <v>15432.128857545787</v>
      </c>
      <c r="K50" s="36">
        <f t="shared" si="4"/>
        <v>186546.16175738038</v>
      </c>
      <c r="M50" s="1">
        <f t="shared" si="2"/>
        <v>0.2857142857142857</v>
      </c>
    </row>
    <row r="51" spans="2:13">
      <c r="B51" s="34">
        <v>111</v>
      </c>
      <c r="C51" s="37"/>
      <c r="D51" s="37"/>
      <c r="E51" s="37"/>
      <c r="F51" s="37"/>
      <c r="G51" s="24">
        <v>111</v>
      </c>
      <c r="H51" s="36">
        <f t="shared" si="6"/>
        <v>39544.83019746108</v>
      </c>
      <c r="I51" s="37">
        <f t="shared" si="7"/>
        <v>3.4</v>
      </c>
      <c r="J51" s="36">
        <f t="shared" si="5"/>
        <v>11630.832411017966</v>
      </c>
      <c r="K51" s="36">
        <f t="shared" si="4"/>
        <v>191209.81580131486</v>
      </c>
      <c r="M51" s="1">
        <f t="shared" si="2"/>
        <v>0.29411764705882354</v>
      </c>
    </row>
    <row r="52" spans="2:13" ht="15.75" thickBot="1">
      <c r="B52" s="35">
        <v>112</v>
      </c>
      <c r="C52" s="37"/>
      <c r="D52" s="37"/>
      <c r="E52" s="37"/>
      <c r="F52" s="37"/>
      <c r="G52" s="143">
        <v>112</v>
      </c>
      <c r="H52" s="36">
        <f t="shared" si="6"/>
        <v>28611.84773110419</v>
      </c>
      <c r="I52" s="37">
        <f t="shared" si="7"/>
        <v>3.3</v>
      </c>
      <c r="J52" s="36">
        <f t="shared" si="5"/>
        <v>8670.256888213391</v>
      </c>
      <c r="K52" s="36">
        <f t="shared" si="4"/>
        <v>195990.06119634773</v>
      </c>
      <c r="M52" s="1">
        <f t="shared" si="2"/>
        <v>0.30303030303030304</v>
      </c>
    </row>
    <row r="53" spans="2:13">
      <c r="B53" s="34">
        <v>113</v>
      </c>
      <c r="C53" s="37"/>
      <c r="D53" s="37"/>
      <c r="E53" s="37"/>
      <c r="F53" s="37"/>
      <c r="G53" s="24">
        <v>113</v>
      </c>
      <c r="H53" s="36">
        <f t="shared" si="6"/>
        <v>20440.130613963069</v>
      </c>
      <c r="I53" s="37">
        <f t="shared" si="7"/>
        <v>3.1</v>
      </c>
      <c r="J53" s="36">
        <f t="shared" si="5"/>
        <v>6593.5905206332482</v>
      </c>
      <c r="K53" s="36">
        <f t="shared" si="4"/>
        <v>200889.81272625641</v>
      </c>
      <c r="M53" s="1">
        <f t="shared" si="2"/>
        <v>0.32258064516129031</v>
      </c>
    </row>
    <row r="54" spans="2:13" ht="15.75" thickBot="1">
      <c r="B54" s="35">
        <v>114</v>
      </c>
      <c r="C54" s="37"/>
      <c r="D54" s="37"/>
      <c r="E54" s="37"/>
      <c r="F54" s="37"/>
      <c r="G54" s="143">
        <v>114</v>
      </c>
      <c r="H54" s="36">
        <f t="shared" si="6"/>
        <v>14192.703595663064</v>
      </c>
      <c r="I54" s="37">
        <f t="shared" si="7"/>
        <v>3</v>
      </c>
      <c r="J54" s="36">
        <f t="shared" si="5"/>
        <v>4730.9011985543548</v>
      </c>
      <c r="K54" s="36">
        <f t="shared" si="4"/>
        <v>205912.05804441281</v>
      </c>
      <c r="M54" s="1">
        <f t="shared" si="2"/>
        <v>0.33333333333333331</v>
      </c>
    </row>
    <row r="55" spans="2:13">
      <c r="B55" s="34">
        <v>115</v>
      </c>
      <c r="C55" s="37"/>
      <c r="D55" s="37"/>
      <c r="E55" s="37"/>
      <c r="F55" s="37"/>
      <c r="G55" s="24">
        <v>115</v>
      </c>
      <c r="H55" s="36">
        <f t="shared" si="6"/>
        <v>9698.3474570364269</v>
      </c>
      <c r="I55" s="37">
        <f t="shared" si="7"/>
        <v>2.9</v>
      </c>
      <c r="J55" s="36">
        <f t="shared" si="5"/>
        <v>3344.2577438056646</v>
      </c>
      <c r="K55" s="36">
        <f t="shared" si="4"/>
        <v>211059.85949552312</v>
      </c>
      <c r="M55" s="1">
        <f t="shared" si="2"/>
        <v>0.34482758620689657</v>
      </c>
    </row>
    <row r="56" spans="2:13" ht="15.75" thickBot="1">
      <c r="B56" s="35">
        <v>116</v>
      </c>
      <c r="C56" s="37"/>
      <c r="D56" s="37"/>
      <c r="E56" s="37"/>
      <c r="F56" s="37"/>
      <c r="G56" s="143">
        <v>116</v>
      </c>
      <c r="H56" s="36">
        <f t="shared" si="6"/>
        <v>6512.9419560615306</v>
      </c>
      <c r="I56" s="37">
        <f t="shared" si="7"/>
        <v>2.8</v>
      </c>
      <c r="J56" s="36">
        <f t="shared" si="5"/>
        <v>2326.0506985934039</v>
      </c>
      <c r="K56" s="36">
        <f t="shared" si="4"/>
        <v>216336.35598291119</v>
      </c>
      <c r="M56" s="1">
        <f t="shared" si="2"/>
        <v>0.35714285714285715</v>
      </c>
    </row>
    <row r="57" spans="2:13">
      <c r="B57" s="34">
        <v>117</v>
      </c>
      <c r="C57" s="37"/>
      <c r="D57" s="37"/>
      <c r="E57" s="37"/>
      <c r="F57" s="37"/>
      <c r="G57" s="24">
        <v>117</v>
      </c>
      <c r="H57" s="36">
        <f t="shared" si="6"/>
        <v>4291.5635389048302</v>
      </c>
      <c r="I57" s="37">
        <f t="shared" si="7"/>
        <v>2.7</v>
      </c>
      <c r="J57" s="36">
        <f t="shared" si="5"/>
        <v>1589.4679773721593</v>
      </c>
      <c r="K57" s="36">
        <f t="shared" si="4"/>
        <v>221744.76488248396</v>
      </c>
      <c r="M57" s="1">
        <f t="shared" si="2"/>
        <v>0.37037037037037035</v>
      </c>
    </row>
    <row r="58" spans="2:13" ht="15.75" thickBot="1">
      <c r="B58" s="35">
        <v>118</v>
      </c>
      <c r="C58" s="37"/>
      <c r="D58" s="37"/>
      <c r="E58" s="37"/>
      <c r="F58" s="37"/>
      <c r="G58" s="143">
        <v>118</v>
      </c>
      <c r="H58" s="36">
        <f t="shared" si="6"/>
        <v>2769.6479505709876</v>
      </c>
      <c r="I58" s="37">
        <f t="shared" si="7"/>
        <v>2.5</v>
      </c>
      <c r="J58" s="36">
        <f t="shared" si="5"/>
        <v>1107.859180228395</v>
      </c>
      <c r="K58" s="36">
        <f t="shared" si="4"/>
        <v>227288.38400454604</v>
      </c>
      <c r="M58" s="1">
        <f t="shared" si="2"/>
        <v>0.39999999999999997</v>
      </c>
    </row>
    <row r="59" spans="2:13">
      <c r="B59" s="34">
        <v>119</v>
      </c>
      <c r="C59" s="37"/>
      <c r="D59" s="37"/>
      <c r="E59" s="37"/>
      <c r="F59" s="37"/>
      <c r="G59" s="24">
        <v>119</v>
      </c>
      <c r="H59" s="36">
        <f t="shared" si="6"/>
        <v>1703.3334896011575</v>
      </c>
      <c r="I59" s="37">
        <f t="shared" si="7"/>
        <v>2.2999999999999998</v>
      </c>
      <c r="J59" s="36">
        <f t="shared" si="5"/>
        <v>740.57977808745977</v>
      </c>
      <c r="K59" s="36">
        <f t="shared" si="4"/>
        <v>232970.59360465966</v>
      </c>
      <c r="M59" s="1">
        <f t="shared" si="2"/>
        <v>0.43478260869565216</v>
      </c>
    </row>
    <row r="60" spans="2:13" ht="15.75" thickBot="1">
      <c r="B60" s="35">
        <v>120</v>
      </c>
      <c r="C60" s="37"/>
      <c r="D60" s="37"/>
      <c r="E60" s="37"/>
      <c r="F60" s="37"/>
      <c r="G60" s="143">
        <v>120</v>
      </c>
      <c r="H60" s="36">
        <f t="shared" si="6"/>
        <v>986.82255430153998</v>
      </c>
      <c r="I60" s="37">
        <f t="shared" si="7"/>
        <v>2</v>
      </c>
      <c r="J60" s="36">
        <f t="shared" si="5"/>
        <v>493.41127715076999</v>
      </c>
      <c r="K60" s="36">
        <f t="shared" si="4"/>
        <v>238794.85844477612</v>
      </c>
      <c r="M60" s="1">
        <f t="shared" si="2"/>
        <v>0.5</v>
      </c>
    </row>
  </sheetData>
  <mergeCells count="7">
    <mergeCell ref="B10:E10"/>
    <mergeCell ref="B4:E4"/>
    <mergeCell ref="B5:E5"/>
    <mergeCell ref="B6:E6"/>
    <mergeCell ref="B7:E7"/>
    <mergeCell ref="B8:E8"/>
    <mergeCell ref="B9:E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BA92-8627-4564-A1EF-122142E3CFDC}">
  <dimension ref="A1:F1213"/>
  <sheetViews>
    <sheetView workbookViewId="0">
      <selection activeCell="F1212" sqref="F1212"/>
    </sheetView>
  </sheetViews>
  <sheetFormatPr defaultRowHeight="15"/>
  <cols>
    <col min="1" max="1" width="12.85546875" bestFit="1" customWidth="1"/>
    <col min="2" max="2" width="6.85546875" bestFit="1" customWidth="1"/>
    <col min="3" max="3" width="8.7109375" bestFit="1" customWidth="1"/>
    <col min="4" max="4" width="9.28515625" bestFit="1" customWidth="1"/>
    <col min="5" max="5" width="8" bestFit="1" customWidth="1"/>
    <col min="6" max="6" width="19.5703125" bestFit="1" customWidth="1"/>
  </cols>
  <sheetData>
    <row r="1" spans="1: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A2" t="s">
        <v>12</v>
      </c>
      <c r="B2">
        <v>1925</v>
      </c>
      <c r="C2" t="s">
        <v>13</v>
      </c>
      <c r="D2" s="5">
        <v>9133</v>
      </c>
      <c r="E2">
        <v>17.3</v>
      </c>
      <c r="F2">
        <v>0</v>
      </c>
    </row>
    <row r="3" spans="1:6" hidden="1">
      <c r="A3" t="s">
        <v>12</v>
      </c>
      <c r="B3">
        <v>1925</v>
      </c>
      <c r="C3" t="s">
        <v>14</v>
      </c>
      <c r="D3" s="5">
        <v>9164</v>
      </c>
      <c r="E3">
        <v>17.2</v>
      </c>
      <c r="F3">
        <v>0</v>
      </c>
    </row>
    <row r="4" spans="1:6" hidden="1">
      <c r="A4" t="s">
        <v>12</v>
      </c>
      <c r="B4">
        <v>1925</v>
      </c>
      <c r="C4" t="s">
        <v>15</v>
      </c>
      <c r="D4" s="5">
        <v>9192</v>
      </c>
      <c r="E4">
        <v>17.3</v>
      </c>
      <c r="F4">
        <v>1.2</v>
      </c>
    </row>
    <row r="5" spans="1:6" hidden="1">
      <c r="A5" t="s">
        <v>12</v>
      </c>
      <c r="B5">
        <v>1925</v>
      </c>
      <c r="C5" t="s">
        <v>16</v>
      </c>
      <c r="D5" s="5">
        <v>9223</v>
      </c>
      <c r="E5">
        <v>17.2</v>
      </c>
      <c r="F5">
        <v>1.2</v>
      </c>
    </row>
    <row r="6" spans="1:6" hidden="1">
      <c r="A6" t="s">
        <v>12</v>
      </c>
      <c r="B6">
        <v>1925</v>
      </c>
      <c r="C6" t="s">
        <v>17</v>
      </c>
      <c r="D6" s="5">
        <v>9253</v>
      </c>
      <c r="E6">
        <v>17.3</v>
      </c>
      <c r="F6">
        <v>1.8</v>
      </c>
    </row>
    <row r="7" spans="1:6" hidden="1">
      <c r="A7" t="s">
        <v>12</v>
      </c>
      <c r="B7">
        <v>1925</v>
      </c>
      <c r="C7" t="s">
        <v>18</v>
      </c>
      <c r="D7" s="5">
        <v>9284</v>
      </c>
      <c r="E7">
        <v>17.5</v>
      </c>
      <c r="F7">
        <v>2.9</v>
      </c>
    </row>
    <row r="8" spans="1:6" hidden="1">
      <c r="A8" t="s">
        <v>12</v>
      </c>
      <c r="B8">
        <v>1925</v>
      </c>
      <c r="C8" t="s">
        <v>19</v>
      </c>
      <c r="D8" s="5">
        <v>9314</v>
      </c>
      <c r="E8">
        <v>17.7</v>
      </c>
      <c r="F8">
        <v>3.5</v>
      </c>
    </row>
    <row r="9" spans="1:6" hidden="1">
      <c r="A9" t="s">
        <v>12</v>
      </c>
      <c r="B9">
        <v>1925</v>
      </c>
      <c r="C9" t="s">
        <v>20</v>
      </c>
      <c r="D9" s="5">
        <v>9345</v>
      </c>
      <c r="E9">
        <v>17.7</v>
      </c>
      <c r="F9">
        <v>4.0999999999999996</v>
      </c>
    </row>
    <row r="10" spans="1:6" hidden="1">
      <c r="A10" t="s">
        <v>12</v>
      </c>
      <c r="B10">
        <v>1925</v>
      </c>
      <c r="C10" t="s">
        <v>21</v>
      </c>
      <c r="D10" s="5">
        <v>9376</v>
      </c>
      <c r="E10">
        <v>17.7</v>
      </c>
      <c r="F10">
        <v>3.5</v>
      </c>
    </row>
    <row r="11" spans="1:6" hidden="1">
      <c r="A11" t="s">
        <v>12</v>
      </c>
      <c r="B11">
        <v>1925</v>
      </c>
      <c r="C11" t="s">
        <v>22</v>
      </c>
      <c r="D11" s="5">
        <v>9406</v>
      </c>
      <c r="E11">
        <v>17.7</v>
      </c>
      <c r="F11">
        <v>2.9</v>
      </c>
    </row>
    <row r="12" spans="1:6" hidden="1">
      <c r="A12" t="s">
        <v>12</v>
      </c>
      <c r="B12">
        <v>1925</v>
      </c>
      <c r="C12" t="s">
        <v>23</v>
      </c>
      <c r="D12" s="5">
        <v>9437</v>
      </c>
      <c r="E12">
        <v>18</v>
      </c>
      <c r="F12">
        <v>4.7</v>
      </c>
    </row>
    <row r="13" spans="1:6" hidden="1">
      <c r="A13" t="s">
        <v>12</v>
      </c>
      <c r="B13">
        <v>1925</v>
      </c>
      <c r="C13" t="s">
        <v>24</v>
      </c>
      <c r="D13" s="5">
        <v>9467</v>
      </c>
      <c r="E13">
        <v>17.899999999999999</v>
      </c>
      <c r="F13">
        <v>3.5</v>
      </c>
    </row>
    <row r="14" spans="1:6">
      <c r="A14" t="s">
        <v>12</v>
      </c>
      <c r="B14">
        <v>1926</v>
      </c>
      <c r="C14" t="s">
        <v>13</v>
      </c>
      <c r="D14" s="5">
        <v>9498</v>
      </c>
      <c r="E14">
        <v>17.899999999999999</v>
      </c>
      <c r="F14">
        <v>3.5</v>
      </c>
    </row>
    <row r="15" spans="1:6" hidden="1">
      <c r="A15" t="s">
        <v>12</v>
      </c>
      <c r="B15">
        <v>1926</v>
      </c>
      <c r="C15" t="s">
        <v>14</v>
      </c>
      <c r="D15" s="5">
        <v>9529</v>
      </c>
      <c r="E15">
        <v>17.899999999999999</v>
      </c>
      <c r="F15">
        <v>4.0999999999999996</v>
      </c>
    </row>
    <row r="16" spans="1:6" hidden="1">
      <c r="A16" t="s">
        <v>12</v>
      </c>
      <c r="B16">
        <v>1926</v>
      </c>
      <c r="C16" t="s">
        <v>15</v>
      </c>
      <c r="D16" s="5">
        <v>9557</v>
      </c>
      <c r="E16">
        <v>17.8</v>
      </c>
      <c r="F16">
        <v>2.9</v>
      </c>
    </row>
    <row r="17" spans="1:6" hidden="1">
      <c r="A17" t="s">
        <v>12</v>
      </c>
      <c r="B17">
        <v>1926</v>
      </c>
      <c r="C17" t="s">
        <v>16</v>
      </c>
      <c r="D17" s="5">
        <v>9588</v>
      </c>
      <c r="E17">
        <v>17.899999999999999</v>
      </c>
      <c r="F17">
        <v>4.0999999999999996</v>
      </c>
    </row>
    <row r="18" spans="1:6" hidden="1">
      <c r="A18" t="s">
        <v>12</v>
      </c>
      <c r="B18">
        <v>1926</v>
      </c>
      <c r="C18" t="s">
        <v>17</v>
      </c>
      <c r="D18" s="5">
        <v>9618</v>
      </c>
      <c r="E18">
        <v>17.8</v>
      </c>
      <c r="F18">
        <v>2.9</v>
      </c>
    </row>
    <row r="19" spans="1:6" hidden="1">
      <c r="A19" t="s">
        <v>12</v>
      </c>
      <c r="B19">
        <v>1926</v>
      </c>
      <c r="C19" t="s">
        <v>18</v>
      </c>
      <c r="D19" s="5">
        <v>9649</v>
      </c>
      <c r="E19">
        <v>17.7</v>
      </c>
      <c r="F19">
        <v>1.1000000000000001</v>
      </c>
    </row>
    <row r="20" spans="1:6" hidden="1">
      <c r="A20" t="s">
        <v>12</v>
      </c>
      <c r="B20">
        <v>1926</v>
      </c>
      <c r="C20" t="s">
        <v>19</v>
      </c>
      <c r="D20" s="5">
        <v>9679</v>
      </c>
      <c r="E20">
        <v>17.5</v>
      </c>
      <c r="F20">
        <v>-1.1000000000000001</v>
      </c>
    </row>
    <row r="21" spans="1:6" hidden="1">
      <c r="A21" t="s">
        <v>12</v>
      </c>
      <c r="B21">
        <v>1926</v>
      </c>
      <c r="C21" t="s">
        <v>20</v>
      </c>
      <c r="D21" s="5">
        <v>9710</v>
      </c>
      <c r="E21">
        <v>17.399999999999999</v>
      </c>
      <c r="F21">
        <v>-1.7</v>
      </c>
    </row>
    <row r="22" spans="1:6" hidden="1">
      <c r="A22" t="s">
        <v>12</v>
      </c>
      <c r="B22">
        <v>1926</v>
      </c>
      <c r="C22" t="s">
        <v>21</v>
      </c>
      <c r="D22" s="5">
        <v>9741</v>
      </c>
      <c r="E22">
        <v>17.5</v>
      </c>
      <c r="F22">
        <v>-1.1000000000000001</v>
      </c>
    </row>
    <row r="23" spans="1:6" hidden="1">
      <c r="A23" t="s">
        <v>12</v>
      </c>
      <c r="B23">
        <v>1926</v>
      </c>
      <c r="C23" t="s">
        <v>22</v>
      </c>
      <c r="D23" s="5">
        <v>9771</v>
      </c>
      <c r="E23">
        <v>17.600000000000001</v>
      </c>
      <c r="F23">
        <v>-0.6</v>
      </c>
    </row>
    <row r="24" spans="1:6" hidden="1">
      <c r="A24" t="s">
        <v>12</v>
      </c>
      <c r="B24">
        <v>1926</v>
      </c>
      <c r="C24" t="s">
        <v>23</v>
      </c>
      <c r="D24" s="5">
        <v>9802</v>
      </c>
      <c r="E24">
        <v>17.7</v>
      </c>
      <c r="F24">
        <v>-1.7</v>
      </c>
    </row>
    <row r="25" spans="1:6" hidden="1">
      <c r="A25" t="s">
        <v>12</v>
      </c>
      <c r="B25">
        <v>1926</v>
      </c>
      <c r="C25" t="s">
        <v>24</v>
      </c>
      <c r="D25" s="5">
        <v>9832</v>
      </c>
      <c r="E25">
        <v>17.7</v>
      </c>
      <c r="F25">
        <v>-1.1000000000000001</v>
      </c>
    </row>
    <row r="26" spans="1:6">
      <c r="A26" t="s">
        <v>12</v>
      </c>
      <c r="B26">
        <v>1927</v>
      </c>
      <c r="C26" t="s">
        <v>13</v>
      </c>
      <c r="D26" s="5">
        <v>9863</v>
      </c>
      <c r="E26">
        <v>17.5</v>
      </c>
      <c r="F26">
        <v>-2.2000000000000002</v>
      </c>
    </row>
    <row r="27" spans="1:6" hidden="1">
      <c r="A27" t="s">
        <v>12</v>
      </c>
      <c r="B27">
        <v>1927</v>
      </c>
      <c r="C27" t="s">
        <v>14</v>
      </c>
      <c r="D27" s="5">
        <v>9894</v>
      </c>
      <c r="E27">
        <v>17.399999999999999</v>
      </c>
      <c r="F27">
        <v>-2.8</v>
      </c>
    </row>
    <row r="28" spans="1:6" hidden="1">
      <c r="A28" t="s">
        <v>12</v>
      </c>
      <c r="B28">
        <v>1927</v>
      </c>
      <c r="C28" t="s">
        <v>15</v>
      </c>
      <c r="D28" s="5">
        <v>9922</v>
      </c>
      <c r="E28">
        <v>17.3</v>
      </c>
      <c r="F28">
        <v>-2.8</v>
      </c>
    </row>
    <row r="29" spans="1:6" hidden="1">
      <c r="A29" t="s">
        <v>12</v>
      </c>
      <c r="B29">
        <v>1927</v>
      </c>
      <c r="C29" t="s">
        <v>16</v>
      </c>
      <c r="D29" s="5">
        <v>9953</v>
      </c>
      <c r="E29">
        <v>17.3</v>
      </c>
      <c r="F29">
        <v>-3.4</v>
      </c>
    </row>
    <row r="30" spans="1:6" hidden="1">
      <c r="A30" t="s">
        <v>12</v>
      </c>
      <c r="B30">
        <v>1927</v>
      </c>
      <c r="C30" t="s">
        <v>17</v>
      </c>
      <c r="D30" s="5">
        <v>9983</v>
      </c>
      <c r="E30">
        <v>17.399999999999999</v>
      </c>
      <c r="F30">
        <v>-2.2000000000000002</v>
      </c>
    </row>
    <row r="31" spans="1:6" hidden="1">
      <c r="A31" t="s">
        <v>12</v>
      </c>
      <c r="B31">
        <v>1927</v>
      </c>
      <c r="C31" t="s">
        <v>18</v>
      </c>
      <c r="D31" s="5">
        <v>10014</v>
      </c>
      <c r="E31">
        <v>17.600000000000001</v>
      </c>
      <c r="F31">
        <v>-0.6</v>
      </c>
    </row>
    <row r="32" spans="1:6" hidden="1">
      <c r="A32" t="s">
        <v>12</v>
      </c>
      <c r="B32">
        <v>1927</v>
      </c>
      <c r="C32" t="s">
        <v>19</v>
      </c>
      <c r="D32" s="5">
        <v>10044</v>
      </c>
      <c r="E32">
        <v>17.3</v>
      </c>
      <c r="F32">
        <v>-1.1000000000000001</v>
      </c>
    </row>
    <row r="33" spans="1:6" hidden="1">
      <c r="A33" t="s">
        <v>12</v>
      </c>
      <c r="B33">
        <v>1927</v>
      </c>
      <c r="C33" t="s">
        <v>20</v>
      </c>
      <c r="D33" s="5">
        <v>10075</v>
      </c>
      <c r="E33">
        <v>17.2</v>
      </c>
      <c r="F33">
        <v>-1.1000000000000001</v>
      </c>
    </row>
    <row r="34" spans="1:6" hidden="1">
      <c r="A34" t="s">
        <v>12</v>
      </c>
      <c r="B34">
        <v>1927</v>
      </c>
      <c r="C34" t="s">
        <v>21</v>
      </c>
      <c r="D34" s="5">
        <v>10106</v>
      </c>
      <c r="E34">
        <v>17.3</v>
      </c>
      <c r="F34">
        <v>-1.1000000000000001</v>
      </c>
    </row>
    <row r="35" spans="1:6" hidden="1">
      <c r="A35" t="s">
        <v>12</v>
      </c>
      <c r="B35">
        <v>1927</v>
      </c>
      <c r="C35" t="s">
        <v>22</v>
      </c>
      <c r="D35" s="5">
        <v>10136</v>
      </c>
      <c r="E35">
        <v>17.399999999999999</v>
      </c>
      <c r="F35">
        <v>-1.1000000000000001</v>
      </c>
    </row>
    <row r="36" spans="1:6" hidden="1">
      <c r="A36" t="s">
        <v>12</v>
      </c>
      <c r="B36">
        <v>1927</v>
      </c>
      <c r="C36" t="s">
        <v>23</v>
      </c>
      <c r="D36" s="5">
        <v>10167</v>
      </c>
      <c r="E36">
        <v>17.3</v>
      </c>
      <c r="F36">
        <v>-2.2999999999999998</v>
      </c>
    </row>
    <row r="37" spans="1:6" hidden="1">
      <c r="A37" t="s">
        <v>12</v>
      </c>
      <c r="B37">
        <v>1927</v>
      </c>
      <c r="C37" t="s">
        <v>24</v>
      </c>
      <c r="D37" s="5">
        <v>10197</v>
      </c>
      <c r="E37">
        <v>17.3</v>
      </c>
      <c r="F37">
        <v>-2.2999999999999998</v>
      </c>
    </row>
    <row r="38" spans="1:6">
      <c r="A38" t="s">
        <v>12</v>
      </c>
      <c r="B38">
        <v>1928</v>
      </c>
      <c r="C38" t="s">
        <v>13</v>
      </c>
      <c r="D38" s="5">
        <v>10228</v>
      </c>
      <c r="E38">
        <v>17.3</v>
      </c>
      <c r="F38">
        <v>-1.1000000000000001</v>
      </c>
    </row>
    <row r="39" spans="1:6" hidden="1">
      <c r="A39" t="s">
        <v>12</v>
      </c>
      <c r="B39">
        <v>1928</v>
      </c>
      <c r="C39" t="s">
        <v>14</v>
      </c>
      <c r="D39" s="5">
        <v>10259</v>
      </c>
      <c r="E39">
        <v>17.100000000000001</v>
      </c>
      <c r="F39">
        <v>-1.7</v>
      </c>
    </row>
    <row r="40" spans="1:6" hidden="1">
      <c r="A40" t="s">
        <v>12</v>
      </c>
      <c r="B40">
        <v>1928</v>
      </c>
      <c r="C40" t="s">
        <v>15</v>
      </c>
      <c r="D40" s="5">
        <v>10288</v>
      </c>
      <c r="E40">
        <v>17.100000000000001</v>
      </c>
      <c r="F40">
        <v>-1.2</v>
      </c>
    </row>
    <row r="41" spans="1:6" hidden="1">
      <c r="A41" t="s">
        <v>12</v>
      </c>
      <c r="B41">
        <v>1928</v>
      </c>
      <c r="C41" t="s">
        <v>16</v>
      </c>
      <c r="D41" s="5">
        <v>10319</v>
      </c>
      <c r="E41">
        <v>17.100000000000001</v>
      </c>
      <c r="F41">
        <v>-1.2</v>
      </c>
    </row>
    <row r="42" spans="1:6" hidden="1">
      <c r="A42" t="s">
        <v>12</v>
      </c>
      <c r="B42">
        <v>1928</v>
      </c>
      <c r="C42" t="s">
        <v>17</v>
      </c>
      <c r="D42" s="5">
        <v>10349</v>
      </c>
      <c r="E42">
        <v>17.2</v>
      </c>
      <c r="F42">
        <v>-1.1000000000000001</v>
      </c>
    </row>
    <row r="43" spans="1:6" hidden="1">
      <c r="A43" t="s">
        <v>12</v>
      </c>
      <c r="B43">
        <v>1928</v>
      </c>
      <c r="C43" t="s">
        <v>18</v>
      </c>
      <c r="D43" s="5">
        <v>10380</v>
      </c>
      <c r="E43">
        <v>17.100000000000001</v>
      </c>
      <c r="F43">
        <v>-2.8</v>
      </c>
    </row>
    <row r="44" spans="1:6" hidden="1">
      <c r="A44" t="s">
        <v>12</v>
      </c>
      <c r="B44">
        <v>1928</v>
      </c>
      <c r="C44" t="s">
        <v>19</v>
      </c>
      <c r="D44" s="5">
        <v>10410</v>
      </c>
      <c r="E44">
        <v>17.100000000000001</v>
      </c>
      <c r="F44">
        <v>-1.2</v>
      </c>
    </row>
    <row r="45" spans="1:6" hidden="1">
      <c r="A45" t="s">
        <v>12</v>
      </c>
      <c r="B45">
        <v>1928</v>
      </c>
      <c r="C45" t="s">
        <v>20</v>
      </c>
      <c r="D45" s="5">
        <v>10441</v>
      </c>
      <c r="E45">
        <v>17.100000000000001</v>
      </c>
      <c r="F45">
        <v>-0.6</v>
      </c>
    </row>
    <row r="46" spans="1:6" hidden="1">
      <c r="A46" t="s">
        <v>12</v>
      </c>
      <c r="B46">
        <v>1928</v>
      </c>
      <c r="C46" t="s">
        <v>21</v>
      </c>
      <c r="D46" s="5">
        <v>10472</v>
      </c>
      <c r="E46">
        <v>17.3</v>
      </c>
      <c r="F46">
        <v>0</v>
      </c>
    </row>
    <row r="47" spans="1:6" hidden="1">
      <c r="A47" t="s">
        <v>12</v>
      </c>
      <c r="B47">
        <v>1928</v>
      </c>
      <c r="C47" t="s">
        <v>22</v>
      </c>
      <c r="D47" s="5">
        <v>10502</v>
      </c>
      <c r="E47">
        <v>17.2</v>
      </c>
      <c r="F47">
        <v>-1.1000000000000001</v>
      </c>
    </row>
    <row r="48" spans="1:6" hidden="1">
      <c r="A48" t="s">
        <v>12</v>
      </c>
      <c r="B48">
        <v>1928</v>
      </c>
      <c r="C48" t="s">
        <v>23</v>
      </c>
      <c r="D48" s="5">
        <v>10533</v>
      </c>
      <c r="E48">
        <v>17.2</v>
      </c>
      <c r="F48">
        <v>-0.6</v>
      </c>
    </row>
    <row r="49" spans="1:6" hidden="1">
      <c r="A49" t="s">
        <v>12</v>
      </c>
      <c r="B49">
        <v>1928</v>
      </c>
      <c r="C49" t="s">
        <v>24</v>
      </c>
      <c r="D49" s="5">
        <v>10563</v>
      </c>
      <c r="E49">
        <v>17.100000000000001</v>
      </c>
      <c r="F49">
        <v>-1.2</v>
      </c>
    </row>
    <row r="50" spans="1:6">
      <c r="A50" t="s">
        <v>12</v>
      </c>
      <c r="B50">
        <v>1929</v>
      </c>
      <c r="C50" t="s">
        <v>13</v>
      </c>
      <c r="D50" s="5">
        <v>10594</v>
      </c>
      <c r="E50">
        <v>17.100000000000001</v>
      </c>
      <c r="F50">
        <v>-1.2</v>
      </c>
    </row>
    <row r="51" spans="1:6" hidden="1">
      <c r="A51" t="s">
        <v>12</v>
      </c>
      <c r="B51">
        <v>1929</v>
      </c>
      <c r="C51" t="s">
        <v>14</v>
      </c>
      <c r="D51" s="5">
        <v>10625</v>
      </c>
      <c r="E51">
        <v>17.100000000000001</v>
      </c>
      <c r="F51">
        <v>0</v>
      </c>
    </row>
    <row r="52" spans="1:6" hidden="1">
      <c r="A52" t="s">
        <v>12</v>
      </c>
      <c r="B52">
        <v>1929</v>
      </c>
      <c r="C52" t="s">
        <v>15</v>
      </c>
      <c r="D52" s="5">
        <v>10653</v>
      </c>
      <c r="E52">
        <v>17</v>
      </c>
      <c r="F52">
        <v>-0.6</v>
      </c>
    </row>
    <row r="53" spans="1:6" hidden="1">
      <c r="A53" t="s">
        <v>12</v>
      </c>
      <c r="B53">
        <v>1929</v>
      </c>
      <c r="C53" t="s">
        <v>16</v>
      </c>
      <c r="D53" s="5">
        <v>10684</v>
      </c>
      <c r="E53">
        <v>16.899999999999999</v>
      </c>
      <c r="F53">
        <v>-1.2</v>
      </c>
    </row>
    <row r="54" spans="1:6" hidden="1">
      <c r="A54" t="s">
        <v>12</v>
      </c>
      <c r="B54">
        <v>1929</v>
      </c>
      <c r="C54" t="s">
        <v>17</v>
      </c>
      <c r="D54" s="5">
        <v>10714</v>
      </c>
      <c r="E54">
        <v>17</v>
      </c>
      <c r="F54">
        <v>-1.2</v>
      </c>
    </row>
    <row r="55" spans="1:6" hidden="1">
      <c r="A55" t="s">
        <v>12</v>
      </c>
      <c r="B55">
        <v>1929</v>
      </c>
      <c r="C55" t="s">
        <v>18</v>
      </c>
      <c r="D55" s="5">
        <v>10745</v>
      </c>
      <c r="E55">
        <v>17.100000000000001</v>
      </c>
      <c r="F55">
        <v>0</v>
      </c>
    </row>
    <row r="56" spans="1:6" hidden="1">
      <c r="A56" t="s">
        <v>12</v>
      </c>
      <c r="B56">
        <v>1929</v>
      </c>
      <c r="C56" t="s">
        <v>19</v>
      </c>
      <c r="D56" s="5">
        <v>10775</v>
      </c>
      <c r="E56">
        <v>17.3</v>
      </c>
      <c r="F56">
        <v>1.2</v>
      </c>
    </row>
    <row r="57" spans="1:6" hidden="1">
      <c r="A57" t="s">
        <v>12</v>
      </c>
      <c r="B57">
        <v>1929</v>
      </c>
      <c r="C57" t="s">
        <v>20</v>
      </c>
      <c r="D57" s="5">
        <v>10806</v>
      </c>
      <c r="E57">
        <v>17.3</v>
      </c>
      <c r="F57">
        <v>1.2</v>
      </c>
    </row>
    <row r="58" spans="1:6" hidden="1">
      <c r="A58" t="s">
        <v>12</v>
      </c>
      <c r="B58">
        <v>1929</v>
      </c>
      <c r="C58" t="s">
        <v>21</v>
      </c>
      <c r="D58" s="5">
        <v>10837</v>
      </c>
      <c r="E58">
        <v>17.3</v>
      </c>
      <c r="F58">
        <v>0</v>
      </c>
    </row>
    <row r="59" spans="1:6" hidden="1">
      <c r="A59" t="s">
        <v>12</v>
      </c>
      <c r="B59">
        <v>1929</v>
      </c>
      <c r="C59" t="s">
        <v>22</v>
      </c>
      <c r="D59" s="5">
        <v>10867</v>
      </c>
      <c r="E59">
        <v>17.3</v>
      </c>
      <c r="F59">
        <v>0.6</v>
      </c>
    </row>
    <row r="60" spans="1:6" hidden="1">
      <c r="A60" t="s">
        <v>12</v>
      </c>
      <c r="B60">
        <v>1929</v>
      </c>
      <c r="C60" t="s">
        <v>23</v>
      </c>
      <c r="D60" s="5">
        <v>10898</v>
      </c>
      <c r="E60">
        <v>17.3</v>
      </c>
      <c r="F60">
        <v>0.6</v>
      </c>
    </row>
    <row r="61" spans="1:6" hidden="1">
      <c r="A61" t="s">
        <v>12</v>
      </c>
      <c r="B61">
        <v>1929</v>
      </c>
      <c r="C61" t="s">
        <v>24</v>
      </c>
      <c r="D61" s="5">
        <v>10928</v>
      </c>
      <c r="E61">
        <v>17.2</v>
      </c>
      <c r="F61">
        <v>0.6</v>
      </c>
    </row>
    <row r="62" spans="1:6">
      <c r="A62" t="s">
        <v>12</v>
      </c>
      <c r="B62">
        <v>1930</v>
      </c>
      <c r="C62" t="s">
        <v>13</v>
      </c>
      <c r="D62" s="5">
        <v>10959</v>
      </c>
      <c r="E62">
        <v>17.100000000000001</v>
      </c>
      <c r="F62">
        <v>0</v>
      </c>
    </row>
    <row r="63" spans="1:6" hidden="1">
      <c r="A63" t="s">
        <v>12</v>
      </c>
      <c r="B63">
        <v>1930</v>
      </c>
      <c r="C63" t="s">
        <v>14</v>
      </c>
      <c r="D63" s="5">
        <v>10990</v>
      </c>
      <c r="E63">
        <v>17</v>
      </c>
      <c r="F63">
        <v>-0.6</v>
      </c>
    </row>
    <row r="64" spans="1:6" hidden="1">
      <c r="A64" t="s">
        <v>12</v>
      </c>
      <c r="B64">
        <v>1930</v>
      </c>
      <c r="C64" t="s">
        <v>15</v>
      </c>
      <c r="D64" s="5">
        <v>11018</v>
      </c>
      <c r="E64">
        <v>16.899999999999999</v>
      </c>
      <c r="F64">
        <v>-0.6</v>
      </c>
    </row>
    <row r="65" spans="1:6" hidden="1">
      <c r="A65" t="s">
        <v>12</v>
      </c>
      <c r="B65">
        <v>1930</v>
      </c>
      <c r="C65" t="s">
        <v>16</v>
      </c>
      <c r="D65" s="5">
        <v>11049</v>
      </c>
      <c r="E65">
        <v>17</v>
      </c>
      <c r="F65">
        <v>0.6</v>
      </c>
    </row>
    <row r="66" spans="1:6" hidden="1">
      <c r="A66" t="s">
        <v>12</v>
      </c>
      <c r="B66">
        <v>1930</v>
      </c>
      <c r="C66" t="s">
        <v>17</v>
      </c>
      <c r="D66" s="5">
        <v>11079</v>
      </c>
      <c r="E66">
        <v>16.899999999999999</v>
      </c>
      <c r="F66">
        <v>-0.6</v>
      </c>
    </row>
    <row r="67" spans="1:6" hidden="1">
      <c r="A67" t="s">
        <v>12</v>
      </c>
      <c r="B67">
        <v>1930</v>
      </c>
      <c r="C67" t="s">
        <v>18</v>
      </c>
      <c r="D67" s="5">
        <v>11110</v>
      </c>
      <c r="E67">
        <v>16.8</v>
      </c>
      <c r="F67">
        <v>-1.8</v>
      </c>
    </row>
    <row r="68" spans="1:6" hidden="1">
      <c r="A68" t="s">
        <v>12</v>
      </c>
      <c r="B68">
        <v>1930</v>
      </c>
      <c r="C68" t="s">
        <v>19</v>
      </c>
      <c r="D68" s="5">
        <v>11140</v>
      </c>
      <c r="E68">
        <v>16.600000000000001</v>
      </c>
      <c r="F68">
        <v>-4</v>
      </c>
    </row>
    <row r="69" spans="1:6" hidden="1">
      <c r="A69" t="s">
        <v>12</v>
      </c>
      <c r="B69">
        <v>1930</v>
      </c>
      <c r="C69" t="s">
        <v>20</v>
      </c>
      <c r="D69" s="5">
        <v>11171</v>
      </c>
      <c r="E69">
        <v>16.5</v>
      </c>
      <c r="F69">
        <v>-4.5999999999999996</v>
      </c>
    </row>
    <row r="70" spans="1:6" hidden="1">
      <c r="A70" t="s">
        <v>12</v>
      </c>
      <c r="B70">
        <v>1930</v>
      </c>
      <c r="C70" t="s">
        <v>21</v>
      </c>
      <c r="D70" s="5">
        <v>11202</v>
      </c>
      <c r="E70">
        <v>16.600000000000001</v>
      </c>
      <c r="F70">
        <v>-4</v>
      </c>
    </row>
    <row r="71" spans="1:6" hidden="1">
      <c r="A71" t="s">
        <v>12</v>
      </c>
      <c r="B71">
        <v>1930</v>
      </c>
      <c r="C71" t="s">
        <v>22</v>
      </c>
      <c r="D71" s="5">
        <v>11232</v>
      </c>
      <c r="E71">
        <v>16.5</v>
      </c>
      <c r="F71">
        <v>-4.5999999999999996</v>
      </c>
    </row>
    <row r="72" spans="1:6" hidden="1">
      <c r="A72" t="s">
        <v>12</v>
      </c>
      <c r="B72">
        <v>1930</v>
      </c>
      <c r="C72" t="s">
        <v>23</v>
      </c>
      <c r="D72" s="5">
        <v>11263</v>
      </c>
      <c r="E72">
        <v>16.399999999999999</v>
      </c>
      <c r="F72">
        <v>-5.2</v>
      </c>
    </row>
    <row r="73" spans="1:6" hidden="1">
      <c r="A73" t="s">
        <v>12</v>
      </c>
      <c r="B73">
        <v>1930</v>
      </c>
      <c r="C73" t="s">
        <v>24</v>
      </c>
      <c r="D73" s="5">
        <v>11293</v>
      </c>
      <c r="E73">
        <v>16.100000000000001</v>
      </c>
      <c r="F73">
        <v>-6.4</v>
      </c>
    </row>
    <row r="74" spans="1:6">
      <c r="A74" t="s">
        <v>12</v>
      </c>
      <c r="B74">
        <v>1931</v>
      </c>
      <c r="C74" t="s">
        <v>13</v>
      </c>
      <c r="D74" s="5">
        <v>11324</v>
      </c>
      <c r="E74">
        <v>15.9</v>
      </c>
      <c r="F74">
        <v>-7</v>
      </c>
    </row>
    <row r="75" spans="1:6" hidden="1">
      <c r="A75" t="s">
        <v>12</v>
      </c>
      <c r="B75">
        <v>1931</v>
      </c>
      <c r="C75" t="s">
        <v>14</v>
      </c>
      <c r="D75" s="5">
        <v>11355</v>
      </c>
      <c r="E75">
        <v>15.7</v>
      </c>
      <c r="F75">
        <v>-7.6</v>
      </c>
    </row>
    <row r="76" spans="1:6" hidden="1">
      <c r="A76" t="s">
        <v>12</v>
      </c>
      <c r="B76">
        <v>1931</v>
      </c>
      <c r="C76" t="s">
        <v>15</v>
      </c>
      <c r="D76" s="5">
        <v>11383</v>
      </c>
      <c r="E76">
        <v>15.6</v>
      </c>
      <c r="F76">
        <v>-7.7</v>
      </c>
    </row>
    <row r="77" spans="1:6" hidden="1">
      <c r="A77" t="s">
        <v>12</v>
      </c>
      <c r="B77">
        <v>1931</v>
      </c>
      <c r="C77" t="s">
        <v>16</v>
      </c>
      <c r="D77" s="5">
        <v>11414</v>
      </c>
      <c r="E77">
        <v>15.5</v>
      </c>
      <c r="F77">
        <v>-8.8000000000000007</v>
      </c>
    </row>
    <row r="78" spans="1:6" hidden="1">
      <c r="A78" t="s">
        <v>12</v>
      </c>
      <c r="B78">
        <v>1931</v>
      </c>
      <c r="C78" t="s">
        <v>17</v>
      </c>
      <c r="D78" s="5">
        <v>11444</v>
      </c>
      <c r="E78">
        <v>15.3</v>
      </c>
      <c r="F78">
        <v>-9.5</v>
      </c>
    </row>
    <row r="79" spans="1:6" hidden="1">
      <c r="A79" t="s">
        <v>12</v>
      </c>
      <c r="B79">
        <v>1931</v>
      </c>
      <c r="C79" t="s">
        <v>18</v>
      </c>
      <c r="D79" s="5">
        <v>11475</v>
      </c>
      <c r="E79">
        <v>15.1</v>
      </c>
      <c r="F79">
        <v>-10.1</v>
      </c>
    </row>
    <row r="80" spans="1:6" hidden="1">
      <c r="A80" t="s">
        <v>12</v>
      </c>
      <c r="B80">
        <v>1931</v>
      </c>
      <c r="C80" t="s">
        <v>19</v>
      </c>
      <c r="D80" s="5">
        <v>11505</v>
      </c>
      <c r="E80">
        <v>15.1</v>
      </c>
      <c r="F80">
        <v>-9</v>
      </c>
    </row>
    <row r="81" spans="1:6" hidden="1">
      <c r="A81" t="s">
        <v>12</v>
      </c>
      <c r="B81">
        <v>1931</v>
      </c>
      <c r="C81" t="s">
        <v>20</v>
      </c>
      <c r="D81" s="5">
        <v>11536</v>
      </c>
      <c r="E81">
        <v>15.1</v>
      </c>
      <c r="F81">
        <v>-8.5</v>
      </c>
    </row>
    <row r="82" spans="1:6" hidden="1">
      <c r="A82" t="s">
        <v>12</v>
      </c>
      <c r="B82">
        <v>1931</v>
      </c>
      <c r="C82" t="s">
        <v>21</v>
      </c>
      <c r="D82" s="5">
        <v>11567</v>
      </c>
      <c r="E82">
        <v>15</v>
      </c>
      <c r="F82">
        <v>-9.6</v>
      </c>
    </row>
    <row r="83" spans="1:6" hidden="1">
      <c r="A83" t="s">
        <v>12</v>
      </c>
      <c r="B83">
        <v>1931</v>
      </c>
      <c r="C83" t="s">
        <v>22</v>
      </c>
      <c r="D83" s="5">
        <v>11597</v>
      </c>
      <c r="E83">
        <v>14.9</v>
      </c>
      <c r="F83">
        <v>-9.6999999999999993</v>
      </c>
    </row>
    <row r="84" spans="1:6" hidden="1">
      <c r="A84" t="s">
        <v>12</v>
      </c>
      <c r="B84">
        <v>1931</v>
      </c>
      <c r="C84" t="s">
        <v>23</v>
      </c>
      <c r="D84" s="5">
        <v>11628</v>
      </c>
      <c r="E84">
        <v>14.7</v>
      </c>
      <c r="F84">
        <v>-10.4</v>
      </c>
    </row>
    <row r="85" spans="1:6" hidden="1">
      <c r="A85" t="s">
        <v>12</v>
      </c>
      <c r="B85">
        <v>1931</v>
      </c>
      <c r="C85" t="s">
        <v>24</v>
      </c>
      <c r="D85" s="5">
        <v>11658</v>
      </c>
      <c r="E85">
        <v>14.6</v>
      </c>
      <c r="F85">
        <v>-9.3000000000000007</v>
      </c>
    </row>
    <row r="86" spans="1:6">
      <c r="A86" t="s">
        <v>12</v>
      </c>
      <c r="B86">
        <v>1932</v>
      </c>
      <c r="C86" t="s">
        <v>13</v>
      </c>
      <c r="D86" s="5">
        <v>11689</v>
      </c>
      <c r="E86">
        <v>14.3</v>
      </c>
      <c r="F86">
        <v>-10.1</v>
      </c>
    </row>
    <row r="87" spans="1:6" hidden="1">
      <c r="A87" t="s">
        <v>12</v>
      </c>
      <c r="B87">
        <v>1932</v>
      </c>
      <c r="C87" t="s">
        <v>14</v>
      </c>
      <c r="D87" s="5">
        <v>11720</v>
      </c>
      <c r="E87">
        <v>14.1</v>
      </c>
      <c r="F87">
        <v>-10.199999999999999</v>
      </c>
    </row>
    <row r="88" spans="1:6" hidden="1">
      <c r="A88" t="s">
        <v>12</v>
      </c>
      <c r="B88">
        <v>1932</v>
      </c>
      <c r="C88" t="s">
        <v>15</v>
      </c>
      <c r="D88" s="5">
        <v>11749</v>
      </c>
      <c r="E88">
        <v>14</v>
      </c>
      <c r="F88">
        <v>-10.3</v>
      </c>
    </row>
    <row r="89" spans="1:6" hidden="1">
      <c r="A89" t="s">
        <v>12</v>
      </c>
      <c r="B89">
        <v>1932</v>
      </c>
      <c r="C89" t="s">
        <v>16</v>
      </c>
      <c r="D89" s="5">
        <v>11780</v>
      </c>
      <c r="E89">
        <v>13.9</v>
      </c>
      <c r="F89">
        <v>-10.3</v>
      </c>
    </row>
    <row r="90" spans="1:6" hidden="1">
      <c r="A90" t="s">
        <v>12</v>
      </c>
      <c r="B90">
        <v>1932</v>
      </c>
      <c r="C90" t="s">
        <v>17</v>
      </c>
      <c r="D90" s="5">
        <v>11810</v>
      </c>
      <c r="E90">
        <v>13.7</v>
      </c>
      <c r="F90">
        <v>-10.5</v>
      </c>
    </row>
    <row r="91" spans="1:6" hidden="1">
      <c r="A91" t="s">
        <v>12</v>
      </c>
      <c r="B91">
        <v>1932</v>
      </c>
      <c r="C91" t="s">
        <v>18</v>
      </c>
      <c r="D91" s="5">
        <v>11841</v>
      </c>
      <c r="E91">
        <v>13.6</v>
      </c>
      <c r="F91">
        <v>-9.9</v>
      </c>
    </row>
    <row r="92" spans="1:6" hidden="1">
      <c r="A92" t="s">
        <v>12</v>
      </c>
      <c r="B92">
        <v>1932</v>
      </c>
      <c r="C92" t="s">
        <v>19</v>
      </c>
      <c r="D92" s="5">
        <v>11871</v>
      </c>
      <c r="E92">
        <v>13.6</v>
      </c>
      <c r="F92">
        <v>-9.9</v>
      </c>
    </row>
    <row r="93" spans="1:6" hidden="1">
      <c r="A93" t="s">
        <v>12</v>
      </c>
      <c r="B93">
        <v>1932</v>
      </c>
      <c r="C93" t="s">
        <v>20</v>
      </c>
      <c r="D93" s="5">
        <v>11902</v>
      </c>
      <c r="E93">
        <v>13.5</v>
      </c>
      <c r="F93">
        <v>-10.6</v>
      </c>
    </row>
    <row r="94" spans="1:6" hidden="1">
      <c r="A94" t="s">
        <v>12</v>
      </c>
      <c r="B94">
        <v>1932</v>
      </c>
      <c r="C94" t="s">
        <v>21</v>
      </c>
      <c r="D94" s="5">
        <v>11933</v>
      </c>
      <c r="E94">
        <v>13.4</v>
      </c>
      <c r="F94">
        <v>-10.7</v>
      </c>
    </row>
    <row r="95" spans="1:6" hidden="1">
      <c r="A95" t="s">
        <v>12</v>
      </c>
      <c r="B95">
        <v>1932</v>
      </c>
      <c r="C95" t="s">
        <v>22</v>
      </c>
      <c r="D95" s="5">
        <v>11963</v>
      </c>
      <c r="E95">
        <v>13.3</v>
      </c>
      <c r="F95">
        <v>-10.7</v>
      </c>
    </row>
    <row r="96" spans="1:6" hidden="1">
      <c r="A96" t="s">
        <v>12</v>
      </c>
      <c r="B96">
        <v>1932</v>
      </c>
      <c r="C96" t="s">
        <v>23</v>
      </c>
      <c r="D96" s="5">
        <v>11994</v>
      </c>
      <c r="E96">
        <v>13.2</v>
      </c>
      <c r="F96">
        <v>-10.199999999999999</v>
      </c>
    </row>
    <row r="97" spans="1:6" hidden="1">
      <c r="A97" t="s">
        <v>12</v>
      </c>
      <c r="B97">
        <v>1932</v>
      </c>
      <c r="C97" t="s">
        <v>24</v>
      </c>
      <c r="D97" s="5">
        <v>12024</v>
      </c>
      <c r="E97">
        <v>13.1</v>
      </c>
      <c r="F97">
        <v>-10.3</v>
      </c>
    </row>
    <row r="98" spans="1:6">
      <c r="A98" t="s">
        <v>12</v>
      </c>
      <c r="B98">
        <v>1933</v>
      </c>
      <c r="C98" t="s">
        <v>13</v>
      </c>
      <c r="D98" s="5">
        <v>12055</v>
      </c>
      <c r="E98">
        <v>12.9</v>
      </c>
      <c r="F98">
        <v>-9.8000000000000007</v>
      </c>
    </row>
    <row r="99" spans="1:6" hidden="1">
      <c r="A99" t="s">
        <v>12</v>
      </c>
      <c r="B99">
        <v>1933</v>
      </c>
      <c r="C99" t="s">
        <v>14</v>
      </c>
      <c r="D99" s="5">
        <v>12086</v>
      </c>
      <c r="E99">
        <v>12.7</v>
      </c>
      <c r="F99">
        <v>-9.9</v>
      </c>
    </row>
    <row r="100" spans="1:6" hidden="1">
      <c r="A100" t="s">
        <v>12</v>
      </c>
      <c r="B100">
        <v>1933</v>
      </c>
      <c r="C100" t="s">
        <v>15</v>
      </c>
      <c r="D100" s="5">
        <v>12114</v>
      </c>
      <c r="E100">
        <v>12.6</v>
      </c>
      <c r="F100">
        <v>-10</v>
      </c>
    </row>
    <row r="101" spans="1:6" hidden="1">
      <c r="A101" t="s">
        <v>12</v>
      </c>
      <c r="B101">
        <v>1933</v>
      </c>
      <c r="C101" t="s">
        <v>16</v>
      </c>
      <c r="D101" s="5">
        <v>12145</v>
      </c>
      <c r="E101">
        <v>12.6</v>
      </c>
      <c r="F101">
        <v>-9.4</v>
      </c>
    </row>
    <row r="102" spans="1:6" hidden="1">
      <c r="A102" t="s">
        <v>12</v>
      </c>
      <c r="B102">
        <v>1933</v>
      </c>
      <c r="C102" t="s">
        <v>17</v>
      </c>
      <c r="D102" s="5">
        <v>12175</v>
      </c>
      <c r="E102">
        <v>12.6</v>
      </c>
      <c r="F102">
        <v>-8</v>
      </c>
    </row>
    <row r="103" spans="1:6" hidden="1">
      <c r="A103" t="s">
        <v>12</v>
      </c>
      <c r="B103">
        <v>1933</v>
      </c>
      <c r="C103" t="s">
        <v>18</v>
      </c>
      <c r="D103" s="5">
        <v>12206</v>
      </c>
      <c r="E103">
        <v>12.7</v>
      </c>
      <c r="F103">
        <v>-6.6</v>
      </c>
    </row>
    <row r="104" spans="1:6" hidden="1">
      <c r="A104" t="s">
        <v>12</v>
      </c>
      <c r="B104">
        <v>1933</v>
      </c>
      <c r="C104" t="s">
        <v>19</v>
      </c>
      <c r="D104" s="5">
        <v>12236</v>
      </c>
      <c r="E104">
        <v>13.1</v>
      </c>
      <c r="F104">
        <v>-3.7</v>
      </c>
    </row>
    <row r="105" spans="1:6" hidden="1">
      <c r="A105" t="s">
        <v>12</v>
      </c>
      <c r="B105">
        <v>1933</v>
      </c>
      <c r="C105" t="s">
        <v>20</v>
      </c>
      <c r="D105" s="5">
        <v>12267</v>
      </c>
      <c r="E105">
        <v>13.2</v>
      </c>
      <c r="F105">
        <v>-2.2000000000000002</v>
      </c>
    </row>
    <row r="106" spans="1:6" hidden="1">
      <c r="A106" t="s">
        <v>12</v>
      </c>
      <c r="B106">
        <v>1933</v>
      </c>
      <c r="C106" t="s">
        <v>21</v>
      </c>
      <c r="D106" s="5">
        <v>12298</v>
      </c>
      <c r="E106">
        <v>13.2</v>
      </c>
      <c r="F106">
        <v>-1.5</v>
      </c>
    </row>
    <row r="107" spans="1:6" hidden="1">
      <c r="A107" t="s">
        <v>12</v>
      </c>
      <c r="B107">
        <v>1933</v>
      </c>
      <c r="C107" t="s">
        <v>22</v>
      </c>
      <c r="D107" s="5">
        <v>12328</v>
      </c>
      <c r="E107">
        <v>13.2</v>
      </c>
      <c r="F107">
        <v>-0.8</v>
      </c>
    </row>
    <row r="108" spans="1:6" hidden="1">
      <c r="A108" t="s">
        <v>12</v>
      </c>
      <c r="B108">
        <v>1933</v>
      </c>
      <c r="C108" t="s">
        <v>23</v>
      </c>
      <c r="D108" s="5">
        <v>12359</v>
      </c>
      <c r="E108">
        <v>13.2</v>
      </c>
      <c r="F108">
        <v>0</v>
      </c>
    </row>
    <row r="109" spans="1:6" hidden="1">
      <c r="A109" t="s">
        <v>12</v>
      </c>
      <c r="B109">
        <v>1933</v>
      </c>
      <c r="C109" t="s">
        <v>24</v>
      </c>
      <c r="D109" s="5">
        <v>12389</v>
      </c>
      <c r="E109">
        <v>13.2</v>
      </c>
      <c r="F109">
        <v>0.8</v>
      </c>
    </row>
    <row r="110" spans="1:6">
      <c r="A110" t="s">
        <v>12</v>
      </c>
      <c r="B110">
        <v>1934</v>
      </c>
      <c r="C110" t="s">
        <v>13</v>
      </c>
      <c r="D110" s="5">
        <v>12420</v>
      </c>
      <c r="E110">
        <v>13.2</v>
      </c>
      <c r="F110">
        <v>2.2999999999999998</v>
      </c>
    </row>
    <row r="111" spans="1:6" hidden="1">
      <c r="A111" t="s">
        <v>12</v>
      </c>
      <c r="B111">
        <v>1934</v>
      </c>
      <c r="C111" t="s">
        <v>14</v>
      </c>
      <c r="D111" s="5">
        <v>12451</v>
      </c>
      <c r="E111">
        <v>13.3</v>
      </c>
      <c r="F111">
        <v>4.7</v>
      </c>
    </row>
    <row r="112" spans="1:6" hidden="1">
      <c r="A112" t="s">
        <v>12</v>
      </c>
      <c r="B112">
        <v>1934</v>
      </c>
      <c r="C112" t="s">
        <v>15</v>
      </c>
      <c r="D112" s="5">
        <v>12479</v>
      </c>
      <c r="E112">
        <v>13.3</v>
      </c>
      <c r="F112">
        <v>5.6</v>
      </c>
    </row>
    <row r="113" spans="1:6" hidden="1">
      <c r="A113" t="s">
        <v>12</v>
      </c>
      <c r="B113">
        <v>1934</v>
      </c>
      <c r="C113" t="s">
        <v>16</v>
      </c>
      <c r="D113" s="5">
        <v>12510</v>
      </c>
      <c r="E113">
        <v>13.3</v>
      </c>
      <c r="F113">
        <v>5.6</v>
      </c>
    </row>
    <row r="114" spans="1:6" hidden="1">
      <c r="A114" t="s">
        <v>12</v>
      </c>
      <c r="B114">
        <v>1934</v>
      </c>
      <c r="C114" t="s">
        <v>17</v>
      </c>
      <c r="D114" s="5">
        <v>12540</v>
      </c>
      <c r="E114">
        <v>13.3</v>
      </c>
      <c r="F114">
        <v>5.6</v>
      </c>
    </row>
    <row r="115" spans="1:6" hidden="1">
      <c r="A115" t="s">
        <v>12</v>
      </c>
      <c r="B115">
        <v>1934</v>
      </c>
      <c r="C115" t="s">
        <v>18</v>
      </c>
      <c r="D115" s="5">
        <v>12571</v>
      </c>
      <c r="E115">
        <v>13.4</v>
      </c>
      <c r="F115">
        <v>5.5</v>
      </c>
    </row>
    <row r="116" spans="1:6" hidden="1">
      <c r="A116" t="s">
        <v>12</v>
      </c>
      <c r="B116">
        <v>1934</v>
      </c>
      <c r="C116" t="s">
        <v>19</v>
      </c>
      <c r="D116" s="5">
        <v>12601</v>
      </c>
      <c r="E116">
        <v>13.4</v>
      </c>
      <c r="F116">
        <v>2.2999999999999998</v>
      </c>
    </row>
    <row r="117" spans="1:6" hidden="1">
      <c r="A117" t="s">
        <v>12</v>
      </c>
      <c r="B117">
        <v>1934</v>
      </c>
      <c r="C117" t="s">
        <v>20</v>
      </c>
      <c r="D117" s="5">
        <v>12632</v>
      </c>
      <c r="E117">
        <v>13.4</v>
      </c>
      <c r="F117">
        <v>1.5</v>
      </c>
    </row>
    <row r="118" spans="1:6" hidden="1">
      <c r="A118" t="s">
        <v>12</v>
      </c>
      <c r="B118">
        <v>1934</v>
      </c>
      <c r="C118" t="s">
        <v>21</v>
      </c>
      <c r="D118" s="5">
        <v>12663</v>
      </c>
      <c r="E118">
        <v>13.6</v>
      </c>
      <c r="F118">
        <v>3</v>
      </c>
    </row>
    <row r="119" spans="1:6" hidden="1">
      <c r="A119" t="s">
        <v>12</v>
      </c>
      <c r="B119">
        <v>1934</v>
      </c>
      <c r="C119" t="s">
        <v>22</v>
      </c>
      <c r="D119" s="5">
        <v>12693</v>
      </c>
      <c r="E119">
        <v>13.5</v>
      </c>
      <c r="F119">
        <v>2.2999999999999998</v>
      </c>
    </row>
    <row r="120" spans="1:6" hidden="1">
      <c r="A120" t="s">
        <v>12</v>
      </c>
      <c r="B120">
        <v>1934</v>
      </c>
      <c r="C120" t="s">
        <v>23</v>
      </c>
      <c r="D120" s="5">
        <v>12724</v>
      </c>
      <c r="E120">
        <v>13.5</v>
      </c>
      <c r="F120">
        <v>2.2999999999999998</v>
      </c>
    </row>
    <row r="121" spans="1:6" hidden="1">
      <c r="A121" t="s">
        <v>12</v>
      </c>
      <c r="B121">
        <v>1934</v>
      </c>
      <c r="C121" t="s">
        <v>24</v>
      </c>
      <c r="D121" s="5">
        <v>12754</v>
      </c>
      <c r="E121">
        <v>13.4</v>
      </c>
      <c r="F121">
        <v>1.5</v>
      </c>
    </row>
    <row r="122" spans="1:6">
      <c r="A122" t="s">
        <v>12</v>
      </c>
      <c r="B122">
        <v>1935</v>
      </c>
      <c r="C122" t="s">
        <v>13</v>
      </c>
      <c r="D122" s="5">
        <v>12785</v>
      </c>
      <c r="E122">
        <v>13.6</v>
      </c>
      <c r="F122">
        <v>3</v>
      </c>
    </row>
    <row r="123" spans="1:6" hidden="1">
      <c r="A123" t="s">
        <v>12</v>
      </c>
      <c r="B123">
        <v>1935</v>
      </c>
      <c r="C123" t="s">
        <v>14</v>
      </c>
      <c r="D123" s="5">
        <v>12816</v>
      </c>
      <c r="E123">
        <v>13.7</v>
      </c>
      <c r="F123">
        <v>3</v>
      </c>
    </row>
    <row r="124" spans="1:6" hidden="1">
      <c r="A124" t="s">
        <v>12</v>
      </c>
      <c r="B124">
        <v>1935</v>
      </c>
      <c r="C124" t="s">
        <v>15</v>
      </c>
      <c r="D124" s="5">
        <v>12844</v>
      </c>
      <c r="E124">
        <v>13.7</v>
      </c>
      <c r="F124">
        <v>3</v>
      </c>
    </row>
    <row r="125" spans="1:6" hidden="1">
      <c r="A125" t="s">
        <v>12</v>
      </c>
      <c r="B125">
        <v>1935</v>
      </c>
      <c r="C125" t="s">
        <v>16</v>
      </c>
      <c r="D125" s="5">
        <v>12875</v>
      </c>
      <c r="E125">
        <v>13.8</v>
      </c>
      <c r="F125">
        <v>3.8</v>
      </c>
    </row>
    <row r="126" spans="1:6" hidden="1">
      <c r="A126" t="s">
        <v>12</v>
      </c>
      <c r="B126">
        <v>1935</v>
      </c>
      <c r="C126" t="s">
        <v>17</v>
      </c>
      <c r="D126" s="5">
        <v>12905</v>
      </c>
      <c r="E126">
        <v>13.8</v>
      </c>
      <c r="F126">
        <v>3.8</v>
      </c>
    </row>
    <row r="127" spans="1:6" hidden="1">
      <c r="A127" t="s">
        <v>12</v>
      </c>
      <c r="B127">
        <v>1935</v>
      </c>
      <c r="C127" t="s">
        <v>18</v>
      </c>
      <c r="D127" s="5">
        <v>12936</v>
      </c>
      <c r="E127">
        <v>13.7</v>
      </c>
      <c r="F127">
        <v>2.2000000000000002</v>
      </c>
    </row>
    <row r="128" spans="1:6" hidden="1">
      <c r="A128" t="s">
        <v>12</v>
      </c>
      <c r="B128">
        <v>1935</v>
      </c>
      <c r="C128" t="s">
        <v>19</v>
      </c>
      <c r="D128" s="5">
        <v>12966</v>
      </c>
      <c r="E128">
        <v>13.7</v>
      </c>
      <c r="F128">
        <v>2.2000000000000002</v>
      </c>
    </row>
    <row r="129" spans="1:6" hidden="1">
      <c r="A129" t="s">
        <v>12</v>
      </c>
      <c r="B129">
        <v>1935</v>
      </c>
      <c r="C129" t="s">
        <v>20</v>
      </c>
      <c r="D129" s="5">
        <v>12997</v>
      </c>
      <c r="E129">
        <v>13.7</v>
      </c>
      <c r="F129">
        <v>2.2000000000000002</v>
      </c>
    </row>
    <row r="130" spans="1:6" hidden="1">
      <c r="A130" t="s">
        <v>12</v>
      </c>
      <c r="B130">
        <v>1935</v>
      </c>
      <c r="C130" t="s">
        <v>21</v>
      </c>
      <c r="D130" s="5">
        <v>13028</v>
      </c>
      <c r="E130">
        <v>13.7</v>
      </c>
      <c r="F130">
        <v>0.7</v>
      </c>
    </row>
    <row r="131" spans="1:6" hidden="1">
      <c r="A131" t="s">
        <v>12</v>
      </c>
      <c r="B131">
        <v>1935</v>
      </c>
      <c r="C131" t="s">
        <v>22</v>
      </c>
      <c r="D131" s="5">
        <v>13058</v>
      </c>
      <c r="E131">
        <v>13.7</v>
      </c>
      <c r="F131">
        <v>1.5</v>
      </c>
    </row>
    <row r="132" spans="1:6" hidden="1">
      <c r="A132" t="s">
        <v>12</v>
      </c>
      <c r="B132">
        <v>1935</v>
      </c>
      <c r="C132" t="s">
        <v>23</v>
      </c>
      <c r="D132" s="5">
        <v>13089</v>
      </c>
      <c r="E132">
        <v>13.8</v>
      </c>
      <c r="F132">
        <v>2.2000000000000002</v>
      </c>
    </row>
    <row r="133" spans="1:6" hidden="1">
      <c r="A133" t="s">
        <v>12</v>
      </c>
      <c r="B133">
        <v>1935</v>
      </c>
      <c r="C133" t="s">
        <v>24</v>
      </c>
      <c r="D133" s="5">
        <v>13119</v>
      </c>
      <c r="E133">
        <v>13.8</v>
      </c>
      <c r="F133">
        <v>3</v>
      </c>
    </row>
    <row r="134" spans="1:6">
      <c r="A134" t="s">
        <v>12</v>
      </c>
      <c r="B134">
        <v>1936</v>
      </c>
      <c r="C134" t="s">
        <v>13</v>
      </c>
      <c r="D134" s="5">
        <v>13150</v>
      </c>
      <c r="E134">
        <v>13.8</v>
      </c>
      <c r="F134">
        <v>1.5</v>
      </c>
    </row>
    <row r="135" spans="1:6" hidden="1">
      <c r="A135" t="s">
        <v>12</v>
      </c>
      <c r="B135">
        <v>1936</v>
      </c>
      <c r="C135" t="s">
        <v>14</v>
      </c>
      <c r="D135" s="5">
        <v>13181</v>
      </c>
      <c r="E135">
        <v>13.8</v>
      </c>
      <c r="F135">
        <v>0.7</v>
      </c>
    </row>
    <row r="136" spans="1:6" hidden="1">
      <c r="A136" t="s">
        <v>12</v>
      </c>
      <c r="B136">
        <v>1936</v>
      </c>
      <c r="C136" t="s">
        <v>15</v>
      </c>
      <c r="D136" s="5">
        <v>13210</v>
      </c>
      <c r="E136">
        <v>13.7</v>
      </c>
      <c r="F136">
        <v>0</v>
      </c>
    </row>
    <row r="137" spans="1:6" hidden="1">
      <c r="A137" t="s">
        <v>12</v>
      </c>
      <c r="B137">
        <v>1936</v>
      </c>
      <c r="C137" t="s">
        <v>16</v>
      </c>
      <c r="D137" s="5">
        <v>13241</v>
      </c>
      <c r="E137">
        <v>13.7</v>
      </c>
      <c r="F137">
        <v>-0.7</v>
      </c>
    </row>
    <row r="138" spans="1:6" hidden="1">
      <c r="A138" t="s">
        <v>12</v>
      </c>
      <c r="B138">
        <v>1936</v>
      </c>
      <c r="C138" t="s">
        <v>17</v>
      </c>
      <c r="D138" s="5">
        <v>13271</v>
      </c>
      <c r="E138">
        <v>13.7</v>
      </c>
      <c r="F138">
        <v>-0.7</v>
      </c>
    </row>
    <row r="139" spans="1:6" hidden="1">
      <c r="A139" t="s">
        <v>12</v>
      </c>
      <c r="B139">
        <v>1936</v>
      </c>
      <c r="C139" t="s">
        <v>18</v>
      </c>
      <c r="D139" s="5">
        <v>13302</v>
      </c>
      <c r="E139">
        <v>13.8</v>
      </c>
      <c r="F139">
        <v>0.7</v>
      </c>
    </row>
    <row r="140" spans="1:6" hidden="1">
      <c r="A140" t="s">
        <v>12</v>
      </c>
      <c r="B140">
        <v>1936</v>
      </c>
      <c r="C140" t="s">
        <v>19</v>
      </c>
      <c r="D140" s="5">
        <v>13332</v>
      </c>
      <c r="E140">
        <v>13.9</v>
      </c>
      <c r="F140">
        <v>1.5</v>
      </c>
    </row>
    <row r="141" spans="1:6" hidden="1">
      <c r="A141" t="s">
        <v>12</v>
      </c>
      <c r="B141">
        <v>1936</v>
      </c>
      <c r="C141" t="s">
        <v>20</v>
      </c>
      <c r="D141" s="5">
        <v>13363</v>
      </c>
      <c r="E141">
        <v>14</v>
      </c>
      <c r="F141">
        <v>2.2000000000000002</v>
      </c>
    </row>
    <row r="142" spans="1:6" hidden="1">
      <c r="A142" t="s">
        <v>12</v>
      </c>
      <c r="B142">
        <v>1936</v>
      </c>
      <c r="C142" t="s">
        <v>21</v>
      </c>
      <c r="D142" s="5">
        <v>13394</v>
      </c>
      <c r="E142">
        <v>14</v>
      </c>
      <c r="F142">
        <v>2.2000000000000002</v>
      </c>
    </row>
    <row r="143" spans="1:6" hidden="1">
      <c r="A143" t="s">
        <v>12</v>
      </c>
      <c r="B143">
        <v>1936</v>
      </c>
      <c r="C143" t="s">
        <v>22</v>
      </c>
      <c r="D143" s="5">
        <v>13424</v>
      </c>
      <c r="E143">
        <v>14</v>
      </c>
      <c r="F143">
        <v>2.2000000000000002</v>
      </c>
    </row>
    <row r="144" spans="1:6" hidden="1">
      <c r="A144" t="s">
        <v>12</v>
      </c>
      <c r="B144">
        <v>1936</v>
      </c>
      <c r="C144" t="s">
        <v>23</v>
      </c>
      <c r="D144" s="5">
        <v>13455</v>
      </c>
      <c r="E144">
        <v>14</v>
      </c>
      <c r="F144">
        <v>1.4</v>
      </c>
    </row>
    <row r="145" spans="1:6" hidden="1">
      <c r="A145" t="s">
        <v>12</v>
      </c>
      <c r="B145">
        <v>1936</v>
      </c>
      <c r="C145" t="s">
        <v>24</v>
      </c>
      <c r="D145" s="5">
        <v>13485</v>
      </c>
      <c r="E145">
        <v>14</v>
      </c>
      <c r="F145">
        <v>1.4</v>
      </c>
    </row>
    <row r="146" spans="1:6">
      <c r="A146" t="s">
        <v>12</v>
      </c>
      <c r="B146">
        <v>1937</v>
      </c>
      <c r="C146" t="s">
        <v>13</v>
      </c>
      <c r="D146" s="5">
        <v>13516</v>
      </c>
      <c r="E146">
        <v>14.1</v>
      </c>
      <c r="F146">
        <v>2.2000000000000002</v>
      </c>
    </row>
    <row r="147" spans="1:6" hidden="1">
      <c r="A147" t="s">
        <v>12</v>
      </c>
      <c r="B147">
        <v>1937</v>
      </c>
      <c r="C147" t="s">
        <v>14</v>
      </c>
      <c r="D147" s="5">
        <v>13547</v>
      </c>
      <c r="E147">
        <v>14.1</v>
      </c>
      <c r="F147">
        <v>2.2000000000000002</v>
      </c>
    </row>
    <row r="148" spans="1:6" hidden="1">
      <c r="A148" t="s">
        <v>12</v>
      </c>
      <c r="B148">
        <v>1937</v>
      </c>
      <c r="C148" t="s">
        <v>15</v>
      </c>
      <c r="D148" s="5">
        <v>13575</v>
      </c>
      <c r="E148">
        <v>14.2</v>
      </c>
      <c r="F148">
        <v>3.6</v>
      </c>
    </row>
    <row r="149" spans="1:6" hidden="1">
      <c r="A149" t="s">
        <v>12</v>
      </c>
      <c r="B149">
        <v>1937</v>
      </c>
      <c r="C149" t="s">
        <v>16</v>
      </c>
      <c r="D149" s="5">
        <v>13606</v>
      </c>
      <c r="E149">
        <v>14.3</v>
      </c>
      <c r="F149">
        <v>4.4000000000000004</v>
      </c>
    </row>
    <row r="150" spans="1:6" hidden="1">
      <c r="A150" t="s">
        <v>12</v>
      </c>
      <c r="B150">
        <v>1937</v>
      </c>
      <c r="C150" t="s">
        <v>17</v>
      </c>
      <c r="D150" s="5">
        <v>13636</v>
      </c>
      <c r="E150">
        <v>14.4</v>
      </c>
      <c r="F150">
        <v>5.0999999999999996</v>
      </c>
    </row>
    <row r="151" spans="1:6" hidden="1">
      <c r="A151" t="s">
        <v>12</v>
      </c>
      <c r="B151">
        <v>1937</v>
      </c>
      <c r="C151" t="s">
        <v>18</v>
      </c>
      <c r="D151" s="5">
        <v>13667</v>
      </c>
      <c r="E151">
        <v>14.4</v>
      </c>
      <c r="F151">
        <v>4.3</v>
      </c>
    </row>
    <row r="152" spans="1:6" hidden="1">
      <c r="A152" t="s">
        <v>12</v>
      </c>
      <c r="B152">
        <v>1937</v>
      </c>
      <c r="C152" t="s">
        <v>19</v>
      </c>
      <c r="D152" s="5">
        <v>13697</v>
      </c>
      <c r="E152">
        <v>14.5</v>
      </c>
      <c r="F152">
        <v>4.3</v>
      </c>
    </row>
    <row r="153" spans="1:6" hidden="1">
      <c r="A153" t="s">
        <v>12</v>
      </c>
      <c r="B153">
        <v>1937</v>
      </c>
      <c r="C153" t="s">
        <v>20</v>
      </c>
      <c r="D153" s="5">
        <v>13728</v>
      </c>
      <c r="E153">
        <v>14.5</v>
      </c>
      <c r="F153">
        <v>3.6</v>
      </c>
    </row>
    <row r="154" spans="1:6" hidden="1">
      <c r="A154" t="s">
        <v>12</v>
      </c>
      <c r="B154">
        <v>1937</v>
      </c>
      <c r="C154" t="s">
        <v>21</v>
      </c>
      <c r="D154" s="5">
        <v>13759</v>
      </c>
      <c r="E154">
        <v>14.6</v>
      </c>
      <c r="F154">
        <v>4.3</v>
      </c>
    </row>
    <row r="155" spans="1:6" hidden="1">
      <c r="A155" t="s">
        <v>12</v>
      </c>
      <c r="B155">
        <v>1937</v>
      </c>
      <c r="C155" t="s">
        <v>22</v>
      </c>
      <c r="D155" s="5">
        <v>13789</v>
      </c>
      <c r="E155">
        <v>14.6</v>
      </c>
      <c r="F155">
        <v>4.3</v>
      </c>
    </row>
    <row r="156" spans="1:6" hidden="1">
      <c r="A156" t="s">
        <v>12</v>
      </c>
      <c r="B156">
        <v>1937</v>
      </c>
      <c r="C156" t="s">
        <v>23</v>
      </c>
      <c r="D156" s="5">
        <v>13820</v>
      </c>
      <c r="E156">
        <v>14.5</v>
      </c>
      <c r="F156">
        <v>3.6</v>
      </c>
    </row>
    <row r="157" spans="1:6" hidden="1">
      <c r="A157" t="s">
        <v>12</v>
      </c>
      <c r="B157">
        <v>1937</v>
      </c>
      <c r="C157" t="s">
        <v>24</v>
      </c>
      <c r="D157" s="5">
        <v>13850</v>
      </c>
      <c r="E157">
        <v>14.4</v>
      </c>
      <c r="F157">
        <v>2.9</v>
      </c>
    </row>
    <row r="158" spans="1:6">
      <c r="A158" t="s">
        <v>12</v>
      </c>
      <c r="B158">
        <v>1938</v>
      </c>
      <c r="C158" t="s">
        <v>13</v>
      </c>
      <c r="D158" s="5">
        <v>13881</v>
      </c>
      <c r="E158">
        <v>14.2</v>
      </c>
      <c r="F158">
        <v>0.7</v>
      </c>
    </row>
    <row r="159" spans="1:6" hidden="1">
      <c r="A159" t="s">
        <v>12</v>
      </c>
      <c r="B159">
        <v>1938</v>
      </c>
      <c r="C159" t="s">
        <v>14</v>
      </c>
      <c r="D159" s="5">
        <v>13912</v>
      </c>
      <c r="E159">
        <v>14.1</v>
      </c>
      <c r="F159">
        <v>0</v>
      </c>
    </row>
    <row r="160" spans="1:6" hidden="1">
      <c r="A160" t="s">
        <v>12</v>
      </c>
      <c r="B160">
        <v>1938</v>
      </c>
      <c r="C160" t="s">
        <v>15</v>
      </c>
      <c r="D160" s="5">
        <v>13940</v>
      </c>
      <c r="E160">
        <v>14.1</v>
      </c>
      <c r="F160">
        <v>-0.7</v>
      </c>
    </row>
    <row r="161" spans="1:6" hidden="1">
      <c r="A161" t="s">
        <v>12</v>
      </c>
      <c r="B161">
        <v>1938</v>
      </c>
      <c r="C161" t="s">
        <v>16</v>
      </c>
      <c r="D161" s="5">
        <v>13971</v>
      </c>
      <c r="E161">
        <v>14.2</v>
      </c>
      <c r="F161">
        <v>-0.7</v>
      </c>
    </row>
    <row r="162" spans="1:6" hidden="1">
      <c r="A162" t="s">
        <v>12</v>
      </c>
      <c r="B162">
        <v>1938</v>
      </c>
      <c r="C162" t="s">
        <v>17</v>
      </c>
      <c r="D162" s="5">
        <v>14001</v>
      </c>
      <c r="E162">
        <v>14.1</v>
      </c>
      <c r="F162">
        <v>-2.1</v>
      </c>
    </row>
    <row r="163" spans="1:6" hidden="1">
      <c r="A163" t="s">
        <v>12</v>
      </c>
      <c r="B163">
        <v>1938</v>
      </c>
      <c r="C163" t="s">
        <v>18</v>
      </c>
      <c r="D163" s="5">
        <v>14032</v>
      </c>
      <c r="E163">
        <v>14.1</v>
      </c>
      <c r="F163">
        <v>-2.1</v>
      </c>
    </row>
    <row r="164" spans="1:6" hidden="1">
      <c r="A164" t="s">
        <v>12</v>
      </c>
      <c r="B164">
        <v>1938</v>
      </c>
      <c r="C164" t="s">
        <v>19</v>
      </c>
      <c r="D164" s="5">
        <v>14062</v>
      </c>
      <c r="E164">
        <v>14.1</v>
      </c>
      <c r="F164">
        <v>-2.8</v>
      </c>
    </row>
    <row r="165" spans="1:6" hidden="1">
      <c r="A165" t="s">
        <v>12</v>
      </c>
      <c r="B165">
        <v>1938</v>
      </c>
      <c r="C165" t="s">
        <v>20</v>
      </c>
      <c r="D165" s="5">
        <v>14093</v>
      </c>
      <c r="E165">
        <v>14.1</v>
      </c>
      <c r="F165">
        <v>-2.8</v>
      </c>
    </row>
    <row r="166" spans="1:6" hidden="1">
      <c r="A166" t="s">
        <v>12</v>
      </c>
      <c r="B166">
        <v>1938</v>
      </c>
      <c r="C166" t="s">
        <v>21</v>
      </c>
      <c r="D166" s="5">
        <v>14124</v>
      </c>
      <c r="E166">
        <v>14.1</v>
      </c>
      <c r="F166">
        <v>-3.4</v>
      </c>
    </row>
    <row r="167" spans="1:6" hidden="1">
      <c r="A167" t="s">
        <v>12</v>
      </c>
      <c r="B167">
        <v>1938</v>
      </c>
      <c r="C167" t="s">
        <v>22</v>
      </c>
      <c r="D167" s="5">
        <v>14154</v>
      </c>
      <c r="E167">
        <v>14</v>
      </c>
      <c r="F167">
        <v>-4.0999999999999996</v>
      </c>
    </row>
    <row r="168" spans="1:6" hidden="1">
      <c r="A168" t="s">
        <v>12</v>
      </c>
      <c r="B168">
        <v>1938</v>
      </c>
      <c r="C168" t="s">
        <v>23</v>
      </c>
      <c r="D168" s="5">
        <v>14185</v>
      </c>
      <c r="E168">
        <v>14</v>
      </c>
      <c r="F168">
        <v>-3.4</v>
      </c>
    </row>
    <row r="169" spans="1:6" hidden="1">
      <c r="A169" t="s">
        <v>12</v>
      </c>
      <c r="B169">
        <v>1938</v>
      </c>
      <c r="C169" t="s">
        <v>24</v>
      </c>
      <c r="D169" s="5">
        <v>14215</v>
      </c>
      <c r="E169">
        <v>14</v>
      </c>
      <c r="F169">
        <v>-2.8</v>
      </c>
    </row>
    <row r="170" spans="1:6">
      <c r="A170" t="s">
        <v>12</v>
      </c>
      <c r="B170">
        <v>1939</v>
      </c>
      <c r="C170" t="s">
        <v>13</v>
      </c>
      <c r="D170" s="5">
        <v>14246</v>
      </c>
      <c r="E170">
        <v>14</v>
      </c>
      <c r="F170">
        <v>-1.4</v>
      </c>
    </row>
    <row r="171" spans="1:6" hidden="1">
      <c r="A171" t="s">
        <v>12</v>
      </c>
      <c r="B171">
        <v>1939</v>
      </c>
      <c r="C171" t="s">
        <v>14</v>
      </c>
      <c r="D171" s="5">
        <v>14277</v>
      </c>
      <c r="E171">
        <v>13.9</v>
      </c>
      <c r="F171">
        <v>-1.4</v>
      </c>
    </row>
    <row r="172" spans="1:6" hidden="1">
      <c r="A172" t="s">
        <v>12</v>
      </c>
      <c r="B172">
        <v>1939</v>
      </c>
      <c r="C172" t="s">
        <v>15</v>
      </c>
      <c r="D172" s="5">
        <v>14305</v>
      </c>
      <c r="E172">
        <v>13.9</v>
      </c>
      <c r="F172">
        <v>-1.4</v>
      </c>
    </row>
    <row r="173" spans="1:6" hidden="1">
      <c r="A173" t="s">
        <v>12</v>
      </c>
      <c r="B173">
        <v>1939</v>
      </c>
      <c r="C173" t="s">
        <v>16</v>
      </c>
      <c r="D173" s="5">
        <v>14336</v>
      </c>
      <c r="E173">
        <v>13.8</v>
      </c>
      <c r="F173">
        <v>-2.8</v>
      </c>
    </row>
    <row r="174" spans="1:6" hidden="1">
      <c r="A174" t="s">
        <v>12</v>
      </c>
      <c r="B174">
        <v>1939</v>
      </c>
      <c r="C174" t="s">
        <v>17</v>
      </c>
      <c r="D174" s="5">
        <v>14366</v>
      </c>
      <c r="E174">
        <v>13.8</v>
      </c>
      <c r="F174">
        <v>-2.1</v>
      </c>
    </row>
    <row r="175" spans="1:6" hidden="1">
      <c r="A175" t="s">
        <v>12</v>
      </c>
      <c r="B175">
        <v>1939</v>
      </c>
      <c r="C175" t="s">
        <v>18</v>
      </c>
      <c r="D175" s="5">
        <v>14397</v>
      </c>
      <c r="E175">
        <v>13.8</v>
      </c>
      <c r="F175">
        <v>-2.1</v>
      </c>
    </row>
    <row r="176" spans="1:6" hidden="1">
      <c r="A176" t="s">
        <v>12</v>
      </c>
      <c r="B176">
        <v>1939</v>
      </c>
      <c r="C176" t="s">
        <v>19</v>
      </c>
      <c r="D176" s="5">
        <v>14427</v>
      </c>
      <c r="E176">
        <v>13.8</v>
      </c>
      <c r="F176">
        <v>-2.1</v>
      </c>
    </row>
    <row r="177" spans="1:6" hidden="1">
      <c r="A177" t="s">
        <v>12</v>
      </c>
      <c r="B177">
        <v>1939</v>
      </c>
      <c r="C177" t="s">
        <v>20</v>
      </c>
      <c r="D177" s="5">
        <v>14458</v>
      </c>
      <c r="E177">
        <v>13.8</v>
      </c>
      <c r="F177">
        <v>-2.1</v>
      </c>
    </row>
    <row r="178" spans="1:6" hidden="1">
      <c r="A178" t="s">
        <v>12</v>
      </c>
      <c r="B178">
        <v>1939</v>
      </c>
      <c r="C178" t="s">
        <v>21</v>
      </c>
      <c r="D178" s="5">
        <v>14489</v>
      </c>
      <c r="E178">
        <v>14.1</v>
      </c>
      <c r="F178">
        <v>0</v>
      </c>
    </row>
    <row r="179" spans="1:6" hidden="1">
      <c r="A179" t="s">
        <v>12</v>
      </c>
      <c r="B179">
        <v>1939</v>
      </c>
      <c r="C179" t="s">
        <v>22</v>
      </c>
      <c r="D179" s="5">
        <v>14519</v>
      </c>
      <c r="E179">
        <v>14</v>
      </c>
      <c r="F179">
        <v>0</v>
      </c>
    </row>
    <row r="180" spans="1:6" hidden="1">
      <c r="A180" t="s">
        <v>12</v>
      </c>
      <c r="B180">
        <v>1939</v>
      </c>
      <c r="C180" t="s">
        <v>23</v>
      </c>
      <c r="D180" s="5">
        <v>14550</v>
      </c>
      <c r="E180">
        <v>14</v>
      </c>
      <c r="F180">
        <v>0</v>
      </c>
    </row>
    <row r="181" spans="1:6" hidden="1">
      <c r="A181" t="s">
        <v>12</v>
      </c>
      <c r="B181">
        <v>1939</v>
      </c>
      <c r="C181" t="s">
        <v>24</v>
      </c>
      <c r="D181" s="5">
        <v>14580</v>
      </c>
      <c r="E181">
        <v>14</v>
      </c>
      <c r="F181">
        <v>0</v>
      </c>
    </row>
    <row r="182" spans="1:6">
      <c r="A182" t="s">
        <v>12</v>
      </c>
      <c r="B182">
        <v>1940</v>
      </c>
      <c r="C182" t="s">
        <v>13</v>
      </c>
      <c r="D182" s="5">
        <v>14611</v>
      </c>
      <c r="E182">
        <v>13.9</v>
      </c>
      <c r="F182">
        <v>-0.7</v>
      </c>
    </row>
    <row r="183" spans="1:6" hidden="1">
      <c r="A183" t="s">
        <v>12</v>
      </c>
      <c r="B183">
        <v>1940</v>
      </c>
      <c r="C183" t="s">
        <v>14</v>
      </c>
      <c r="D183" s="5">
        <v>14642</v>
      </c>
      <c r="E183">
        <v>14</v>
      </c>
      <c r="F183">
        <v>0.7</v>
      </c>
    </row>
    <row r="184" spans="1:6" hidden="1">
      <c r="A184" t="s">
        <v>12</v>
      </c>
      <c r="B184">
        <v>1940</v>
      </c>
      <c r="C184" t="s">
        <v>15</v>
      </c>
      <c r="D184" s="5">
        <v>14671</v>
      </c>
      <c r="E184">
        <v>14</v>
      </c>
      <c r="F184">
        <v>0.7</v>
      </c>
    </row>
    <row r="185" spans="1:6" hidden="1">
      <c r="A185" t="s">
        <v>12</v>
      </c>
      <c r="B185">
        <v>1940</v>
      </c>
      <c r="C185" t="s">
        <v>16</v>
      </c>
      <c r="D185" s="5">
        <v>14702</v>
      </c>
      <c r="E185">
        <v>14</v>
      </c>
      <c r="F185">
        <v>1.4</v>
      </c>
    </row>
    <row r="186" spans="1:6" hidden="1">
      <c r="A186" t="s">
        <v>12</v>
      </c>
      <c r="B186">
        <v>1940</v>
      </c>
      <c r="C186" t="s">
        <v>17</v>
      </c>
      <c r="D186" s="5">
        <v>14732</v>
      </c>
      <c r="E186">
        <v>14</v>
      </c>
      <c r="F186">
        <v>1.4</v>
      </c>
    </row>
    <row r="187" spans="1:6" hidden="1">
      <c r="A187" t="s">
        <v>12</v>
      </c>
      <c r="B187">
        <v>1940</v>
      </c>
      <c r="C187" t="s">
        <v>18</v>
      </c>
      <c r="D187" s="5">
        <v>14763</v>
      </c>
      <c r="E187">
        <v>14.1</v>
      </c>
      <c r="F187">
        <v>2.2000000000000002</v>
      </c>
    </row>
    <row r="188" spans="1:6" hidden="1">
      <c r="A188" t="s">
        <v>12</v>
      </c>
      <c r="B188">
        <v>1940</v>
      </c>
      <c r="C188" t="s">
        <v>19</v>
      </c>
      <c r="D188" s="5">
        <v>14793</v>
      </c>
      <c r="E188">
        <v>14</v>
      </c>
      <c r="F188">
        <v>1.4</v>
      </c>
    </row>
    <row r="189" spans="1:6" hidden="1">
      <c r="A189" t="s">
        <v>12</v>
      </c>
      <c r="B189">
        <v>1940</v>
      </c>
      <c r="C189" t="s">
        <v>20</v>
      </c>
      <c r="D189" s="5">
        <v>14824</v>
      </c>
      <c r="E189">
        <v>14</v>
      </c>
      <c r="F189">
        <v>1.4</v>
      </c>
    </row>
    <row r="190" spans="1:6" hidden="1">
      <c r="A190" t="s">
        <v>12</v>
      </c>
      <c r="B190">
        <v>1940</v>
      </c>
      <c r="C190" t="s">
        <v>21</v>
      </c>
      <c r="D190" s="5">
        <v>14855</v>
      </c>
      <c r="E190">
        <v>14</v>
      </c>
      <c r="F190">
        <v>-0.7</v>
      </c>
    </row>
    <row r="191" spans="1:6" hidden="1">
      <c r="A191" t="s">
        <v>12</v>
      </c>
      <c r="B191">
        <v>1940</v>
      </c>
      <c r="C191" t="s">
        <v>22</v>
      </c>
      <c r="D191" s="5">
        <v>14885</v>
      </c>
      <c r="E191">
        <v>14</v>
      </c>
      <c r="F191">
        <v>0</v>
      </c>
    </row>
    <row r="192" spans="1:6" hidden="1">
      <c r="A192" t="s">
        <v>12</v>
      </c>
      <c r="B192">
        <v>1940</v>
      </c>
      <c r="C192" t="s">
        <v>23</v>
      </c>
      <c r="D192" s="5">
        <v>14916</v>
      </c>
      <c r="E192">
        <v>14</v>
      </c>
      <c r="F192">
        <v>0</v>
      </c>
    </row>
    <row r="193" spans="1:6" hidden="1">
      <c r="A193" t="s">
        <v>12</v>
      </c>
      <c r="B193">
        <v>1940</v>
      </c>
      <c r="C193" t="s">
        <v>24</v>
      </c>
      <c r="D193" s="5">
        <v>14946</v>
      </c>
      <c r="E193">
        <v>14.1</v>
      </c>
      <c r="F193">
        <v>0.7</v>
      </c>
    </row>
    <row r="194" spans="1:6">
      <c r="A194" t="s">
        <v>12</v>
      </c>
      <c r="B194">
        <v>1941</v>
      </c>
      <c r="C194" t="s">
        <v>13</v>
      </c>
      <c r="D194" s="5">
        <v>14977</v>
      </c>
      <c r="E194">
        <v>14.1</v>
      </c>
      <c r="F194">
        <v>1.4</v>
      </c>
    </row>
    <row r="195" spans="1:6" hidden="1">
      <c r="A195" t="s">
        <v>12</v>
      </c>
      <c r="B195">
        <v>1941</v>
      </c>
      <c r="C195" t="s">
        <v>14</v>
      </c>
      <c r="D195" s="5">
        <v>15008</v>
      </c>
      <c r="E195">
        <v>14.1</v>
      </c>
      <c r="F195">
        <v>0.7</v>
      </c>
    </row>
    <row r="196" spans="1:6" hidden="1">
      <c r="A196" t="s">
        <v>12</v>
      </c>
      <c r="B196">
        <v>1941</v>
      </c>
      <c r="C196" t="s">
        <v>15</v>
      </c>
      <c r="D196" s="5">
        <v>15036</v>
      </c>
      <c r="E196">
        <v>14.2</v>
      </c>
      <c r="F196">
        <v>1.4</v>
      </c>
    </row>
    <row r="197" spans="1:6" hidden="1">
      <c r="A197" t="s">
        <v>12</v>
      </c>
      <c r="B197">
        <v>1941</v>
      </c>
      <c r="C197" t="s">
        <v>16</v>
      </c>
      <c r="D197" s="5">
        <v>15067</v>
      </c>
      <c r="E197">
        <v>14.3</v>
      </c>
      <c r="F197">
        <v>2.1</v>
      </c>
    </row>
    <row r="198" spans="1:6" hidden="1">
      <c r="A198" t="s">
        <v>12</v>
      </c>
      <c r="B198">
        <v>1941</v>
      </c>
      <c r="C198" t="s">
        <v>17</v>
      </c>
      <c r="D198" s="5">
        <v>15097</v>
      </c>
      <c r="E198">
        <v>14.4</v>
      </c>
      <c r="F198">
        <v>2.9</v>
      </c>
    </row>
    <row r="199" spans="1:6" hidden="1">
      <c r="A199" t="s">
        <v>12</v>
      </c>
      <c r="B199">
        <v>1941</v>
      </c>
      <c r="C199" t="s">
        <v>18</v>
      </c>
      <c r="D199" s="5">
        <v>15128</v>
      </c>
      <c r="E199">
        <v>14.7</v>
      </c>
      <c r="F199">
        <v>4.3</v>
      </c>
    </row>
    <row r="200" spans="1:6" hidden="1">
      <c r="A200" t="s">
        <v>12</v>
      </c>
      <c r="B200">
        <v>1941</v>
      </c>
      <c r="C200" t="s">
        <v>19</v>
      </c>
      <c r="D200" s="5">
        <v>15158</v>
      </c>
      <c r="E200">
        <v>14.7</v>
      </c>
      <c r="F200">
        <v>5</v>
      </c>
    </row>
    <row r="201" spans="1:6" hidden="1">
      <c r="A201" t="s">
        <v>12</v>
      </c>
      <c r="B201">
        <v>1941</v>
      </c>
      <c r="C201" t="s">
        <v>20</v>
      </c>
      <c r="D201" s="5">
        <v>15189</v>
      </c>
      <c r="E201">
        <v>14.9</v>
      </c>
      <c r="F201">
        <v>6.4</v>
      </c>
    </row>
    <row r="202" spans="1:6" hidden="1">
      <c r="A202" t="s">
        <v>12</v>
      </c>
      <c r="B202">
        <v>1941</v>
      </c>
      <c r="C202" t="s">
        <v>21</v>
      </c>
      <c r="D202" s="5">
        <v>15220</v>
      </c>
      <c r="E202">
        <v>15.1</v>
      </c>
      <c r="F202">
        <v>7.9</v>
      </c>
    </row>
    <row r="203" spans="1:6" hidden="1">
      <c r="A203" t="s">
        <v>12</v>
      </c>
      <c r="B203">
        <v>1941</v>
      </c>
      <c r="C203" t="s">
        <v>22</v>
      </c>
      <c r="D203" s="5">
        <v>15250</v>
      </c>
      <c r="E203">
        <v>15.3</v>
      </c>
      <c r="F203">
        <v>9.3000000000000007</v>
      </c>
    </row>
    <row r="204" spans="1:6" hidden="1">
      <c r="A204" t="s">
        <v>12</v>
      </c>
      <c r="B204">
        <v>1941</v>
      </c>
      <c r="C204" t="s">
        <v>23</v>
      </c>
      <c r="D204" s="5">
        <v>15281</v>
      </c>
      <c r="E204">
        <v>15.4</v>
      </c>
      <c r="F204">
        <v>10</v>
      </c>
    </row>
    <row r="205" spans="1:6" hidden="1">
      <c r="A205" t="s">
        <v>12</v>
      </c>
      <c r="B205">
        <v>1941</v>
      </c>
      <c r="C205" t="s">
        <v>24</v>
      </c>
      <c r="D205" s="5">
        <v>15311</v>
      </c>
      <c r="E205">
        <v>15.5</v>
      </c>
      <c r="F205">
        <v>9.9</v>
      </c>
    </row>
    <row r="206" spans="1:6">
      <c r="A206" t="s">
        <v>12</v>
      </c>
      <c r="B206">
        <v>1942</v>
      </c>
      <c r="C206" t="s">
        <v>13</v>
      </c>
      <c r="D206" s="5">
        <v>15342</v>
      </c>
      <c r="E206">
        <v>15.7</v>
      </c>
      <c r="F206">
        <v>11.3</v>
      </c>
    </row>
    <row r="207" spans="1:6" hidden="1">
      <c r="A207" t="s">
        <v>12</v>
      </c>
      <c r="B207">
        <v>1942</v>
      </c>
      <c r="C207" t="s">
        <v>14</v>
      </c>
      <c r="D207" s="5">
        <v>15373</v>
      </c>
      <c r="E207">
        <v>15.8</v>
      </c>
      <c r="F207">
        <v>12.1</v>
      </c>
    </row>
    <row r="208" spans="1:6" hidden="1">
      <c r="A208" t="s">
        <v>12</v>
      </c>
      <c r="B208">
        <v>1942</v>
      </c>
      <c r="C208" t="s">
        <v>15</v>
      </c>
      <c r="D208" s="5">
        <v>15401</v>
      </c>
      <c r="E208">
        <v>16</v>
      </c>
      <c r="F208">
        <v>12.7</v>
      </c>
    </row>
    <row r="209" spans="1:6" hidden="1">
      <c r="A209" t="s">
        <v>12</v>
      </c>
      <c r="B209">
        <v>1942</v>
      </c>
      <c r="C209" t="s">
        <v>16</v>
      </c>
      <c r="D209" s="5">
        <v>15432</v>
      </c>
      <c r="E209">
        <v>16.100000000000001</v>
      </c>
      <c r="F209">
        <v>12.6</v>
      </c>
    </row>
    <row r="210" spans="1:6" hidden="1">
      <c r="A210" t="s">
        <v>12</v>
      </c>
      <c r="B210">
        <v>1942</v>
      </c>
      <c r="C210" t="s">
        <v>17</v>
      </c>
      <c r="D210" s="5">
        <v>15462</v>
      </c>
      <c r="E210">
        <v>16.3</v>
      </c>
      <c r="F210">
        <v>13.2</v>
      </c>
    </row>
    <row r="211" spans="1:6" hidden="1">
      <c r="A211" t="s">
        <v>12</v>
      </c>
      <c r="B211">
        <v>1942</v>
      </c>
      <c r="C211" t="s">
        <v>18</v>
      </c>
      <c r="D211" s="5">
        <v>15493</v>
      </c>
      <c r="E211">
        <v>16.3</v>
      </c>
      <c r="F211">
        <v>10.9</v>
      </c>
    </row>
    <row r="212" spans="1:6" hidden="1">
      <c r="A212" t="s">
        <v>12</v>
      </c>
      <c r="B212">
        <v>1942</v>
      </c>
      <c r="C212" t="s">
        <v>19</v>
      </c>
      <c r="D212" s="5">
        <v>15523</v>
      </c>
      <c r="E212">
        <v>16.399999999999999</v>
      </c>
      <c r="F212">
        <v>11.6</v>
      </c>
    </row>
    <row r="213" spans="1:6" hidden="1">
      <c r="A213" t="s">
        <v>12</v>
      </c>
      <c r="B213">
        <v>1942</v>
      </c>
      <c r="C213" t="s">
        <v>20</v>
      </c>
      <c r="D213" s="5">
        <v>15554</v>
      </c>
      <c r="E213">
        <v>16.5</v>
      </c>
      <c r="F213">
        <v>10.7</v>
      </c>
    </row>
    <row r="214" spans="1:6" hidden="1">
      <c r="A214" t="s">
        <v>12</v>
      </c>
      <c r="B214">
        <v>1942</v>
      </c>
      <c r="C214" t="s">
        <v>21</v>
      </c>
      <c r="D214" s="5">
        <v>15585</v>
      </c>
      <c r="E214">
        <v>16.5</v>
      </c>
      <c r="F214">
        <v>9.3000000000000007</v>
      </c>
    </row>
    <row r="215" spans="1:6" hidden="1">
      <c r="A215" t="s">
        <v>12</v>
      </c>
      <c r="B215">
        <v>1942</v>
      </c>
      <c r="C215" t="s">
        <v>22</v>
      </c>
      <c r="D215" s="5">
        <v>15615</v>
      </c>
      <c r="E215">
        <v>16.7</v>
      </c>
      <c r="F215">
        <v>9.1999999999999993</v>
      </c>
    </row>
    <row r="216" spans="1:6" hidden="1">
      <c r="A216" t="s">
        <v>12</v>
      </c>
      <c r="B216">
        <v>1942</v>
      </c>
      <c r="C216" t="s">
        <v>23</v>
      </c>
      <c r="D216" s="5">
        <v>15646</v>
      </c>
      <c r="E216">
        <v>16.8</v>
      </c>
      <c r="F216">
        <v>9.1</v>
      </c>
    </row>
    <row r="217" spans="1:6" hidden="1">
      <c r="A217" t="s">
        <v>12</v>
      </c>
      <c r="B217">
        <v>1942</v>
      </c>
      <c r="C217" t="s">
        <v>24</v>
      </c>
      <c r="D217" s="5">
        <v>15676</v>
      </c>
      <c r="E217">
        <v>16.899999999999999</v>
      </c>
      <c r="F217">
        <v>9</v>
      </c>
    </row>
    <row r="218" spans="1:6">
      <c r="A218" t="s">
        <v>12</v>
      </c>
      <c r="B218">
        <v>1943</v>
      </c>
      <c r="C218" t="s">
        <v>13</v>
      </c>
      <c r="D218" s="5">
        <v>15707</v>
      </c>
      <c r="E218">
        <v>16.899999999999999</v>
      </c>
      <c r="F218">
        <v>7.6</v>
      </c>
    </row>
    <row r="219" spans="1:6" hidden="1">
      <c r="A219" t="s">
        <v>12</v>
      </c>
      <c r="B219">
        <v>1943</v>
      </c>
      <c r="C219" t="s">
        <v>14</v>
      </c>
      <c r="D219" s="5">
        <v>15738</v>
      </c>
      <c r="E219">
        <v>16.899999999999999</v>
      </c>
      <c r="F219">
        <v>7</v>
      </c>
    </row>
    <row r="220" spans="1:6" hidden="1">
      <c r="A220" t="s">
        <v>12</v>
      </c>
      <c r="B220">
        <v>1943</v>
      </c>
      <c r="C220" t="s">
        <v>15</v>
      </c>
      <c r="D220" s="5">
        <v>15766</v>
      </c>
      <c r="E220">
        <v>17.2</v>
      </c>
      <c r="F220">
        <v>7.5</v>
      </c>
    </row>
    <row r="221" spans="1:6" hidden="1">
      <c r="A221" t="s">
        <v>12</v>
      </c>
      <c r="B221">
        <v>1943</v>
      </c>
      <c r="C221" t="s">
        <v>16</v>
      </c>
      <c r="D221" s="5">
        <v>15797</v>
      </c>
      <c r="E221">
        <v>17.399999999999999</v>
      </c>
      <c r="F221">
        <v>8.1</v>
      </c>
    </row>
    <row r="222" spans="1:6" hidden="1">
      <c r="A222" t="s">
        <v>12</v>
      </c>
      <c r="B222">
        <v>1943</v>
      </c>
      <c r="C222" t="s">
        <v>17</v>
      </c>
      <c r="D222" s="5">
        <v>15827</v>
      </c>
      <c r="E222">
        <v>17.5</v>
      </c>
      <c r="F222">
        <v>7.4</v>
      </c>
    </row>
    <row r="223" spans="1:6" hidden="1">
      <c r="A223" t="s">
        <v>12</v>
      </c>
      <c r="B223">
        <v>1943</v>
      </c>
      <c r="C223" t="s">
        <v>18</v>
      </c>
      <c r="D223" s="5">
        <v>15858</v>
      </c>
      <c r="E223">
        <v>17.5</v>
      </c>
      <c r="F223">
        <v>7.4</v>
      </c>
    </row>
    <row r="224" spans="1:6" hidden="1">
      <c r="A224" t="s">
        <v>12</v>
      </c>
      <c r="B224">
        <v>1943</v>
      </c>
      <c r="C224" t="s">
        <v>19</v>
      </c>
      <c r="D224" s="5">
        <v>15888</v>
      </c>
      <c r="E224">
        <v>17.399999999999999</v>
      </c>
      <c r="F224">
        <v>6.1</v>
      </c>
    </row>
    <row r="225" spans="1:6" hidden="1">
      <c r="A225" t="s">
        <v>12</v>
      </c>
      <c r="B225">
        <v>1943</v>
      </c>
      <c r="C225" t="s">
        <v>20</v>
      </c>
      <c r="D225" s="5">
        <v>15919</v>
      </c>
      <c r="E225">
        <v>17.3</v>
      </c>
      <c r="F225">
        <v>4.8</v>
      </c>
    </row>
    <row r="226" spans="1:6" hidden="1">
      <c r="A226" t="s">
        <v>12</v>
      </c>
      <c r="B226">
        <v>1943</v>
      </c>
      <c r="C226" t="s">
        <v>21</v>
      </c>
      <c r="D226" s="5">
        <v>15950</v>
      </c>
      <c r="E226">
        <v>17.399999999999999</v>
      </c>
      <c r="F226">
        <v>5.5</v>
      </c>
    </row>
    <row r="227" spans="1:6" hidden="1">
      <c r="A227" t="s">
        <v>12</v>
      </c>
      <c r="B227">
        <v>1943</v>
      </c>
      <c r="C227" t="s">
        <v>22</v>
      </c>
      <c r="D227" s="5">
        <v>15980</v>
      </c>
      <c r="E227">
        <v>17.399999999999999</v>
      </c>
      <c r="F227">
        <v>4.2</v>
      </c>
    </row>
    <row r="228" spans="1:6" hidden="1">
      <c r="A228" t="s">
        <v>12</v>
      </c>
      <c r="B228">
        <v>1943</v>
      </c>
      <c r="C228" t="s">
        <v>23</v>
      </c>
      <c r="D228" s="5">
        <v>16011</v>
      </c>
      <c r="E228">
        <v>17.399999999999999</v>
      </c>
      <c r="F228">
        <v>3.6</v>
      </c>
    </row>
    <row r="229" spans="1:6" hidden="1">
      <c r="A229" t="s">
        <v>12</v>
      </c>
      <c r="B229">
        <v>1943</v>
      </c>
      <c r="C229" t="s">
        <v>24</v>
      </c>
      <c r="D229" s="5">
        <v>16041</v>
      </c>
      <c r="E229">
        <v>17.399999999999999</v>
      </c>
      <c r="F229">
        <v>3</v>
      </c>
    </row>
    <row r="230" spans="1:6">
      <c r="A230" t="s">
        <v>12</v>
      </c>
      <c r="B230">
        <v>1944</v>
      </c>
      <c r="C230" t="s">
        <v>13</v>
      </c>
      <c r="D230" s="5">
        <v>16072</v>
      </c>
      <c r="E230">
        <v>17.399999999999999</v>
      </c>
      <c r="F230">
        <v>3</v>
      </c>
    </row>
    <row r="231" spans="1:6" hidden="1">
      <c r="A231" t="s">
        <v>12</v>
      </c>
      <c r="B231">
        <v>1944</v>
      </c>
      <c r="C231" t="s">
        <v>14</v>
      </c>
      <c r="D231" s="5">
        <v>16103</v>
      </c>
      <c r="E231">
        <v>17.399999999999999</v>
      </c>
      <c r="F231">
        <v>3</v>
      </c>
    </row>
    <row r="232" spans="1:6" hidden="1">
      <c r="A232" t="s">
        <v>12</v>
      </c>
      <c r="B232">
        <v>1944</v>
      </c>
      <c r="C232" t="s">
        <v>15</v>
      </c>
      <c r="D232" s="5">
        <v>16132</v>
      </c>
      <c r="E232">
        <v>17.399999999999999</v>
      </c>
      <c r="F232">
        <v>1.2</v>
      </c>
    </row>
    <row r="233" spans="1:6" hidden="1">
      <c r="A233" t="s">
        <v>12</v>
      </c>
      <c r="B233">
        <v>1944</v>
      </c>
      <c r="C233" t="s">
        <v>16</v>
      </c>
      <c r="D233" s="5">
        <v>16163</v>
      </c>
      <c r="E233">
        <v>17.5</v>
      </c>
      <c r="F233">
        <v>0.6</v>
      </c>
    </row>
    <row r="234" spans="1:6" hidden="1">
      <c r="A234" t="s">
        <v>12</v>
      </c>
      <c r="B234">
        <v>1944</v>
      </c>
      <c r="C234" t="s">
        <v>17</v>
      </c>
      <c r="D234" s="5">
        <v>16193</v>
      </c>
      <c r="E234">
        <v>17.5</v>
      </c>
      <c r="F234">
        <v>0</v>
      </c>
    </row>
    <row r="235" spans="1:6" hidden="1">
      <c r="A235" t="s">
        <v>12</v>
      </c>
      <c r="B235">
        <v>1944</v>
      </c>
      <c r="C235" t="s">
        <v>18</v>
      </c>
      <c r="D235" s="5">
        <v>16224</v>
      </c>
      <c r="E235">
        <v>17.600000000000001</v>
      </c>
      <c r="F235">
        <v>0.6</v>
      </c>
    </row>
    <row r="236" spans="1:6" hidden="1">
      <c r="A236" t="s">
        <v>12</v>
      </c>
      <c r="B236">
        <v>1944</v>
      </c>
      <c r="C236" t="s">
        <v>19</v>
      </c>
      <c r="D236" s="5">
        <v>16254</v>
      </c>
      <c r="E236">
        <v>17.7</v>
      </c>
      <c r="F236">
        <v>1.7</v>
      </c>
    </row>
    <row r="237" spans="1:6" hidden="1">
      <c r="A237" t="s">
        <v>12</v>
      </c>
      <c r="B237">
        <v>1944</v>
      </c>
      <c r="C237" t="s">
        <v>20</v>
      </c>
      <c r="D237" s="5">
        <v>16285</v>
      </c>
      <c r="E237">
        <v>17.7</v>
      </c>
      <c r="F237">
        <v>2.2999999999999998</v>
      </c>
    </row>
    <row r="238" spans="1:6" hidden="1">
      <c r="A238" t="s">
        <v>12</v>
      </c>
      <c r="B238">
        <v>1944</v>
      </c>
      <c r="C238" t="s">
        <v>21</v>
      </c>
      <c r="D238" s="5">
        <v>16316</v>
      </c>
      <c r="E238">
        <v>17.7</v>
      </c>
      <c r="F238">
        <v>1.7</v>
      </c>
    </row>
    <row r="239" spans="1:6" hidden="1">
      <c r="A239" t="s">
        <v>12</v>
      </c>
      <c r="B239">
        <v>1944</v>
      </c>
      <c r="C239" t="s">
        <v>22</v>
      </c>
      <c r="D239" s="5">
        <v>16346</v>
      </c>
      <c r="E239">
        <v>17.7</v>
      </c>
      <c r="F239">
        <v>1.7</v>
      </c>
    </row>
    <row r="240" spans="1:6" hidden="1">
      <c r="A240" t="s">
        <v>12</v>
      </c>
      <c r="B240">
        <v>1944</v>
      </c>
      <c r="C240" t="s">
        <v>23</v>
      </c>
      <c r="D240" s="5">
        <v>16377</v>
      </c>
      <c r="E240">
        <v>17.7</v>
      </c>
      <c r="F240">
        <v>1.7</v>
      </c>
    </row>
    <row r="241" spans="1:6" hidden="1">
      <c r="A241" t="s">
        <v>12</v>
      </c>
      <c r="B241">
        <v>1944</v>
      </c>
      <c r="C241" t="s">
        <v>24</v>
      </c>
      <c r="D241" s="5">
        <v>16407</v>
      </c>
      <c r="E241">
        <v>17.8</v>
      </c>
      <c r="F241">
        <v>2.2999999999999998</v>
      </c>
    </row>
    <row r="242" spans="1:6">
      <c r="A242" t="s">
        <v>12</v>
      </c>
      <c r="B242">
        <v>1945</v>
      </c>
      <c r="C242" t="s">
        <v>13</v>
      </c>
      <c r="D242" s="5">
        <v>16438</v>
      </c>
      <c r="E242">
        <v>17.8</v>
      </c>
      <c r="F242">
        <v>2.2999999999999998</v>
      </c>
    </row>
    <row r="243" spans="1:6" hidden="1">
      <c r="A243" t="s">
        <v>12</v>
      </c>
      <c r="B243">
        <v>1945</v>
      </c>
      <c r="C243" t="s">
        <v>14</v>
      </c>
      <c r="D243" s="5">
        <v>16469</v>
      </c>
      <c r="E243">
        <v>17.8</v>
      </c>
      <c r="F243">
        <v>2.2999999999999998</v>
      </c>
    </row>
    <row r="244" spans="1:6" hidden="1">
      <c r="A244" t="s">
        <v>12</v>
      </c>
      <c r="B244">
        <v>1945</v>
      </c>
      <c r="C244" t="s">
        <v>15</v>
      </c>
      <c r="D244" s="5">
        <v>16497</v>
      </c>
      <c r="E244">
        <v>17.8</v>
      </c>
      <c r="F244">
        <v>2.2999999999999998</v>
      </c>
    </row>
    <row r="245" spans="1:6" hidden="1">
      <c r="A245" t="s">
        <v>12</v>
      </c>
      <c r="B245">
        <v>1945</v>
      </c>
      <c r="C245" t="s">
        <v>16</v>
      </c>
      <c r="D245" s="5">
        <v>16528</v>
      </c>
      <c r="E245">
        <v>17.8</v>
      </c>
      <c r="F245">
        <v>1.7</v>
      </c>
    </row>
    <row r="246" spans="1:6" hidden="1">
      <c r="A246" t="s">
        <v>12</v>
      </c>
      <c r="B246">
        <v>1945</v>
      </c>
      <c r="C246" t="s">
        <v>17</v>
      </c>
      <c r="D246" s="5">
        <v>16558</v>
      </c>
      <c r="E246">
        <v>17.899999999999999</v>
      </c>
      <c r="F246">
        <v>2.2999999999999998</v>
      </c>
    </row>
    <row r="247" spans="1:6" hidden="1">
      <c r="A247" t="s">
        <v>12</v>
      </c>
      <c r="B247">
        <v>1945</v>
      </c>
      <c r="C247" t="s">
        <v>18</v>
      </c>
      <c r="D247" s="5">
        <v>16589</v>
      </c>
      <c r="E247">
        <v>18.100000000000001</v>
      </c>
      <c r="F247">
        <v>2.8</v>
      </c>
    </row>
    <row r="248" spans="1:6" hidden="1">
      <c r="A248" t="s">
        <v>12</v>
      </c>
      <c r="B248">
        <v>1945</v>
      </c>
      <c r="C248" t="s">
        <v>19</v>
      </c>
      <c r="D248" s="5">
        <v>16619</v>
      </c>
      <c r="E248">
        <v>18.100000000000001</v>
      </c>
      <c r="F248">
        <v>2.2999999999999998</v>
      </c>
    </row>
    <row r="249" spans="1:6" hidden="1">
      <c r="A249" t="s">
        <v>12</v>
      </c>
      <c r="B249">
        <v>1945</v>
      </c>
      <c r="C249" t="s">
        <v>20</v>
      </c>
      <c r="D249" s="5">
        <v>16650</v>
      </c>
      <c r="E249">
        <v>18.100000000000001</v>
      </c>
      <c r="F249">
        <v>2.2999999999999998</v>
      </c>
    </row>
    <row r="250" spans="1:6" hidden="1">
      <c r="A250" t="s">
        <v>12</v>
      </c>
      <c r="B250">
        <v>1945</v>
      </c>
      <c r="C250" t="s">
        <v>21</v>
      </c>
      <c r="D250" s="5">
        <v>16681</v>
      </c>
      <c r="E250">
        <v>18.100000000000001</v>
      </c>
      <c r="F250">
        <v>2.2999999999999998</v>
      </c>
    </row>
    <row r="251" spans="1:6" hidden="1">
      <c r="A251" t="s">
        <v>12</v>
      </c>
      <c r="B251">
        <v>1945</v>
      </c>
      <c r="C251" t="s">
        <v>22</v>
      </c>
      <c r="D251" s="5">
        <v>16711</v>
      </c>
      <c r="E251">
        <v>18.100000000000001</v>
      </c>
      <c r="F251">
        <v>2.2999999999999998</v>
      </c>
    </row>
    <row r="252" spans="1:6" hidden="1">
      <c r="A252" t="s">
        <v>12</v>
      </c>
      <c r="B252">
        <v>1945</v>
      </c>
      <c r="C252" t="s">
        <v>23</v>
      </c>
      <c r="D252" s="5">
        <v>16742</v>
      </c>
      <c r="E252">
        <v>18.100000000000001</v>
      </c>
      <c r="F252">
        <v>2.2999999999999998</v>
      </c>
    </row>
    <row r="253" spans="1:6" hidden="1">
      <c r="A253" t="s">
        <v>12</v>
      </c>
      <c r="B253">
        <v>1945</v>
      </c>
      <c r="C253" t="s">
        <v>24</v>
      </c>
      <c r="D253" s="5">
        <v>16772</v>
      </c>
      <c r="E253">
        <v>18.2</v>
      </c>
      <c r="F253">
        <v>2.2000000000000002</v>
      </c>
    </row>
    <row r="254" spans="1:6">
      <c r="A254" t="s">
        <v>12</v>
      </c>
      <c r="B254">
        <v>1946</v>
      </c>
      <c r="C254" t="s">
        <v>13</v>
      </c>
      <c r="D254" s="5">
        <v>16803</v>
      </c>
      <c r="E254">
        <v>18.2</v>
      </c>
      <c r="F254">
        <v>2.2000000000000002</v>
      </c>
    </row>
    <row r="255" spans="1:6" hidden="1">
      <c r="A255" t="s">
        <v>12</v>
      </c>
      <c r="B255">
        <v>1946</v>
      </c>
      <c r="C255" t="s">
        <v>14</v>
      </c>
      <c r="D255" s="5">
        <v>16834</v>
      </c>
      <c r="E255">
        <v>18.100000000000001</v>
      </c>
      <c r="F255">
        <v>1.7</v>
      </c>
    </row>
    <row r="256" spans="1:6" hidden="1">
      <c r="A256" t="s">
        <v>12</v>
      </c>
      <c r="B256">
        <v>1946</v>
      </c>
      <c r="C256" t="s">
        <v>15</v>
      </c>
      <c r="D256" s="5">
        <v>16862</v>
      </c>
      <c r="E256">
        <v>18.3</v>
      </c>
      <c r="F256">
        <v>2.8</v>
      </c>
    </row>
    <row r="257" spans="1:6" hidden="1">
      <c r="A257" t="s">
        <v>12</v>
      </c>
      <c r="B257">
        <v>1946</v>
      </c>
      <c r="C257" t="s">
        <v>16</v>
      </c>
      <c r="D257" s="5">
        <v>16893</v>
      </c>
      <c r="E257">
        <v>18.399999999999999</v>
      </c>
      <c r="F257">
        <v>3.4</v>
      </c>
    </row>
    <row r="258" spans="1:6" hidden="1">
      <c r="A258" t="s">
        <v>12</v>
      </c>
      <c r="B258">
        <v>1946</v>
      </c>
      <c r="C258" t="s">
        <v>17</v>
      </c>
      <c r="D258" s="5">
        <v>16923</v>
      </c>
      <c r="E258">
        <v>18.5</v>
      </c>
      <c r="F258">
        <v>3.4</v>
      </c>
    </row>
    <row r="259" spans="1:6" hidden="1">
      <c r="A259" t="s">
        <v>12</v>
      </c>
      <c r="B259">
        <v>1946</v>
      </c>
      <c r="C259" t="s">
        <v>18</v>
      </c>
      <c r="D259" s="5">
        <v>16954</v>
      </c>
      <c r="E259">
        <v>18.7</v>
      </c>
      <c r="F259">
        <v>3.3</v>
      </c>
    </row>
    <row r="260" spans="1:6" hidden="1">
      <c r="A260" t="s">
        <v>12</v>
      </c>
      <c r="B260">
        <v>1946</v>
      </c>
      <c r="C260" t="s">
        <v>19</v>
      </c>
      <c r="D260" s="5">
        <v>16984</v>
      </c>
      <c r="E260">
        <v>19.8</v>
      </c>
      <c r="F260">
        <v>9.4</v>
      </c>
    </row>
    <row r="261" spans="1:6" hidden="1">
      <c r="A261" t="s">
        <v>12</v>
      </c>
      <c r="B261">
        <v>1946</v>
      </c>
      <c r="C261" t="s">
        <v>20</v>
      </c>
      <c r="D261" s="5">
        <v>17015</v>
      </c>
      <c r="E261">
        <v>20.2</v>
      </c>
      <c r="F261">
        <v>11.6</v>
      </c>
    </row>
    <row r="262" spans="1:6" hidden="1">
      <c r="A262" t="s">
        <v>12</v>
      </c>
      <c r="B262">
        <v>1946</v>
      </c>
      <c r="C262" t="s">
        <v>21</v>
      </c>
      <c r="D262" s="5">
        <v>17046</v>
      </c>
      <c r="E262">
        <v>20.399999999999999</v>
      </c>
      <c r="F262">
        <v>12.7</v>
      </c>
    </row>
    <row r="263" spans="1:6" hidden="1">
      <c r="A263" t="s">
        <v>12</v>
      </c>
      <c r="B263">
        <v>1946</v>
      </c>
      <c r="C263" t="s">
        <v>22</v>
      </c>
      <c r="D263" s="5">
        <v>17076</v>
      </c>
      <c r="E263">
        <v>20.8</v>
      </c>
      <c r="F263">
        <v>14.9</v>
      </c>
    </row>
    <row r="264" spans="1:6" hidden="1">
      <c r="A264" t="s">
        <v>12</v>
      </c>
      <c r="B264">
        <v>1946</v>
      </c>
      <c r="C264" t="s">
        <v>23</v>
      </c>
      <c r="D264" s="5">
        <v>17107</v>
      </c>
      <c r="E264">
        <v>21.3</v>
      </c>
      <c r="F264">
        <v>17.7</v>
      </c>
    </row>
    <row r="265" spans="1:6" hidden="1">
      <c r="A265" t="s">
        <v>12</v>
      </c>
      <c r="B265">
        <v>1946</v>
      </c>
      <c r="C265" t="s">
        <v>24</v>
      </c>
      <c r="D265" s="5">
        <v>17137</v>
      </c>
      <c r="E265">
        <v>21.5</v>
      </c>
      <c r="F265">
        <v>18.100000000000001</v>
      </c>
    </row>
    <row r="266" spans="1:6">
      <c r="A266" t="s">
        <v>12</v>
      </c>
      <c r="B266">
        <v>1947</v>
      </c>
      <c r="C266" t="s">
        <v>13</v>
      </c>
      <c r="D266" s="5">
        <v>17168</v>
      </c>
      <c r="E266">
        <v>21.5</v>
      </c>
      <c r="F266">
        <v>18.100000000000001</v>
      </c>
    </row>
    <row r="267" spans="1:6" hidden="1">
      <c r="A267" t="s">
        <v>12</v>
      </c>
      <c r="B267">
        <v>1947</v>
      </c>
      <c r="C267" t="s">
        <v>14</v>
      </c>
      <c r="D267" s="5">
        <v>17199</v>
      </c>
      <c r="E267">
        <v>21.5</v>
      </c>
      <c r="F267">
        <v>18.8</v>
      </c>
    </row>
    <row r="268" spans="1:6" hidden="1">
      <c r="A268" t="s">
        <v>12</v>
      </c>
      <c r="B268">
        <v>1947</v>
      </c>
      <c r="C268" t="s">
        <v>15</v>
      </c>
      <c r="D268" s="5">
        <v>17227</v>
      </c>
      <c r="E268">
        <v>21.9</v>
      </c>
      <c r="F268">
        <v>19.7</v>
      </c>
    </row>
    <row r="269" spans="1:6" hidden="1">
      <c r="A269" t="s">
        <v>12</v>
      </c>
      <c r="B269">
        <v>1947</v>
      </c>
      <c r="C269" t="s">
        <v>16</v>
      </c>
      <c r="D269" s="5">
        <v>17258</v>
      </c>
      <c r="E269">
        <v>21.9</v>
      </c>
      <c r="F269">
        <v>19</v>
      </c>
    </row>
    <row r="270" spans="1:6" hidden="1">
      <c r="A270" t="s">
        <v>12</v>
      </c>
      <c r="B270">
        <v>1947</v>
      </c>
      <c r="C270" t="s">
        <v>17</v>
      </c>
      <c r="D270" s="5">
        <v>17288</v>
      </c>
      <c r="E270">
        <v>21.9</v>
      </c>
      <c r="F270">
        <v>18.399999999999999</v>
      </c>
    </row>
    <row r="271" spans="1:6" hidden="1">
      <c r="A271" t="s">
        <v>12</v>
      </c>
      <c r="B271">
        <v>1947</v>
      </c>
      <c r="C271" t="s">
        <v>18</v>
      </c>
      <c r="D271" s="5">
        <v>17319</v>
      </c>
      <c r="E271">
        <v>22</v>
      </c>
      <c r="F271">
        <v>17.600000000000001</v>
      </c>
    </row>
    <row r="272" spans="1:6" hidden="1">
      <c r="A272" t="s">
        <v>12</v>
      </c>
      <c r="B272">
        <v>1947</v>
      </c>
      <c r="C272" t="s">
        <v>19</v>
      </c>
      <c r="D272" s="5">
        <v>17349</v>
      </c>
      <c r="E272">
        <v>22.2</v>
      </c>
      <c r="F272">
        <v>12.1</v>
      </c>
    </row>
    <row r="273" spans="1:6" hidden="1">
      <c r="A273" t="s">
        <v>12</v>
      </c>
      <c r="B273">
        <v>1947</v>
      </c>
      <c r="C273" t="s">
        <v>20</v>
      </c>
      <c r="D273" s="5">
        <v>17380</v>
      </c>
      <c r="E273">
        <v>22.5</v>
      </c>
      <c r="F273">
        <v>11.4</v>
      </c>
    </row>
    <row r="274" spans="1:6" hidden="1">
      <c r="A274" t="s">
        <v>12</v>
      </c>
      <c r="B274">
        <v>1947</v>
      </c>
      <c r="C274" t="s">
        <v>21</v>
      </c>
      <c r="D274" s="5">
        <v>17411</v>
      </c>
      <c r="E274">
        <v>23</v>
      </c>
      <c r="F274">
        <v>12.7</v>
      </c>
    </row>
    <row r="275" spans="1:6" hidden="1">
      <c r="A275" t="s">
        <v>12</v>
      </c>
      <c r="B275">
        <v>1947</v>
      </c>
      <c r="C275" t="s">
        <v>22</v>
      </c>
      <c r="D275" s="5">
        <v>17441</v>
      </c>
      <c r="E275">
        <v>23</v>
      </c>
      <c r="F275">
        <v>10.6</v>
      </c>
    </row>
    <row r="276" spans="1:6" hidden="1">
      <c r="A276" t="s">
        <v>12</v>
      </c>
      <c r="B276">
        <v>1947</v>
      </c>
      <c r="C276" t="s">
        <v>23</v>
      </c>
      <c r="D276" s="5">
        <v>17472</v>
      </c>
      <c r="E276">
        <v>23.1</v>
      </c>
      <c r="F276">
        <v>8.5</v>
      </c>
    </row>
    <row r="277" spans="1:6" hidden="1">
      <c r="A277" t="s">
        <v>12</v>
      </c>
      <c r="B277">
        <v>1947</v>
      </c>
      <c r="C277" t="s">
        <v>24</v>
      </c>
      <c r="D277" s="5">
        <v>17502</v>
      </c>
      <c r="E277">
        <v>23.4</v>
      </c>
      <c r="F277">
        <v>8.8000000000000007</v>
      </c>
    </row>
    <row r="278" spans="1:6">
      <c r="A278" t="s">
        <v>12</v>
      </c>
      <c r="B278">
        <v>1948</v>
      </c>
      <c r="C278" t="s">
        <v>13</v>
      </c>
      <c r="D278" s="5">
        <v>17533</v>
      </c>
      <c r="E278">
        <v>23.7</v>
      </c>
      <c r="F278">
        <v>10.199999999999999</v>
      </c>
    </row>
    <row r="279" spans="1:6" hidden="1">
      <c r="A279" t="s">
        <v>12</v>
      </c>
      <c r="B279">
        <v>1948</v>
      </c>
      <c r="C279" t="s">
        <v>14</v>
      </c>
      <c r="D279" s="5">
        <v>17564</v>
      </c>
      <c r="E279">
        <v>23.5</v>
      </c>
      <c r="F279">
        <v>9.3000000000000007</v>
      </c>
    </row>
    <row r="280" spans="1:6" hidden="1">
      <c r="A280" t="s">
        <v>12</v>
      </c>
      <c r="B280">
        <v>1948</v>
      </c>
      <c r="C280" t="s">
        <v>15</v>
      </c>
      <c r="D280" s="5">
        <v>17593</v>
      </c>
      <c r="E280">
        <v>23.4</v>
      </c>
      <c r="F280">
        <v>6.8</v>
      </c>
    </row>
    <row r="281" spans="1:6" hidden="1">
      <c r="A281" t="s">
        <v>12</v>
      </c>
      <c r="B281">
        <v>1948</v>
      </c>
      <c r="C281" t="s">
        <v>16</v>
      </c>
      <c r="D281" s="5">
        <v>17624</v>
      </c>
      <c r="E281">
        <v>23.8</v>
      </c>
      <c r="F281">
        <v>8.6999999999999993</v>
      </c>
    </row>
    <row r="282" spans="1:6" hidden="1">
      <c r="A282" t="s">
        <v>12</v>
      </c>
      <c r="B282">
        <v>1948</v>
      </c>
      <c r="C282" t="s">
        <v>17</v>
      </c>
      <c r="D282" s="5">
        <v>17654</v>
      </c>
      <c r="E282">
        <v>23.9</v>
      </c>
      <c r="F282">
        <v>9.1</v>
      </c>
    </row>
    <row r="283" spans="1:6" hidden="1">
      <c r="A283" t="s">
        <v>12</v>
      </c>
      <c r="B283">
        <v>1948</v>
      </c>
      <c r="C283" t="s">
        <v>18</v>
      </c>
      <c r="D283" s="5">
        <v>17685</v>
      </c>
      <c r="E283">
        <v>24.1</v>
      </c>
      <c r="F283">
        <v>9.5</v>
      </c>
    </row>
    <row r="284" spans="1:6" hidden="1">
      <c r="A284" t="s">
        <v>12</v>
      </c>
      <c r="B284">
        <v>1948</v>
      </c>
      <c r="C284" t="s">
        <v>19</v>
      </c>
      <c r="D284" s="5">
        <v>17715</v>
      </c>
      <c r="E284">
        <v>24.4</v>
      </c>
      <c r="F284">
        <v>9.9</v>
      </c>
    </row>
    <row r="285" spans="1:6" hidden="1">
      <c r="A285" t="s">
        <v>12</v>
      </c>
      <c r="B285">
        <v>1948</v>
      </c>
      <c r="C285" t="s">
        <v>20</v>
      </c>
      <c r="D285" s="5">
        <v>17746</v>
      </c>
      <c r="E285">
        <v>24.5</v>
      </c>
      <c r="F285">
        <v>8.9</v>
      </c>
    </row>
    <row r="286" spans="1:6" hidden="1">
      <c r="A286" t="s">
        <v>12</v>
      </c>
      <c r="B286">
        <v>1948</v>
      </c>
      <c r="C286" t="s">
        <v>21</v>
      </c>
      <c r="D286" s="5">
        <v>17777</v>
      </c>
      <c r="E286">
        <v>24.5</v>
      </c>
      <c r="F286">
        <v>6.5</v>
      </c>
    </row>
    <row r="287" spans="1:6" hidden="1">
      <c r="A287" t="s">
        <v>12</v>
      </c>
      <c r="B287">
        <v>1948</v>
      </c>
      <c r="C287" t="s">
        <v>22</v>
      </c>
      <c r="D287" s="5">
        <v>17807</v>
      </c>
      <c r="E287">
        <v>24.4</v>
      </c>
      <c r="F287">
        <v>6.1</v>
      </c>
    </row>
    <row r="288" spans="1:6" hidden="1">
      <c r="A288" t="s">
        <v>12</v>
      </c>
      <c r="B288">
        <v>1948</v>
      </c>
      <c r="C288" t="s">
        <v>23</v>
      </c>
      <c r="D288" s="5">
        <v>17838</v>
      </c>
      <c r="E288">
        <v>24.2</v>
      </c>
      <c r="F288">
        <v>4.8</v>
      </c>
    </row>
    <row r="289" spans="1:6" hidden="1">
      <c r="A289" t="s">
        <v>12</v>
      </c>
      <c r="B289">
        <v>1948</v>
      </c>
      <c r="C289" t="s">
        <v>24</v>
      </c>
      <c r="D289" s="5">
        <v>17868</v>
      </c>
      <c r="E289">
        <v>24.1</v>
      </c>
      <c r="F289">
        <v>3</v>
      </c>
    </row>
    <row r="290" spans="1:6">
      <c r="A290" t="s">
        <v>12</v>
      </c>
      <c r="B290">
        <v>1949</v>
      </c>
      <c r="C290" t="s">
        <v>13</v>
      </c>
      <c r="D290" s="5">
        <v>17899</v>
      </c>
      <c r="E290">
        <v>24</v>
      </c>
      <c r="F290">
        <v>1.3</v>
      </c>
    </row>
    <row r="291" spans="1:6" hidden="1">
      <c r="A291" t="s">
        <v>12</v>
      </c>
      <c r="B291">
        <v>1949</v>
      </c>
      <c r="C291" t="s">
        <v>14</v>
      </c>
      <c r="D291" s="5">
        <v>17930</v>
      </c>
      <c r="E291">
        <v>23.8</v>
      </c>
      <c r="F291">
        <v>1.3</v>
      </c>
    </row>
    <row r="292" spans="1:6" hidden="1">
      <c r="A292" t="s">
        <v>12</v>
      </c>
      <c r="B292">
        <v>1949</v>
      </c>
      <c r="C292" t="s">
        <v>15</v>
      </c>
      <c r="D292" s="5">
        <v>17958</v>
      </c>
      <c r="E292">
        <v>23.8</v>
      </c>
      <c r="F292">
        <v>1.7</v>
      </c>
    </row>
    <row r="293" spans="1:6" hidden="1">
      <c r="A293" t="s">
        <v>12</v>
      </c>
      <c r="B293">
        <v>1949</v>
      </c>
      <c r="C293" t="s">
        <v>16</v>
      </c>
      <c r="D293" s="5">
        <v>17989</v>
      </c>
      <c r="E293">
        <v>23.9</v>
      </c>
      <c r="F293">
        <v>0.4</v>
      </c>
    </row>
    <row r="294" spans="1:6" hidden="1">
      <c r="A294" t="s">
        <v>12</v>
      </c>
      <c r="B294">
        <v>1949</v>
      </c>
      <c r="C294" t="s">
        <v>17</v>
      </c>
      <c r="D294" s="5">
        <v>18019</v>
      </c>
      <c r="E294">
        <v>23.8</v>
      </c>
      <c r="F294">
        <v>-0.4</v>
      </c>
    </row>
    <row r="295" spans="1:6" hidden="1">
      <c r="A295" t="s">
        <v>12</v>
      </c>
      <c r="B295">
        <v>1949</v>
      </c>
      <c r="C295" t="s">
        <v>18</v>
      </c>
      <c r="D295" s="5">
        <v>18050</v>
      </c>
      <c r="E295">
        <v>23.9</v>
      </c>
      <c r="F295">
        <v>-0.8</v>
      </c>
    </row>
    <row r="296" spans="1:6" hidden="1">
      <c r="A296" t="s">
        <v>12</v>
      </c>
      <c r="B296">
        <v>1949</v>
      </c>
      <c r="C296" t="s">
        <v>19</v>
      </c>
      <c r="D296" s="5">
        <v>18080</v>
      </c>
      <c r="E296">
        <v>23.7</v>
      </c>
      <c r="F296">
        <v>-2.9</v>
      </c>
    </row>
    <row r="297" spans="1:6" hidden="1">
      <c r="A297" t="s">
        <v>12</v>
      </c>
      <c r="B297">
        <v>1949</v>
      </c>
      <c r="C297" t="s">
        <v>20</v>
      </c>
      <c r="D297" s="5">
        <v>18111</v>
      </c>
      <c r="E297">
        <v>23.8</v>
      </c>
      <c r="F297">
        <v>-2.9</v>
      </c>
    </row>
    <row r="298" spans="1:6" hidden="1">
      <c r="A298" t="s">
        <v>12</v>
      </c>
      <c r="B298">
        <v>1949</v>
      </c>
      <c r="C298" t="s">
        <v>21</v>
      </c>
      <c r="D298" s="5">
        <v>18142</v>
      </c>
      <c r="E298">
        <v>23.9</v>
      </c>
      <c r="F298">
        <v>-2.4</v>
      </c>
    </row>
    <row r="299" spans="1:6" hidden="1">
      <c r="A299" t="s">
        <v>12</v>
      </c>
      <c r="B299">
        <v>1949</v>
      </c>
      <c r="C299" t="s">
        <v>22</v>
      </c>
      <c r="D299" s="5">
        <v>18172</v>
      </c>
      <c r="E299">
        <v>23.7</v>
      </c>
      <c r="F299">
        <v>-2.9</v>
      </c>
    </row>
    <row r="300" spans="1:6" hidden="1">
      <c r="A300" t="s">
        <v>12</v>
      </c>
      <c r="B300">
        <v>1949</v>
      </c>
      <c r="C300" t="s">
        <v>23</v>
      </c>
      <c r="D300" s="5">
        <v>18203</v>
      </c>
      <c r="E300">
        <v>23.8</v>
      </c>
      <c r="F300">
        <v>-1.7</v>
      </c>
    </row>
    <row r="301" spans="1:6" hidden="1">
      <c r="A301" t="s">
        <v>12</v>
      </c>
      <c r="B301">
        <v>1949</v>
      </c>
      <c r="C301" t="s">
        <v>24</v>
      </c>
      <c r="D301" s="5">
        <v>18233</v>
      </c>
      <c r="E301">
        <v>23.6</v>
      </c>
      <c r="F301">
        <v>-2.1</v>
      </c>
    </row>
    <row r="302" spans="1:6">
      <c r="A302" t="s">
        <v>12</v>
      </c>
      <c r="B302">
        <v>1950</v>
      </c>
      <c r="C302" t="s">
        <v>13</v>
      </c>
      <c r="D302" s="5">
        <v>18264</v>
      </c>
      <c r="E302">
        <v>23.5</v>
      </c>
      <c r="F302">
        <v>-2.1</v>
      </c>
    </row>
    <row r="303" spans="1:6" hidden="1">
      <c r="A303" t="s">
        <v>12</v>
      </c>
      <c r="B303">
        <v>1950</v>
      </c>
      <c r="C303" t="s">
        <v>14</v>
      </c>
      <c r="D303" s="5">
        <v>18295</v>
      </c>
      <c r="E303">
        <v>23.5</v>
      </c>
      <c r="F303">
        <v>-1.3</v>
      </c>
    </row>
    <row r="304" spans="1:6" hidden="1">
      <c r="A304" t="s">
        <v>12</v>
      </c>
      <c r="B304">
        <v>1950</v>
      </c>
      <c r="C304" t="s">
        <v>15</v>
      </c>
      <c r="D304" s="5">
        <v>18323</v>
      </c>
      <c r="E304">
        <v>23.6</v>
      </c>
      <c r="F304">
        <v>-0.8</v>
      </c>
    </row>
    <row r="305" spans="1:6" hidden="1">
      <c r="A305" t="s">
        <v>12</v>
      </c>
      <c r="B305">
        <v>1950</v>
      </c>
      <c r="C305" t="s">
        <v>16</v>
      </c>
      <c r="D305" s="5">
        <v>18354</v>
      </c>
      <c r="E305">
        <v>23.6</v>
      </c>
      <c r="F305">
        <v>-1.3</v>
      </c>
    </row>
    <row r="306" spans="1:6" hidden="1">
      <c r="A306" t="s">
        <v>12</v>
      </c>
      <c r="B306">
        <v>1950</v>
      </c>
      <c r="C306" t="s">
        <v>17</v>
      </c>
      <c r="D306" s="5">
        <v>18384</v>
      </c>
      <c r="E306">
        <v>23.7</v>
      </c>
      <c r="F306">
        <v>-0.4</v>
      </c>
    </row>
    <row r="307" spans="1:6" hidden="1">
      <c r="A307" t="s">
        <v>12</v>
      </c>
      <c r="B307">
        <v>1950</v>
      </c>
      <c r="C307" t="s">
        <v>18</v>
      </c>
      <c r="D307" s="5">
        <v>18415</v>
      </c>
      <c r="E307">
        <v>23.8</v>
      </c>
      <c r="F307">
        <v>-0.4</v>
      </c>
    </row>
    <row r="308" spans="1:6" hidden="1">
      <c r="A308" t="s">
        <v>12</v>
      </c>
      <c r="B308">
        <v>1950</v>
      </c>
      <c r="C308" t="s">
        <v>19</v>
      </c>
      <c r="D308" s="5">
        <v>18445</v>
      </c>
      <c r="E308">
        <v>24.1</v>
      </c>
      <c r="F308">
        <v>1.7</v>
      </c>
    </row>
    <row r="309" spans="1:6" hidden="1">
      <c r="A309" t="s">
        <v>12</v>
      </c>
      <c r="B309">
        <v>1950</v>
      </c>
      <c r="C309" t="s">
        <v>20</v>
      </c>
      <c r="D309" s="5">
        <v>18476</v>
      </c>
      <c r="E309">
        <v>24.3</v>
      </c>
      <c r="F309">
        <v>2.1</v>
      </c>
    </row>
    <row r="310" spans="1:6" hidden="1">
      <c r="A310" t="s">
        <v>12</v>
      </c>
      <c r="B310">
        <v>1950</v>
      </c>
      <c r="C310" t="s">
        <v>21</v>
      </c>
      <c r="D310" s="5">
        <v>18507</v>
      </c>
      <c r="E310">
        <v>24.4</v>
      </c>
      <c r="F310">
        <v>2.1</v>
      </c>
    </row>
    <row r="311" spans="1:6" hidden="1">
      <c r="A311" t="s">
        <v>12</v>
      </c>
      <c r="B311">
        <v>1950</v>
      </c>
      <c r="C311" t="s">
        <v>22</v>
      </c>
      <c r="D311" s="5">
        <v>18537</v>
      </c>
      <c r="E311">
        <v>24.6</v>
      </c>
      <c r="F311">
        <v>3.8</v>
      </c>
    </row>
    <row r="312" spans="1:6" hidden="1">
      <c r="A312" t="s">
        <v>12</v>
      </c>
      <c r="B312">
        <v>1950</v>
      </c>
      <c r="C312" t="s">
        <v>23</v>
      </c>
      <c r="D312" s="5">
        <v>18568</v>
      </c>
      <c r="E312">
        <v>24.7</v>
      </c>
      <c r="F312">
        <v>3.8</v>
      </c>
    </row>
    <row r="313" spans="1:6" hidden="1">
      <c r="A313" t="s">
        <v>12</v>
      </c>
      <c r="B313">
        <v>1950</v>
      </c>
      <c r="C313" t="s">
        <v>24</v>
      </c>
      <c r="D313" s="5">
        <v>18598</v>
      </c>
      <c r="E313">
        <v>25</v>
      </c>
      <c r="F313">
        <v>5.9</v>
      </c>
    </row>
    <row r="314" spans="1:6">
      <c r="A314" t="s">
        <v>12</v>
      </c>
      <c r="B314">
        <v>1951</v>
      </c>
      <c r="C314" t="s">
        <v>13</v>
      </c>
      <c r="D314" s="5">
        <v>18629</v>
      </c>
      <c r="E314">
        <v>25.4</v>
      </c>
      <c r="F314">
        <v>8.1</v>
      </c>
    </row>
    <row r="315" spans="1:6" hidden="1">
      <c r="A315" t="s">
        <v>12</v>
      </c>
      <c r="B315">
        <v>1951</v>
      </c>
      <c r="C315" t="s">
        <v>14</v>
      </c>
      <c r="D315" s="5">
        <v>18660</v>
      </c>
      <c r="E315">
        <v>25.7</v>
      </c>
      <c r="F315">
        <v>9.4</v>
      </c>
    </row>
    <row r="316" spans="1:6" hidden="1">
      <c r="A316" t="s">
        <v>12</v>
      </c>
      <c r="B316">
        <v>1951</v>
      </c>
      <c r="C316" t="s">
        <v>15</v>
      </c>
      <c r="D316" s="5">
        <v>18688</v>
      </c>
      <c r="E316">
        <v>25.8</v>
      </c>
      <c r="F316">
        <v>9.3000000000000007</v>
      </c>
    </row>
    <row r="317" spans="1:6" hidden="1">
      <c r="A317" t="s">
        <v>12</v>
      </c>
      <c r="B317">
        <v>1951</v>
      </c>
      <c r="C317" t="s">
        <v>16</v>
      </c>
      <c r="D317" s="5">
        <v>18719</v>
      </c>
      <c r="E317">
        <v>25.8</v>
      </c>
      <c r="F317">
        <v>9.3000000000000007</v>
      </c>
    </row>
    <row r="318" spans="1:6" hidden="1">
      <c r="A318" t="s">
        <v>12</v>
      </c>
      <c r="B318">
        <v>1951</v>
      </c>
      <c r="C318" t="s">
        <v>17</v>
      </c>
      <c r="D318" s="5">
        <v>18749</v>
      </c>
      <c r="E318">
        <v>25.9</v>
      </c>
      <c r="F318">
        <v>9.3000000000000007</v>
      </c>
    </row>
    <row r="319" spans="1:6" hidden="1">
      <c r="A319" t="s">
        <v>12</v>
      </c>
      <c r="B319">
        <v>1951</v>
      </c>
      <c r="C319" t="s">
        <v>18</v>
      </c>
      <c r="D319" s="5">
        <v>18780</v>
      </c>
      <c r="E319">
        <v>25.9</v>
      </c>
      <c r="F319">
        <v>8.8000000000000007</v>
      </c>
    </row>
    <row r="320" spans="1:6" hidden="1">
      <c r="A320" t="s">
        <v>12</v>
      </c>
      <c r="B320">
        <v>1951</v>
      </c>
      <c r="C320" t="s">
        <v>19</v>
      </c>
      <c r="D320" s="5">
        <v>18810</v>
      </c>
      <c r="E320">
        <v>25.9</v>
      </c>
      <c r="F320">
        <v>7.5</v>
      </c>
    </row>
    <row r="321" spans="1:6" hidden="1">
      <c r="A321" t="s">
        <v>12</v>
      </c>
      <c r="B321">
        <v>1951</v>
      </c>
      <c r="C321" t="s">
        <v>20</v>
      </c>
      <c r="D321" s="5">
        <v>18841</v>
      </c>
      <c r="E321">
        <v>25.9</v>
      </c>
      <c r="F321">
        <v>6.6</v>
      </c>
    </row>
    <row r="322" spans="1:6" hidden="1">
      <c r="A322" t="s">
        <v>12</v>
      </c>
      <c r="B322">
        <v>1951</v>
      </c>
      <c r="C322" t="s">
        <v>21</v>
      </c>
      <c r="D322" s="5">
        <v>18872</v>
      </c>
      <c r="E322">
        <v>26.1</v>
      </c>
      <c r="F322">
        <v>7</v>
      </c>
    </row>
    <row r="323" spans="1:6" hidden="1">
      <c r="A323" t="s">
        <v>12</v>
      </c>
      <c r="B323">
        <v>1951</v>
      </c>
      <c r="C323" t="s">
        <v>22</v>
      </c>
      <c r="D323" s="5">
        <v>18902</v>
      </c>
      <c r="E323">
        <v>26.2</v>
      </c>
      <c r="F323">
        <v>6.5</v>
      </c>
    </row>
    <row r="324" spans="1:6" hidden="1">
      <c r="A324" t="s">
        <v>12</v>
      </c>
      <c r="B324">
        <v>1951</v>
      </c>
      <c r="C324" t="s">
        <v>23</v>
      </c>
      <c r="D324" s="5">
        <v>18933</v>
      </c>
      <c r="E324">
        <v>26.4</v>
      </c>
      <c r="F324">
        <v>6.9</v>
      </c>
    </row>
    <row r="325" spans="1:6" hidden="1">
      <c r="A325" t="s">
        <v>12</v>
      </c>
      <c r="B325">
        <v>1951</v>
      </c>
      <c r="C325" t="s">
        <v>24</v>
      </c>
      <c r="D325" s="5">
        <v>18963</v>
      </c>
      <c r="E325">
        <v>26.5</v>
      </c>
      <c r="F325">
        <v>6</v>
      </c>
    </row>
    <row r="326" spans="1:6">
      <c r="A326" t="s">
        <v>12</v>
      </c>
      <c r="B326">
        <v>1952</v>
      </c>
      <c r="C326" t="s">
        <v>13</v>
      </c>
      <c r="D326" s="5">
        <v>18994</v>
      </c>
      <c r="E326">
        <v>26.5</v>
      </c>
      <c r="F326">
        <v>4.3</v>
      </c>
    </row>
    <row r="327" spans="1:6" hidden="1">
      <c r="A327" t="s">
        <v>12</v>
      </c>
      <c r="B327">
        <v>1952</v>
      </c>
      <c r="C327" t="s">
        <v>14</v>
      </c>
      <c r="D327" s="5">
        <v>19025</v>
      </c>
      <c r="E327">
        <v>26.3</v>
      </c>
      <c r="F327">
        <v>2.2999999999999998</v>
      </c>
    </row>
    <row r="328" spans="1:6" hidden="1">
      <c r="A328" t="s">
        <v>12</v>
      </c>
      <c r="B328">
        <v>1952</v>
      </c>
      <c r="C328" t="s">
        <v>15</v>
      </c>
      <c r="D328" s="5">
        <v>19054</v>
      </c>
      <c r="E328">
        <v>26.3</v>
      </c>
      <c r="F328">
        <v>1.9</v>
      </c>
    </row>
    <row r="329" spans="1:6" hidden="1">
      <c r="A329" t="s">
        <v>12</v>
      </c>
      <c r="B329">
        <v>1952</v>
      </c>
      <c r="C329" t="s">
        <v>16</v>
      </c>
      <c r="D329" s="5">
        <v>19085</v>
      </c>
      <c r="E329">
        <v>26.4</v>
      </c>
      <c r="F329">
        <v>2.2999999999999998</v>
      </c>
    </row>
    <row r="330" spans="1:6" hidden="1">
      <c r="A330" t="s">
        <v>12</v>
      </c>
      <c r="B330">
        <v>1952</v>
      </c>
      <c r="C330" t="s">
        <v>17</v>
      </c>
      <c r="D330" s="5">
        <v>19115</v>
      </c>
      <c r="E330">
        <v>26.4</v>
      </c>
      <c r="F330">
        <v>1.9</v>
      </c>
    </row>
    <row r="331" spans="1:6" hidden="1">
      <c r="A331" t="s">
        <v>12</v>
      </c>
      <c r="B331">
        <v>1952</v>
      </c>
      <c r="C331" t="s">
        <v>18</v>
      </c>
      <c r="D331" s="5">
        <v>19146</v>
      </c>
      <c r="E331">
        <v>26.5</v>
      </c>
      <c r="F331">
        <v>2.2999999999999998</v>
      </c>
    </row>
    <row r="332" spans="1:6" hidden="1">
      <c r="A332" t="s">
        <v>12</v>
      </c>
      <c r="B332">
        <v>1952</v>
      </c>
      <c r="C332" t="s">
        <v>19</v>
      </c>
      <c r="D332" s="5">
        <v>19176</v>
      </c>
      <c r="E332">
        <v>26.7</v>
      </c>
      <c r="F332">
        <v>3.1</v>
      </c>
    </row>
    <row r="333" spans="1:6" hidden="1">
      <c r="A333" t="s">
        <v>12</v>
      </c>
      <c r="B333">
        <v>1952</v>
      </c>
      <c r="C333" t="s">
        <v>20</v>
      </c>
      <c r="D333" s="5">
        <v>19207</v>
      </c>
      <c r="E333">
        <v>26.7</v>
      </c>
      <c r="F333">
        <v>3.1</v>
      </c>
    </row>
    <row r="334" spans="1:6" hidden="1">
      <c r="A334" t="s">
        <v>12</v>
      </c>
      <c r="B334">
        <v>1952</v>
      </c>
      <c r="C334" t="s">
        <v>21</v>
      </c>
      <c r="D334" s="5">
        <v>19238</v>
      </c>
      <c r="E334">
        <v>26.7</v>
      </c>
      <c r="F334">
        <v>2.2999999999999998</v>
      </c>
    </row>
    <row r="335" spans="1:6" hidden="1">
      <c r="A335" t="s">
        <v>12</v>
      </c>
      <c r="B335">
        <v>1952</v>
      </c>
      <c r="C335" t="s">
        <v>22</v>
      </c>
      <c r="D335" s="5">
        <v>19268</v>
      </c>
      <c r="E335">
        <v>26.7</v>
      </c>
      <c r="F335">
        <v>1.9</v>
      </c>
    </row>
    <row r="336" spans="1:6" hidden="1">
      <c r="A336" t="s">
        <v>12</v>
      </c>
      <c r="B336">
        <v>1952</v>
      </c>
      <c r="C336" t="s">
        <v>23</v>
      </c>
      <c r="D336" s="5">
        <v>19299</v>
      </c>
      <c r="E336">
        <v>26.7</v>
      </c>
      <c r="F336">
        <v>1.1000000000000001</v>
      </c>
    </row>
    <row r="337" spans="1:6" hidden="1">
      <c r="A337" t="s">
        <v>12</v>
      </c>
      <c r="B337">
        <v>1952</v>
      </c>
      <c r="C337" t="s">
        <v>24</v>
      </c>
      <c r="D337" s="5">
        <v>19329</v>
      </c>
      <c r="E337">
        <v>26.7</v>
      </c>
      <c r="F337">
        <v>0.8</v>
      </c>
    </row>
    <row r="338" spans="1:6">
      <c r="A338" t="s">
        <v>12</v>
      </c>
      <c r="B338">
        <v>1953</v>
      </c>
      <c r="C338" t="s">
        <v>13</v>
      </c>
      <c r="D338" s="5">
        <v>19360</v>
      </c>
      <c r="E338">
        <v>26.6</v>
      </c>
      <c r="F338">
        <v>0.4</v>
      </c>
    </row>
    <row r="339" spans="1:6" hidden="1">
      <c r="A339" t="s">
        <v>12</v>
      </c>
      <c r="B339">
        <v>1953</v>
      </c>
      <c r="C339" t="s">
        <v>14</v>
      </c>
      <c r="D339" s="5">
        <v>19391</v>
      </c>
      <c r="E339">
        <v>26.5</v>
      </c>
      <c r="F339">
        <v>0.8</v>
      </c>
    </row>
    <row r="340" spans="1:6" hidden="1">
      <c r="A340" t="s">
        <v>12</v>
      </c>
      <c r="B340">
        <v>1953</v>
      </c>
      <c r="C340" t="s">
        <v>15</v>
      </c>
      <c r="D340" s="5">
        <v>19419</v>
      </c>
      <c r="E340">
        <v>26.6</v>
      </c>
      <c r="F340">
        <v>1.1000000000000001</v>
      </c>
    </row>
    <row r="341" spans="1:6" hidden="1">
      <c r="A341" t="s">
        <v>12</v>
      </c>
      <c r="B341">
        <v>1953</v>
      </c>
      <c r="C341" t="s">
        <v>16</v>
      </c>
      <c r="D341" s="5">
        <v>19450</v>
      </c>
      <c r="E341">
        <v>26.6</v>
      </c>
      <c r="F341">
        <v>0.8</v>
      </c>
    </row>
    <row r="342" spans="1:6" hidden="1">
      <c r="A342" t="s">
        <v>12</v>
      </c>
      <c r="B342">
        <v>1953</v>
      </c>
      <c r="C342" t="s">
        <v>17</v>
      </c>
      <c r="D342" s="5">
        <v>19480</v>
      </c>
      <c r="E342">
        <v>26.7</v>
      </c>
      <c r="F342">
        <v>1.1000000000000001</v>
      </c>
    </row>
    <row r="343" spans="1:6" hidden="1">
      <c r="A343" t="s">
        <v>12</v>
      </c>
      <c r="B343">
        <v>1953</v>
      </c>
      <c r="C343" t="s">
        <v>18</v>
      </c>
      <c r="D343" s="5">
        <v>19511</v>
      </c>
      <c r="E343">
        <v>26.8</v>
      </c>
      <c r="F343">
        <v>1.1000000000000001</v>
      </c>
    </row>
    <row r="344" spans="1:6" hidden="1">
      <c r="A344" t="s">
        <v>12</v>
      </c>
      <c r="B344">
        <v>1953</v>
      </c>
      <c r="C344" t="s">
        <v>19</v>
      </c>
      <c r="D344" s="5">
        <v>19541</v>
      </c>
      <c r="E344">
        <v>26.8</v>
      </c>
      <c r="F344">
        <v>0.4</v>
      </c>
    </row>
    <row r="345" spans="1:6" hidden="1">
      <c r="A345" t="s">
        <v>12</v>
      </c>
      <c r="B345">
        <v>1953</v>
      </c>
      <c r="C345" t="s">
        <v>20</v>
      </c>
      <c r="D345" s="5">
        <v>19572</v>
      </c>
      <c r="E345">
        <v>26.9</v>
      </c>
      <c r="F345">
        <v>0.7</v>
      </c>
    </row>
    <row r="346" spans="1:6" hidden="1">
      <c r="A346" t="s">
        <v>12</v>
      </c>
      <c r="B346">
        <v>1953</v>
      </c>
      <c r="C346" t="s">
        <v>21</v>
      </c>
      <c r="D346" s="5">
        <v>19603</v>
      </c>
      <c r="E346">
        <v>26.9</v>
      </c>
      <c r="F346">
        <v>0.7</v>
      </c>
    </row>
    <row r="347" spans="1:6" hidden="1">
      <c r="A347" t="s">
        <v>12</v>
      </c>
      <c r="B347">
        <v>1953</v>
      </c>
      <c r="C347" t="s">
        <v>22</v>
      </c>
      <c r="D347" s="5">
        <v>19633</v>
      </c>
      <c r="E347">
        <v>27</v>
      </c>
      <c r="F347">
        <v>1.1000000000000001</v>
      </c>
    </row>
    <row r="348" spans="1:6" hidden="1">
      <c r="A348" t="s">
        <v>12</v>
      </c>
      <c r="B348">
        <v>1953</v>
      </c>
      <c r="C348" t="s">
        <v>23</v>
      </c>
      <c r="D348" s="5">
        <v>19664</v>
      </c>
      <c r="E348">
        <v>26.9</v>
      </c>
      <c r="F348">
        <v>0.7</v>
      </c>
    </row>
    <row r="349" spans="1:6" hidden="1">
      <c r="A349" t="s">
        <v>12</v>
      </c>
      <c r="B349">
        <v>1953</v>
      </c>
      <c r="C349" t="s">
        <v>24</v>
      </c>
      <c r="D349" s="5">
        <v>19694</v>
      </c>
      <c r="E349">
        <v>26.9</v>
      </c>
      <c r="F349">
        <v>0.7</v>
      </c>
    </row>
    <row r="350" spans="1:6">
      <c r="A350" t="s">
        <v>12</v>
      </c>
      <c r="B350">
        <v>1954</v>
      </c>
      <c r="C350" t="s">
        <v>13</v>
      </c>
      <c r="D350" s="5">
        <v>19725</v>
      </c>
      <c r="E350">
        <v>26.9</v>
      </c>
      <c r="F350">
        <v>1.1000000000000001</v>
      </c>
    </row>
    <row r="351" spans="1:6" hidden="1">
      <c r="A351" t="s">
        <v>12</v>
      </c>
      <c r="B351">
        <v>1954</v>
      </c>
      <c r="C351" t="s">
        <v>14</v>
      </c>
      <c r="D351" s="5">
        <v>19756</v>
      </c>
      <c r="E351">
        <v>26.9</v>
      </c>
      <c r="F351">
        <v>1.5</v>
      </c>
    </row>
    <row r="352" spans="1:6" hidden="1">
      <c r="A352" t="s">
        <v>12</v>
      </c>
      <c r="B352">
        <v>1954</v>
      </c>
      <c r="C352" t="s">
        <v>15</v>
      </c>
      <c r="D352" s="5">
        <v>19784</v>
      </c>
      <c r="E352">
        <v>26.9</v>
      </c>
      <c r="F352">
        <v>1.1000000000000001</v>
      </c>
    </row>
    <row r="353" spans="1:6" hidden="1">
      <c r="A353" t="s">
        <v>12</v>
      </c>
      <c r="B353">
        <v>1954</v>
      </c>
      <c r="C353" t="s">
        <v>16</v>
      </c>
      <c r="D353" s="5">
        <v>19815</v>
      </c>
      <c r="E353">
        <v>26.8</v>
      </c>
      <c r="F353">
        <v>0.8</v>
      </c>
    </row>
    <row r="354" spans="1:6" hidden="1">
      <c r="A354" t="s">
        <v>12</v>
      </c>
      <c r="B354">
        <v>1954</v>
      </c>
      <c r="C354" t="s">
        <v>17</v>
      </c>
      <c r="D354" s="5">
        <v>19845</v>
      </c>
      <c r="E354">
        <v>26.9</v>
      </c>
      <c r="F354">
        <v>0.7</v>
      </c>
    </row>
    <row r="355" spans="1:6" hidden="1">
      <c r="A355" t="s">
        <v>12</v>
      </c>
      <c r="B355">
        <v>1954</v>
      </c>
      <c r="C355" t="s">
        <v>18</v>
      </c>
      <c r="D355" s="5">
        <v>19876</v>
      </c>
      <c r="E355">
        <v>26.9</v>
      </c>
      <c r="F355">
        <v>0.4</v>
      </c>
    </row>
    <row r="356" spans="1:6" hidden="1">
      <c r="A356" t="s">
        <v>12</v>
      </c>
      <c r="B356">
        <v>1954</v>
      </c>
      <c r="C356" t="s">
        <v>19</v>
      </c>
      <c r="D356" s="5">
        <v>19906</v>
      </c>
      <c r="E356">
        <v>26.9</v>
      </c>
      <c r="F356">
        <v>0.4</v>
      </c>
    </row>
    <row r="357" spans="1:6" hidden="1">
      <c r="A357" t="s">
        <v>12</v>
      </c>
      <c r="B357">
        <v>1954</v>
      </c>
      <c r="C357" t="s">
        <v>20</v>
      </c>
      <c r="D357" s="5">
        <v>19937</v>
      </c>
      <c r="E357">
        <v>26.9</v>
      </c>
      <c r="F357">
        <v>0</v>
      </c>
    </row>
    <row r="358" spans="1:6" hidden="1">
      <c r="A358" t="s">
        <v>12</v>
      </c>
      <c r="B358">
        <v>1954</v>
      </c>
      <c r="C358" t="s">
        <v>21</v>
      </c>
      <c r="D358" s="5">
        <v>19968</v>
      </c>
      <c r="E358">
        <v>26.8</v>
      </c>
      <c r="F358">
        <v>-0.4</v>
      </c>
    </row>
    <row r="359" spans="1:6" hidden="1">
      <c r="A359" t="s">
        <v>12</v>
      </c>
      <c r="B359">
        <v>1954</v>
      </c>
      <c r="C359" t="s">
        <v>22</v>
      </c>
      <c r="D359" s="5">
        <v>19998</v>
      </c>
      <c r="E359">
        <v>26.8</v>
      </c>
      <c r="F359">
        <v>-0.7</v>
      </c>
    </row>
    <row r="360" spans="1:6" hidden="1">
      <c r="A360" t="s">
        <v>12</v>
      </c>
      <c r="B360">
        <v>1954</v>
      </c>
      <c r="C360" t="s">
        <v>23</v>
      </c>
      <c r="D360" s="5">
        <v>20029</v>
      </c>
      <c r="E360">
        <v>26.8</v>
      </c>
      <c r="F360">
        <v>-0.4</v>
      </c>
    </row>
    <row r="361" spans="1:6" hidden="1">
      <c r="A361" t="s">
        <v>12</v>
      </c>
      <c r="B361">
        <v>1954</v>
      </c>
      <c r="C361" t="s">
        <v>24</v>
      </c>
      <c r="D361" s="5">
        <v>20059</v>
      </c>
      <c r="E361">
        <v>26.7</v>
      </c>
      <c r="F361">
        <v>-0.7</v>
      </c>
    </row>
    <row r="362" spans="1:6">
      <c r="A362" t="s">
        <v>12</v>
      </c>
      <c r="B362">
        <v>1955</v>
      </c>
      <c r="C362" t="s">
        <v>13</v>
      </c>
      <c r="D362" s="5">
        <v>20090</v>
      </c>
      <c r="E362">
        <v>26.7</v>
      </c>
      <c r="F362">
        <v>-0.7</v>
      </c>
    </row>
    <row r="363" spans="1:6" hidden="1">
      <c r="A363" t="s">
        <v>12</v>
      </c>
      <c r="B363">
        <v>1955</v>
      </c>
      <c r="C363" t="s">
        <v>14</v>
      </c>
      <c r="D363" s="5">
        <v>20121</v>
      </c>
      <c r="E363">
        <v>26.7</v>
      </c>
      <c r="F363">
        <v>-0.7</v>
      </c>
    </row>
    <row r="364" spans="1:6" hidden="1">
      <c r="A364" t="s">
        <v>12</v>
      </c>
      <c r="B364">
        <v>1955</v>
      </c>
      <c r="C364" t="s">
        <v>15</v>
      </c>
      <c r="D364" s="5">
        <v>20149</v>
      </c>
      <c r="E364">
        <v>26.7</v>
      </c>
      <c r="F364">
        <v>-0.7</v>
      </c>
    </row>
    <row r="365" spans="1:6" hidden="1">
      <c r="A365" t="s">
        <v>12</v>
      </c>
      <c r="B365">
        <v>1955</v>
      </c>
      <c r="C365" t="s">
        <v>16</v>
      </c>
      <c r="D365" s="5">
        <v>20180</v>
      </c>
      <c r="E365">
        <v>26.7</v>
      </c>
      <c r="F365">
        <v>-0.4</v>
      </c>
    </row>
    <row r="366" spans="1:6" hidden="1">
      <c r="A366" t="s">
        <v>12</v>
      </c>
      <c r="B366">
        <v>1955</v>
      </c>
      <c r="C366" t="s">
        <v>17</v>
      </c>
      <c r="D366" s="5">
        <v>20210</v>
      </c>
      <c r="E366">
        <v>26.7</v>
      </c>
      <c r="F366">
        <v>-0.7</v>
      </c>
    </row>
    <row r="367" spans="1:6" hidden="1">
      <c r="A367" t="s">
        <v>12</v>
      </c>
      <c r="B367">
        <v>1955</v>
      </c>
      <c r="C367" t="s">
        <v>18</v>
      </c>
      <c r="D367" s="5">
        <v>20241</v>
      </c>
      <c r="E367">
        <v>26.7</v>
      </c>
      <c r="F367">
        <v>-0.7</v>
      </c>
    </row>
    <row r="368" spans="1:6" hidden="1">
      <c r="A368" t="s">
        <v>12</v>
      </c>
      <c r="B368">
        <v>1955</v>
      </c>
      <c r="C368" t="s">
        <v>19</v>
      </c>
      <c r="D368" s="5">
        <v>20271</v>
      </c>
      <c r="E368">
        <v>26.8</v>
      </c>
      <c r="F368">
        <v>-0.4</v>
      </c>
    </row>
    <row r="369" spans="1:6" hidden="1">
      <c r="A369" t="s">
        <v>12</v>
      </c>
      <c r="B369">
        <v>1955</v>
      </c>
      <c r="C369" t="s">
        <v>20</v>
      </c>
      <c r="D369" s="5">
        <v>20302</v>
      </c>
      <c r="E369">
        <v>26.8</v>
      </c>
      <c r="F369">
        <v>-0.4</v>
      </c>
    </row>
    <row r="370" spans="1:6" hidden="1">
      <c r="A370" t="s">
        <v>12</v>
      </c>
      <c r="B370">
        <v>1955</v>
      </c>
      <c r="C370" t="s">
        <v>21</v>
      </c>
      <c r="D370" s="5">
        <v>20333</v>
      </c>
      <c r="E370">
        <v>26.9</v>
      </c>
      <c r="F370">
        <v>0.4</v>
      </c>
    </row>
    <row r="371" spans="1:6" hidden="1">
      <c r="A371" t="s">
        <v>12</v>
      </c>
      <c r="B371">
        <v>1955</v>
      </c>
      <c r="C371" t="s">
        <v>22</v>
      </c>
      <c r="D371" s="5">
        <v>20363</v>
      </c>
      <c r="E371">
        <v>26.9</v>
      </c>
      <c r="F371">
        <v>0.4</v>
      </c>
    </row>
    <row r="372" spans="1:6" hidden="1">
      <c r="A372" t="s">
        <v>12</v>
      </c>
      <c r="B372">
        <v>1955</v>
      </c>
      <c r="C372" t="s">
        <v>23</v>
      </c>
      <c r="D372" s="5">
        <v>20394</v>
      </c>
      <c r="E372">
        <v>26.9</v>
      </c>
      <c r="F372">
        <v>0.4</v>
      </c>
    </row>
    <row r="373" spans="1:6" hidden="1">
      <c r="A373" t="s">
        <v>12</v>
      </c>
      <c r="B373">
        <v>1955</v>
      </c>
      <c r="C373" t="s">
        <v>24</v>
      </c>
      <c r="D373" s="5">
        <v>20424</v>
      </c>
      <c r="E373">
        <v>26.8</v>
      </c>
      <c r="F373">
        <v>0.4</v>
      </c>
    </row>
    <row r="374" spans="1:6">
      <c r="A374" t="s">
        <v>12</v>
      </c>
      <c r="B374">
        <v>1956</v>
      </c>
      <c r="C374" t="s">
        <v>13</v>
      </c>
      <c r="D374" s="5">
        <v>20455</v>
      </c>
      <c r="E374">
        <v>26.8</v>
      </c>
      <c r="F374">
        <v>0.4</v>
      </c>
    </row>
    <row r="375" spans="1:6" hidden="1">
      <c r="A375" t="s">
        <v>12</v>
      </c>
      <c r="B375">
        <v>1956</v>
      </c>
      <c r="C375" t="s">
        <v>14</v>
      </c>
      <c r="D375" s="5">
        <v>20486</v>
      </c>
      <c r="E375">
        <v>26.8</v>
      </c>
      <c r="F375">
        <v>0.4</v>
      </c>
    </row>
    <row r="376" spans="1:6" hidden="1">
      <c r="A376" t="s">
        <v>12</v>
      </c>
      <c r="B376">
        <v>1956</v>
      </c>
      <c r="C376" t="s">
        <v>15</v>
      </c>
      <c r="D376" s="5">
        <v>20515</v>
      </c>
      <c r="E376">
        <v>26.8</v>
      </c>
      <c r="F376">
        <v>0.4</v>
      </c>
    </row>
    <row r="377" spans="1:6" hidden="1">
      <c r="A377" t="s">
        <v>12</v>
      </c>
      <c r="B377">
        <v>1956</v>
      </c>
      <c r="C377" t="s">
        <v>16</v>
      </c>
      <c r="D377" s="5">
        <v>20546</v>
      </c>
      <c r="E377">
        <v>26.9</v>
      </c>
      <c r="F377">
        <v>0.7</v>
      </c>
    </row>
    <row r="378" spans="1:6" hidden="1">
      <c r="A378" t="s">
        <v>12</v>
      </c>
      <c r="B378">
        <v>1956</v>
      </c>
      <c r="C378" t="s">
        <v>17</v>
      </c>
      <c r="D378" s="5">
        <v>20576</v>
      </c>
      <c r="E378">
        <v>27</v>
      </c>
      <c r="F378">
        <v>1.1000000000000001</v>
      </c>
    </row>
    <row r="379" spans="1:6" hidden="1">
      <c r="A379" t="s">
        <v>12</v>
      </c>
      <c r="B379">
        <v>1956</v>
      </c>
      <c r="C379" t="s">
        <v>18</v>
      </c>
      <c r="D379" s="5">
        <v>20607</v>
      </c>
      <c r="E379">
        <v>27.2</v>
      </c>
      <c r="F379">
        <v>1.9</v>
      </c>
    </row>
    <row r="380" spans="1:6" hidden="1">
      <c r="A380" t="s">
        <v>12</v>
      </c>
      <c r="B380">
        <v>1956</v>
      </c>
      <c r="C380" t="s">
        <v>19</v>
      </c>
      <c r="D380" s="5">
        <v>20637</v>
      </c>
      <c r="E380">
        <v>27.4</v>
      </c>
      <c r="F380">
        <v>2.2000000000000002</v>
      </c>
    </row>
    <row r="381" spans="1:6" hidden="1">
      <c r="A381" t="s">
        <v>12</v>
      </c>
      <c r="B381">
        <v>1956</v>
      </c>
      <c r="C381" t="s">
        <v>20</v>
      </c>
      <c r="D381" s="5">
        <v>20668</v>
      </c>
      <c r="E381">
        <v>27.3</v>
      </c>
      <c r="F381">
        <v>1.9</v>
      </c>
    </row>
    <row r="382" spans="1:6" hidden="1">
      <c r="A382" t="s">
        <v>12</v>
      </c>
      <c r="B382">
        <v>1956</v>
      </c>
      <c r="C382" t="s">
        <v>21</v>
      </c>
      <c r="D382" s="5">
        <v>20699</v>
      </c>
      <c r="E382">
        <v>27.4</v>
      </c>
      <c r="F382">
        <v>1.9</v>
      </c>
    </row>
    <row r="383" spans="1:6" hidden="1">
      <c r="A383" t="s">
        <v>12</v>
      </c>
      <c r="B383">
        <v>1956</v>
      </c>
      <c r="C383" t="s">
        <v>22</v>
      </c>
      <c r="D383" s="5">
        <v>20729</v>
      </c>
      <c r="E383">
        <v>27.5</v>
      </c>
      <c r="F383">
        <v>2.2000000000000002</v>
      </c>
    </row>
    <row r="384" spans="1:6" hidden="1">
      <c r="A384" t="s">
        <v>12</v>
      </c>
      <c r="B384">
        <v>1956</v>
      </c>
      <c r="C384" t="s">
        <v>23</v>
      </c>
      <c r="D384" s="5">
        <v>20760</v>
      </c>
      <c r="E384">
        <v>27.5</v>
      </c>
      <c r="F384">
        <v>2.2000000000000002</v>
      </c>
    </row>
    <row r="385" spans="1:6" hidden="1">
      <c r="A385" t="s">
        <v>12</v>
      </c>
      <c r="B385">
        <v>1956</v>
      </c>
      <c r="C385" t="s">
        <v>24</v>
      </c>
      <c r="D385" s="5">
        <v>20790</v>
      </c>
      <c r="E385">
        <v>27.6</v>
      </c>
      <c r="F385">
        <v>3</v>
      </c>
    </row>
    <row r="386" spans="1:6">
      <c r="A386" t="s">
        <v>12</v>
      </c>
      <c r="B386">
        <v>1957</v>
      </c>
      <c r="C386" t="s">
        <v>13</v>
      </c>
      <c r="D386" s="5">
        <v>20821</v>
      </c>
      <c r="E386">
        <v>27.6</v>
      </c>
      <c r="F386">
        <v>3</v>
      </c>
    </row>
    <row r="387" spans="1:6" hidden="1">
      <c r="A387" t="s">
        <v>12</v>
      </c>
      <c r="B387">
        <v>1957</v>
      </c>
      <c r="C387" t="s">
        <v>14</v>
      </c>
      <c r="D387" s="5">
        <v>20852</v>
      </c>
      <c r="E387">
        <v>27.7</v>
      </c>
      <c r="F387">
        <v>3.4</v>
      </c>
    </row>
    <row r="388" spans="1:6" hidden="1">
      <c r="A388" t="s">
        <v>12</v>
      </c>
      <c r="B388">
        <v>1957</v>
      </c>
      <c r="C388" t="s">
        <v>15</v>
      </c>
      <c r="D388" s="5">
        <v>20880</v>
      </c>
      <c r="E388">
        <v>27.8</v>
      </c>
      <c r="F388">
        <v>3.7</v>
      </c>
    </row>
    <row r="389" spans="1:6" hidden="1">
      <c r="A389" t="s">
        <v>12</v>
      </c>
      <c r="B389">
        <v>1957</v>
      </c>
      <c r="C389" t="s">
        <v>16</v>
      </c>
      <c r="D389" s="5">
        <v>20911</v>
      </c>
      <c r="E389">
        <v>27.9</v>
      </c>
      <c r="F389">
        <v>3.7</v>
      </c>
    </row>
    <row r="390" spans="1:6" hidden="1">
      <c r="A390" t="s">
        <v>12</v>
      </c>
      <c r="B390">
        <v>1957</v>
      </c>
      <c r="C390" t="s">
        <v>17</v>
      </c>
      <c r="D390" s="5">
        <v>20941</v>
      </c>
      <c r="E390">
        <v>28</v>
      </c>
      <c r="F390">
        <v>3.7</v>
      </c>
    </row>
    <row r="391" spans="1:6" hidden="1">
      <c r="A391" t="s">
        <v>12</v>
      </c>
      <c r="B391">
        <v>1957</v>
      </c>
      <c r="C391" t="s">
        <v>18</v>
      </c>
      <c r="D391" s="5">
        <v>20972</v>
      </c>
      <c r="E391">
        <v>28.1</v>
      </c>
      <c r="F391">
        <v>3.3</v>
      </c>
    </row>
    <row r="392" spans="1:6" hidden="1">
      <c r="A392" t="s">
        <v>12</v>
      </c>
      <c r="B392">
        <v>1957</v>
      </c>
      <c r="C392" t="s">
        <v>19</v>
      </c>
      <c r="D392" s="5">
        <v>21002</v>
      </c>
      <c r="E392">
        <v>28.3</v>
      </c>
      <c r="F392">
        <v>3.3</v>
      </c>
    </row>
    <row r="393" spans="1:6" hidden="1">
      <c r="A393" t="s">
        <v>12</v>
      </c>
      <c r="B393">
        <v>1957</v>
      </c>
      <c r="C393" t="s">
        <v>20</v>
      </c>
      <c r="D393" s="5">
        <v>21033</v>
      </c>
      <c r="E393">
        <v>28.3</v>
      </c>
      <c r="F393">
        <v>3.7</v>
      </c>
    </row>
    <row r="394" spans="1:6" hidden="1">
      <c r="A394" t="s">
        <v>12</v>
      </c>
      <c r="B394">
        <v>1957</v>
      </c>
      <c r="C394" t="s">
        <v>21</v>
      </c>
      <c r="D394" s="5">
        <v>21064</v>
      </c>
      <c r="E394">
        <v>28.3</v>
      </c>
      <c r="F394">
        <v>3.3</v>
      </c>
    </row>
    <row r="395" spans="1:6" hidden="1">
      <c r="A395" t="s">
        <v>12</v>
      </c>
      <c r="B395">
        <v>1957</v>
      </c>
      <c r="C395" t="s">
        <v>22</v>
      </c>
      <c r="D395" s="5">
        <v>21094</v>
      </c>
      <c r="E395">
        <v>28.3</v>
      </c>
      <c r="F395">
        <v>2.9</v>
      </c>
    </row>
    <row r="396" spans="1:6" hidden="1">
      <c r="A396" t="s">
        <v>12</v>
      </c>
      <c r="B396">
        <v>1957</v>
      </c>
      <c r="C396" t="s">
        <v>23</v>
      </c>
      <c r="D396" s="5">
        <v>21125</v>
      </c>
      <c r="E396">
        <v>28.4</v>
      </c>
      <c r="F396">
        <v>3.3</v>
      </c>
    </row>
    <row r="397" spans="1:6" hidden="1">
      <c r="A397" t="s">
        <v>12</v>
      </c>
      <c r="B397">
        <v>1957</v>
      </c>
      <c r="C397" t="s">
        <v>24</v>
      </c>
      <c r="D397" s="5">
        <v>21155</v>
      </c>
      <c r="E397">
        <v>28.4</v>
      </c>
      <c r="F397">
        <v>2.9</v>
      </c>
    </row>
    <row r="398" spans="1:6">
      <c r="A398" t="s">
        <v>12</v>
      </c>
      <c r="B398">
        <v>1958</v>
      </c>
      <c r="C398" t="s">
        <v>13</v>
      </c>
      <c r="D398" s="5">
        <v>21186</v>
      </c>
      <c r="E398">
        <v>28.6</v>
      </c>
      <c r="F398">
        <v>3.6</v>
      </c>
    </row>
    <row r="399" spans="1:6" hidden="1">
      <c r="A399" t="s">
        <v>12</v>
      </c>
      <c r="B399">
        <v>1958</v>
      </c>
      <c r="C399" t="s">
        <v>14</v>
      </c>
      <c r="D399" s="5">
        <v>21217</v>
      </c>
      <c r="E399">
        <v>28.6</v>
      </c>
      <c r="F399">
        <v>3.2</v>
      </c>
    </row>
    <row r="400" spans="1:6" hidden="1">
      <c r="A400" t="s">
        <v>12</v>
      </c>
      <c r="B400">
        <v>1958</v>
      </c>
      <c r="C400" t="s">
        <v>15</v>
      </c>
      <c r="D400" s="5">
        <v>21245</v>
      </c>
      <c r="E400">
        <v>28.8</v>
      </c>
      <c r="F400">
        <v>3.6</v>
      </c>
    </row>
    <row r="401" spans="1:6" hidden="1">
      <c r="A401" t="s">
        <v>12</v>
      </c>
      <c r="B401">
        <v>1958</v>
      </c>
      <c r="C401" t="s">
        <v>16</v>
      </c>
      <c r="D401" s="5">
        <v>21276</v>
      </c>
      <c r="E401">
        <v>28.9</v>
      </c>
      <c r="F401">
        <v>3.6</v>
      </c>
    </row>
    <row r="402" spans="1:6" hidden="1">
      <c r="A402" t="s">
        <v>12</v>
      </c>
      <c r="B402">
        <v>1958</v>
      </c>
      <c r="C402" t="s">
        <v>17</v>
      </c>
      <c r="D402" s="5">
        <v>21306</v>
      </c>
      <c r="E402">
        <v>28.9</v>
      </c>
      <c r="F402">
        <v>3.2</v>
      </c>
    </row>
    <row r="403" spans="1:6" hidden="1">
      <c r="A403" t="s">
        <v>12</v>
      </c>
      <c r="B403">
        <v>1958</v>
      </c>
      <c r="C403" t="s">
        <v>18</v>
      </c>
      <c r="D403" s="5">
        <v>21337</v>
      </c>
      <c r="E403">
        <v>28.9</v>
      </c>
      <c r="F403">
        <v>2.8</v>
      </c>
    </row>
    <row r="404" spans="1:6" hidden="1">
      <c r="A404" t="s">
        <v>12</v>
      </c>
      <c r="B404">
        <v>1958</v>
      </c>
      <c r="C404" t="s">
        <v>19</v>
      </c>
      <c r="D404" s="5">
        <v>21367</v>
      </c>
      <c r="E404">
        <v>29</v>
      </c>
      <c r="F404">
        <v>2.5</v>
      </c>
    </row>
    <row r="405" spans="1:6" hidden="1">
      <c r="A405" t="s">
        <v>12</v>
      </c>
      <c r="B405">
        <v>1958</v>
      </c>
      <c r="C405" t="s">
        <v>20</v>
      </c>
      <c r="D405" s="5">
        <v>21398</v>
      </c>
      <c r="E405">
        <v>28.9</v>
      </c>
      <c r="F405">
        <v>2.1</v>
      </c>
    </row>
    <row r="406" spans="1:6" hidden="1">
      <c r="A406" t="s">
        <v>12</v>
      </c>
      <c r="B406">
        <v>1958</v>
      </c>
      <c r="C406" t="s">
        <v>21</v>
      </c>
      <c r="D406" s="5">
        <v>21429</v>
      </c>
      <c r="E406">
        <v>28.9</v>
      </c>
      <c r="F406">
        <v>2.1</v>
      </c>
    </row>
    <row r="407" spans="1:6" hidden="1">
      <c r="A407" t="s">
        <v>12</v>
      </c>
      <c r="B407">
        <v>1958</v>
      </c>
      <c r="C407" t="s">
        <v>22</v>
      </c>
      <c r="D407" s="5">
        <v>21459</v>
      </c>
      <c r="E407">
        <v>28.9</v>
      </c>
      <c r="F407">
        <v>2.1</v>
      </c>
    </row>
    <row r="408" spans="1:6" hidden="1">
      <c r="A408" t="s">
        <v>12</v>
      </c>
      <c r="B408">
        <v>1958</v>
      </c>
      <c r="C408" t="s">
        <v>23</v>
      </c>
      <c r="D408" s="5">
        <v>21490</v>
      </c>
      <c r="E408">
        <v>29</v>
      </c>
      <c r="F408">
        <v>2.1</v>
      </c>
    </row>
    <row r="409" spans="1:6" hidden="1">
      <c r="A409" t="s">
        <v>12</v>
      </c>
      <c r="B409">
        <v>1958</v>
      </c>
      <c r="C409" t="s">
        <v>24</v>
      </c>
      <c r="D409" s="5">
        <v>21520</v>
      </c>
      <c r="E409">
        <v>28.9</v>
      </c>
      <c r="F409">
        <v>1.8</v>
      </c>
    </row>
    <row r="410" spans="1:6">
      <c r="A410" t="s">
        <v>12</v>
      </c>
      <c r="B410">
        <v>1959</v>
      </c>
      <c r="C410" t="s">
        <v>13</v>
      </c>
      <c r="D410" s="5">
        <v>21551</v>
      </c>
      <c r="E410">
        <v>29</v>
      </c>
      <c r="F410">
        <v>1.4</v>
      </c>
    </row>
    <row r="411" spans="1:6" hidden="1">
      <c r="A411" t="s">
        <v>12</v>
      </c>
      <c r="B411">
        <v>1959</v>
      </c>
      <c r="C411" t="s">
        <v>14</v>
      </c>
      <c r="D411" s="5">
        <v>21582</v>
      </c>
      <c r="E411">
        <v>28.9</v>
      </c>
      <c r="F411">
        <v>1</v>
      </c>
    </row>
    <row r="412" spans="1:6" hidden="1">
      <c r="A412" t="s">
        <v>12</v>
      </c>
      <c r="B412">
        <v>1959</v>
      </c>
      <c r="C412" t="s">
        <v>15</v>
      </c>
      <c r="D412" s="5">
        <v>21610</v>
      </c>
      <c r="E412">
        <v>28.9</v>
      </c>
      <c r="F412">
        <v>0.3</v>
      </c>
    </row>
    <row r="413" spans="1:6" hidden="1">
      <c r="A413" t="s">
        <v>12</v>
      </c>
      <c r="B413">
        <v>1959</v>
      </c>
      <c r="C413" t="s">
        <v>16</v>
      </c>
      <c r="D413" s="5">
        <v>21641</v>
      </c>
      <c r="E413">
        <v>29</v>
      </c>
      <c r="F413">
        <v>0.3</v>
      </c>
    </row>
    <row r="414" spans="1:6" hidden="1">
      <c r="A414" t="s">
        <v>12</v>
      </c>
      <c r="B414">
        <v>1959</v>
      </c>
      <c r="C414" t="s">
        <v>17</v>
      </c>
      <c r="D414" s="5">
        <v>21671</v>
      </c>
      <c r="E414">
        <v>29</v>
      </c>
      <c r="F414">
        <v>0.3</v>
      </c>
    </row>
    <row r="415" spans="1:6" hidden="1">
      <c r="A415" t="s">
        <v>12</v>
      </c>
      <c r="B415">
        <v>1959</v>
      </c>
      <c r="C415" t="s">
        <v>18</v>
      </c>
      <c r="D415" s="5">
        <v>21702</v>
      </c>
      <c r="E415">
        <v>29.1</v>
      </c>
      <c r="F415">
        <v>0.7</v>
      </c>
    </row>
    <row r="416" spans="1:6" hidden="1">
      <c r="A416" t="s">
        <v>12</v>
      </c>
      <c r="B416">
        <v>1959</v>
      </c>
      <c r="C416" t="s">
        <v>19</v>
      </c>
      <c r="D416" s="5">
        <v>21732</v>
      </c>
      <c r="E416">
        <v>29.2</v>
      </c>
      <c r="F416">
        <v>0.7</v>
      </c>
    </row>
    <row r="417" spans="1:6" hidden="1">
      <c r="A417" t="s">
        <v>12</v>
      </c>
      <c r="B417">
        <v>1959</v>
      </c>
      <c r="C417" t="s">
        <v>20</v>
      </c>
      <c r="D417" s="5">
        <v>21763</v>
      </c>
      <c r="E417">
        <v>29.2</v>
      </c>
      <c r="F417">
        <v>1</v>
      </c>
    </row>
    <row r="418" spans="1:6" hidden="1">
      <c r="A418" t="s">
        <v>12</v>
      </c>
      <c r="B418">
        <v>1959</v>
      </c>
      <c r="C418" t="s">
        <v>21</v>
      </c>
      <c r="D418" s="5">
        <v>21794</v>
      </c>
      <c r="E418">
        <v>29.3</v>
      </c>
      <c r="F418">
        <v>1.4</v>
      </c>
    </row>
    <row r="419" spans="1:6" hidden="1">
      <c r="A419" t="s">
        <v>12</v>
      </c>
      <c r="B419">
        <v>1959</v>
      </c>
      <c r="C419" t="s">
        <v>22</v>
      </c>
      <c r="D419" s="5">
        <v>21824</v>
      </c>
      <c r="E419">
        <v>29.4</v>
      </c>
      <c r="F419">
        <v>1.7</v>
      </c>
    </row>
    <row r="420" spans="1:6" hidden="1">
      <c r="A420" t="s">
        <v>12</v>
      </c>
      <c r="B420">
        <v>1959</v>
      </c>
      <c r="C420" t="s">
        <v>23</v>
      </c>
      <c r="D420" s="5">
        <v>21855</v>
      </c>
      <c r="E420">
        <v>29.4</v>
      </c>
      <c r="F420">
        <v>1.4</v>
      </c>
    </row>
    <row r="421" spans="1:6" hidden="1">
      <c r="A421" t="s">
        <v>12</v>
      </c>
      <c r="B421">
        <v>1959</v>
      </c>
      <c r="C421" t="s">
        <v>24</v>
      </c>
      <c r="D421" s="5">
        <v>21885</v>
      </c>
      <c r="E421">
        <v>29.4</v>
      </c>
      <c r="F421">
        <v>1.7</v>
      </c>
    </row>
    <row r="422" spans="1:6">
      <c r="A422" t="s">
        <v>12</v>
      </c>
      <c r="B422">
        <v>1960</v>
      </c>
      <c r="C422" t="s">
        <v>13</v>
      </c>
      <c r="D422" s="5">
        <v>21916</v>
      </c>
      <c r="E422">
        <v>29.3</v>
      </c>
      <c r="F422">
        <v>1</v>
      </c>
    </row>
    <row r="423" spans="1:6" hidden="1">
      <c r="A423" t="s">
        <v>12</v>
      </c>
      <c r="B423">
        <v>1960</v>
      </c>
      <c r="C423" t="s">
        <v>14</v>
      </c>
      <c r="D423" s="5">
        <v>21947</v>
      </c>
      <c r="E423">
        <v>29.4</v>
      </c>
      <c r="F423">
        <v>1.7</v>
      </c>
    </row>
    <row r="424" spans="1:6" hidden="1">
      <c r="A424" t="s">
        <v>12</v>
      </c>
      <c r="B424">
        <v>1960</v>
      </c>
      <c r="C424" t="s">
        <v>15</v>
      </c>
      <c r="D424" s="5">
        <v>21976</v>
      </c>
      <c r="E424">
        <v>29.4</v>
      </c>
      <c r="F424">
        <v>1.7</v>
      </c>
    </row>
    <row r="425" spans="1:6" hidden="1">
      <c r="A425" t="s">
        <v>12</v>
      </c>
      <c r="B425">
        <v>1960</v>
      </c>
      <c r="C425" t="s">
        <v>16</v>
      </c>
      <c r="D425" s="5">
        <v>22007</v>
      </c>
      <c r="E425">
        <v>29.5</v>
      </c>
      <c r="F425">
        <v>1.7</v>
      </c>
    </row>
    <row r="426" spans="1:6" hidden="1">
      <c r="A426" t="s">
        <v>12</v>
      </c>
      <c r="B426">
        <v>1960</v>
      </c>
      <c r="C426" t="s">
        <v>17</v>
      </c>
      <c r="D426" s="5">
        <v>22037</v>
      </c>
      <c r="E426">
        <v>29.5</v>
      </c>
      <c r="F426">
        <v>1.7</v>
      </c>
    </row>
    <row r="427" spans="1:6" hidden="1">
      <c r="A427" t="s">
        <v>12</v>
      </c>
      <c r="B427">
        <v>1960</v>
      </c>
      <c r="C427" t="s">
        <v>18</v>
      </c>
      <c r="D427" s="5">
        <v>22068</v>
      </c>
      <c r="E427">
        <v>29.6</v>
      </c>
      <c r="F427">
        <v>1.7</v>
      </c>
    </row>
    <row r="428" spans="1:6" hidden="1">
      <c r="A428" t="s">
        <v>12</v>
      </c>
      <c r="B428">
        <v>1960</v>
      </c>
      <c r="C428" t="s">
        <v>19</v>
      </c>
      <c r="D428" s="5">
        <v>22098</v>
      </c>
      <c r="E428">
        <v>29.6</v>
      </c>
      <c r="F428">
        <v>1.4</v>
      </c>
    </row>
    <row r="429" spans="1:6" hidden="1">
      <c r="A429" t="s">
        <v>12</v>
      </c>
      <c r="B429">
        <v>1960</v>
      </c>
      <c r="C429" t="s">
        <v>20</v>
      </c>
      <c r="D429" s="5">
        <v>22129</v>
      </c>
      <c r="E429">
        <v>29.6</v>
      </c>
      <c r="F429">
        <v>1.4</v>
      </c>
    </row>
    <row r="430" spans="1:6" hidden="1">
      <c r="A430" t="s">
        <v>12</v>
      </c>
      <c r="B430">
        <v>1960</v>
      </c>
      <c r="C430" t="s">
        <v>21</v>
      </c>
      <c r="D430" s="5">
        <v>22160</v>
      </c>
      <c r="E430">
        <v>29.6</v>
      </c>
      <c r="F430">
        <v>1</v>
      </c>
    </row>
    <row r="431" spans="1:6" hidden="1">
      <c r="A431" t="s">
        <v>12</v>
      </c>
      <c r="B431">
        <v>1960</v>
      </c>
      <c r="C431" t="s">
        <v>22</v>
      </c>
      <c r="D431" s="5">
        <v>22190</v>
      </c>
      <c r="E431">
        <v>29.8</v>
      </c>
      <c r="F431">
        <v>1.4</v>
      </c>
    </row>
    <row r="432" spans="1:6" hidden="1">
      <c r="A432" t="s">
        <v>12</v>
      </c>
      <c r="B432">
        <v>1960</v>
      </c>
      <c r="C432" t="s">
        <v>23</v>
      </c>
      <c r="D432" s="5">
        <v>22221</v>
      </c>
      <c r="E432">
        <v>29.8</v>
      </c>
      <c r="F432">
        <v>1.4</v>
      </c>
    </row>
    <row r="433" spans="1:6" hidden="1">
      <c r="A433" t="s">
        <v>12</v>
      </c>
      <c r="B433">
        <v>1960</v>
      </c>
      <c r="C433" t="s">
        <v>24</v>
      </c>
      <c r="D433" s="5">
        <v>22251</v>
      </c>
      <c r="E433">
        <v>29.8</v>
      </c>
      <c r="F433">
        <v>1.4</v>
      </c>
    </row>
    <row r="434" spans="1:6">
      <c r="A434" t="s">
        <v>12</v>
      </c>
      <c r="B434">
        <v>1961</v>
      </c>
      <c r="C434" t="s">
        <v>13</v>
      </c>
      <c r="D434" s="5">
        <v>22282</v>
      </c>
      <c r="E434">
        <v>29.8</v>
      </c>
      <c r="F434">
        <v>1.7</v>
      </c>
    </row>
    <row r="435" spans="1:6" hidden="1">
      <c r="A435" t="s">
        <v>12</v>
      </c>
      <c r="B435">
        <v>1961</v>
      </c>
      <c r="C435" t="s">
        <v>14</v>
      </c>
      <c r="D435" s="5">
        <v>22313</v>
      </c>
      <c r="E435">
        <v>29.8</v>
      </c>
      <c r="F435">
        <v>1.4</v>
      </c>
    </row>
    <row r="436" spans="1:6" hidden="1">
      <c r="A436" t="s">
        <v>12</v>
      </c>
      <c r="B436">
        <v>1961</v>
      </c>
      <c r="C436" t="s">
        <v>15</v>
      </c>
      <c r="D436" s="5">
        <v>22341</v>
      </c>
      <c r="E436">
        <v>29.8</v>
      </c>
      <c r="F436">
        <v>1.4</v>
      </c>
    </row>
    <row r="437" spans="1:6" hidden="1">
      <c r="A437" t="s">
        <v>12</v>
      </c>
      <c r="B437">
        <v>1961</v>
      </c>
      <c r="C437" t="s">
        <v>16</v>
      </c>
      <c r="D437" s="5">
        <v>22372</v>
      </c>
      <c r="E437">
        <v>29.8</v>
      </c>
      <c r="F437">
        <v>1</v>
      </c>
    </row>
    <row r="438" spans="1:6" hidden="1">
      <c r="A438" t="s">
        <v>12</v>
      </c>
      <c r="B438">
        <v>1961</v>
      </c>
      <c r="C438" t="s">
        <v>17</v>
      </c>
      <c r="D438" s="5">
        <v>22402</v>
      </c>
      <c r="E438">
        <v>29.8</v>
      </c>
      <c r="F438">
        <v>1</v>
      </c>
    </row>
    <row r="439" spans="1:6" hidden="1">
      <c r="A439" t="s">
        <v>12</v>
      </c>
      <c r="B439">
        <v>1961</v>
      </c>
      <c r="C439" t="s">
        <v>18</v>
      </c>
      <c r="D439" s="5">
        <v>22433</v>
      </c>
      <c r="E439">
        <v>29.8</v>
      </c>
      <c r="F439">
        <v>0.7</v>
      </c>
    </row>
    <row r="440" spans="1:6" hidden="1">
      <c r="A440" t="s">
        <v>12</v>
      </c>
      <c r="B440">
        <v>1961</v>
      </c>
      <c r="C440" t="s">
        <v>19</v>
      </c>
      <c r="D440" s="5">
        <v>22463</v>
      </c>
      <c r="E440">
        <v>30</v>
      </c>
      <c r="F440">
        <v>1.4</v>
      </c>
    </row>
    <row r="441" spans="1:6" hidden="1">
      <c r="A441" t="s">
        <v>12</v>
      </c>
      <c r="B441">
        <v>1961</v>
      </c>
      <c r="C441" t="s">
        <v>20</v>
      </c>
      <c r="D441" s="5">
        <v>22494</v>
      </c>
      <c r="E441">
        <v>29.9</v>
      </c>
      <c r="F441">
        <v>1</v>
      </c>
    </row>
    <row r="442" spans="1:6" hidden="1">
      <c r="A442" t="s">
        <v>12</v>
      </c>
      <c r="B442">
        <v>1961</v>
      </c>
      <c r="C442" t="s">
        <v>21</v>
      </c>
      <c r="D442" s="5">
        <v>22525</v>
      </c>
      <c r="E442">
        <v>30</v>
      </c>
      <c r="F442">
        <v>1.4</v>
      </c>
    </row>
    <row r="443" spans="1:6" hidden="1">
      <c r="A443" t="s">
        <v>12</v>
      </c>
      <c r="B443">
        <v>1961</v>
      </c>
      <c r="C443" t="s">
        <v>22</v>
      </c>
      <c r="D443" s="5">
        <v>22555</v>
      </c>
      <c r="E443">
        <v>30</v>
      </c>
      <c r="F443">
        <v>0.7</v>
      </c>
    </row>
    <row r="444" spans="1:6" hidden="1">
      <c r="A444" t="s">
        <v>12</v>
      </c>
      <c r="B444">
        <v>1961</v>
      </c>
      <c r="C444" t="s">
        <v>23</v>
      </c>
      <c r="D444" s="5">
        <v>22586</v>
      </c>
      <c r="E444">
        <v>30</v>
      </c>
      <c r="F444">
        <v>0.7</v>
      </c>
    </row>
    <row r="445" spans="1:6" hidden="1">
      <c r="A445" t="s">
        <v>12</v>
      </c>
      <c r="B445">
        <v>1961</v>
      </c>
      <c r="C445" t="s">
        <v>24</v>
      </c>
      <c r="D445" s="5">
        <v>22616</v>
      </c>
      <c r="E445">
        <v>30</v>
      </c>
      <c r="F445">
        <v>0.7</v>
      </c>
    </row>
    <row r="446" spans="1:6">
      <c r="A446" t="s">
        <v>12</v>
      </c>
      <c r="B446">
        <v>1962</v>
      </c>
      <c r="C446" t="s">
        <v>13</v>
      </c>
      <c r="D446" s="5">
        <v>22647</v>
      </c>
      <c r="E446">
        <v>30</v>
      </c>
      <c r="F446">
        <v>0.7</v>
      </c>
    </row>
    <row r="447" spans="1:6" hidden="1">
      <c r="A447" t="s">
        <v>12</v>
      </c>
      <c r="B447">
        <v>1962</v>
      </c>
      <c r="C447" t="s">
        <v>14</v>
      </c>
      <c r="D447" s="5">
        <v>22678</v>
      </c>
      <c r="E447">
        <v>30.1</v>
      </c>
      <c r="F447">
        <v>1</v>
      </c>
    </row>
    <row r="448" spans="1:6" hidden="1">
      <c r="A448" t="s">
        <v>12</v>
      </c>
      <c r="B448">
        <v>1962</v>
      </c>
      <c r="C448" t="s">
        <v>15</v>
      </c>
      <c r="D448" s="5">
        <v>22706</v>
      </c>
      <c r="E448">
        <v>30.1</v>
      </c>
      <c r="F448">
        <v>1</v>
      </c>
    </row>
    <row r="449" spans="1:6" hidden="1">
      <c r="A449" t="s">
        <v>12</v>
      </c>
      <c r="B449">
        <v>1962</v>
      </c>
      <c r="C449" t="s">
        <v>16</v>
      </c>
      <c r="D449" s="5">
        <v>22737</v>
      </c>
      <c r="E449">
        <v>30.2</v>
      </c>
      <c r="F449">
        <v>1.3</v>
      </c>
    </row>
    <row r="450" spans="1:6" hidden="1">
      <c r="A450" t="s">
        <v>12</v>
      </c>
      <c r="B450">
        <v>1962</v>
      </c>
      <c r="C450" t="s">
        <v>17</v>
      </c>
      <c r="D450" s="5">
        <v>22767</v>
      </c>
      <c r="E450">
        <v>30.2</v>
      </c>
      <c r="F450">
        <v>1.3</v>
      </c>
    </row>
    <row r="451" spans="1:6" hidden="1">
      <c r="A451" t="s">
        <v>12</v>
      </c>
      <c r="B451">
        <v>1962</v>
      </c>
      <c r="C451" t="s">
        <v>18</v>
      </c>
      <c r="D451" s="5">
        <v>22798</v>
      </c>
      <c r="E451">
        <v>30.2</v>
      </c>
      <c r="F451">
        <v>1.3</v>
      </c>
    </row>
    <row r="452" spans="1:6" hidden="1">
      <c r="A452" t="s">
        <v>12</v>
      </c>
      <c r="B452">
        <v>1962</v>
      </c>
      <c r="C452" t="s">
        <v>19</v>
      </c>
      <c r="D452" s="5">
        <v>22828</v>
      </c>
      <c r="E452">
        <v>30.3</v>
      </c>
      <c r="F452">
        <v>1</v>
      </c>
    </row>
    <row r="453" spans="1:6" hidden="1">
      <c r="A453" t="s">
        <v>12</v>
      </c>
      <c r="B453">
        <v>1962</v>
      </c>
      <c r="C453" t="s">
        <v>20</v>
      </c>
      <c r="D453" s="5">
        <v>22859</v>
      </c>
      <c r="E453">
        <v>30.3</v>
      </c>
      <c r="F453">
        <v>1.3</v>
      </c>
    </row>
    <row r="454" spans="1:6" hidden="1">
      <c r="A454" t="s">
        <v>12</v>
      </c>
      <c r="B454">
        <v>1962</v>
      </c>
      <c r="C454" t="s">
        <v>21</v>
      </c>
      <c r="D454" s="5">
        <v>22890</v>
      </c>
      <c r="E454">
        <v>30.4</v>
      </c>
      <c r="F454">
        <v>1.3</v>
      </c>
    </row>
    <row r="455" spans="1:6" hidden="1">
      <c r="A455" t="s">
        <v>12</v>
      </c>
      <c r="B455">
        <v>1962</v>
      </c>
      <c r="C455" t="s">
        <v>22</v>
      </c>
      <c r="D455" s="5">
        <v>22920</v>
      </c>
      <c r="E455">
        <v>30.4</v>
      </c>
      <c r="F455">
        <v>1.3</v>
      </c>
    </row>
    <row r="456" spans="1:6" hidden="1">
      <c r="A456" t="s">
        <v>12</v>
      </c>
      <c r="B456">
        <v>1962</v>
      </c>
      <c r="C456" t="s">
        <v>23</v>
      </c>
      <c r="D456" s="5">
        <v>22951</v>
      </c>
      <c r="E456">
        <v>30.4</v>
      </c>
      <c r="F456">
        <v>1.3</v>
      </c>
    </row>
    <row r="457" spans="1:6" hidden="1">
      <c r="A457" t="s">
        <v>12</v>
      </c>
      <c r="B457">
        <v>1962</v>
      </c>
      <c r="C457" t="s">
        <v>24</v>
      </c>
      <c r="D457" s="5">
        <v>22981</v>
      </c>
      <c r="E457">
        <v>30.4</v>
      </c>
      <c r="F457">
        <v>1.3</v>
      </c>
    </row>
    <row r="458" spans="1:6">
      <c r="A458" t="s">
        <v>12</v>
      </c>
      <c r="B458">
        <v>1963</v>
      </c>
      <c r="C458" t="s">
        <v>13</v>
      </c>
      <c r="D458" s="5">
        <v>23012</v>
      </c>
      <c r="E458">
        <v>30.4</v>
      </c>
      <c r="F458">
        <v>1.3</v>
      </c>
    </row>
    <row r="459" spans="1:6" hidden="1">
      <c r="A459" t="s">
        <v>12</v>
      </c>
      <c r="B459">
        <v>1963</v>
      </c>
      <c r="C459" t="s">
        <v>14</v>
      </c>
      <c r="D459" s="5">
        <v>23043</v>
      </c>
      <c r="E459">
        <v>30.4</v>
      </c>
      <c r="F459">
        <v>1</v>
      </c>
    </row>
    <row r="460" spans="1:6" hidden="1">
      <c r="A460" t="s">
        <v>12</v>
      </c>
      <c r="B460">
        <v>1963</v>
      </c>
      <c r="C460" t="s">
        <v>15</v>
      </c>
      <c r="D460" s="5">
        <v>23071</v>
      </c>
      <c r="E460">
        <v>30.5</v>
      </c>
      <c r="F460">
        <v>1.3</v>
      </c>
    </row>
    <row r="461" spans="1:6" hidden="1">
      <c r="A461" t="s">
        <v>12</v>
      </c>
      <c r="B461">
        <v>1963</v>
      </c>
      <c r="C461" t="s">
        <v>16</v>
      </c>
      <c r="D461" s="5">
        <v>23102</v>
      </c>
      <c r="E461">
        <v>30.5</v>
      </c>
      <c r="F461">
        <v>1</v>
      </c>
    </row>
    <row r="462" spans="1:6" hidden="1">
      <c r="A462" t="s">
        <v>12</v>
      </c>
      <c r="B462">
        <v>1963</v>
      </c>
      <c r="C462" t="s">
        <v>17</v>
      </c>
      <c r="D462" s="5">
        <v>23132</v>
      </c>
      <c r="E462">
        <v>30.5</v>
      </c>
      <c r="F462">
        <v>1</v>
      </c>
    </row>
    <row r="463" spans="1:6" hidden="1">
      <c r="A463" t="s">
        <v>12</v>
      </c>
      <c r="B463">
        <v>1963</v>
      </c>
      <c r="C463" t="s">
        <v>18</v>
      </c>
      <c r="D463" s="5">
        <v>23163</v>
      </c>
      <c r="E463">
        <v>30.6</v>
      </c>
      <c r="F463">
        <v>1.3</v>
      </c>
    </row>
    <row r="464" spans="1:6" hidden="1">
      <c r="A464" t="s">
        <v>12</v>
      </c>
      <c r="B464">
        <v>1963</v>
      </c>
      <c r="C464" t="s">
        <v>19</v>
      </c>
      <c r="D464" s="5">
        <v>23193</v>
      </c>
      <c r="E464">
        <v>30.7</v>
      </c>
      <c r="F464">
        <v>1.3</v>
      </c>
    </row>
    <row r="465" spans="1:6" hidden="1">
      <c r="A465" t="s">
        <v>12</v>
      </c>
      <c r="B465">
        <v>1963</v>
      </c>
      <c r="C465" t="s">
        <v>20</v>
      </c>
      <c r="D465" s="5">
        <v>23224</v>
      </c>
      <c r="E465">
        <v>30.7</v>
      </c>
      <c r="F465">
        <v>1.3</v>
      </c>
    </row>
    <row r="466" spans="1:6" hidden="1">
      <c r="A466" t="s">
        <v>12</v>
      </c>
      <c r="B466">
        <v>1963</v>
      </c>
      <c r="C466" t="s">
        <v>21</v>
      </c>
      <c r="D466" s="5">
        <v>23255</v>
      </c>
      <c r="E466">
        <v>30.7</v>
      </c>
      <c r="F466">
        <v>1</v>
      </c>
    </row>
    <row r="467" spans="1:6" hidden="1">
      <c r="A467" t="s">
        <v>12</v>
      </c>
      <c r="B467">
        <v>1963</v>
      </c>
      <c r="C467" t="s">
        <v>22</v>
      </c>
      <c r="D467" s="5">
        <v>23285</v>
      </c>
      <c r="E467">
        <v>30.8</v>
      </c>
      <c r="F467">
        <v>1.3</v>
      </c>
    </row>
    <row r="468" spans="1:6" hidden="1">
      <c r="A468" t="s">
        <v>12</v>
      </c>
      <c r="B468">
        <v>1963</v>
      </c>
      <c r="C468" t="s">
        <v>23</v>
      </c>
      <c r="D468" s="5">
        <v>23316</v>
      </c>
      <c r="E468">
        <v>30.8</v>
      </c>
      <c r="F468">
        <v>1.3</v>
      </c>
    </row>
    <row r="469" spans="1:6" hidden="1">
      <c r="A469" t="s">
        <v>12</v>
      </c>
      <c r="B469">
        <v>1963</v>
      </c>
      <c r="C469" t="s">
        <v>24</v>
      </c>
      <c r="D469" s="5">
        <v>23346</v>
      </c>
      <c r="E469">
        <v>30.9</v>
      </c>
      <c r="F469">
        <v>1.6</v>
      </c>
    </row>
    <row r="470" spans="1:6">
      <c r="A470" t="s">
        <v>12</v>
      </c>
      <c r="B470">
        <v>1964</v>
      </c>
      <c r="C470" t="s">
        <v>13</v>
      </c>
      <c r="D470" s="5">
        <v>23377</v>
      </c>
      <c r="E470">
        <v>30.9</v>
      </c>
      <c r="F470">
        <v>1.6</v>
      </c>
    </row>
    <row r="471" spans="1:6" hidden="1">
      <c r="A471" t="s">
        <v>12</v>
      </c>
      <c r="B471">
        <v>1964</v>
      </c>
      <c r="C471" t="s">
        <v>14</v>
      </c>
      <c r="D471" s="5">
        <v>23408</v>
      </c>
      <c r="E471">
        <v>30.9</v>
      </c>
      <c r="F471">
        <v>1.6</v>
      </c>
    </row>
    <row r="472" spans="1:6" hidden="1">
      <c r="A472" t="s">
        <v>12</v>
      </c>
      <c r="B472">
        <v>1964</v>
      </c>
      <c r="C472" t="s">
        <v>15</v>
      </c>
      <c r="D472" s="5">
        <v>23437</v>
      </c>
      <c r="E472">
        <v>30.9</v>
      </c>
      <c r="F472">
        <v>1.3</v>
      </c>
    </row>
    <row r="473" spans="1:6" hidden="1">
      <c r="A473" t="s">
        <v>12</v>
      </c>
      <c r="B473">
        <v>1964</v>
      </c>
      <c r="C473" t="s">
        <v>16</v>
      </c>
      <c r="D473" s="5">
        <v>23468</v>
      </c>
      <c r="E473">
        <v>30.9</v>
      </c>
      <c r="F473">
        <v>1.3</v>
      </c>
    </row>
    <row r="474" spans="1:6" hidden="1">
      <c r="A474" t="s">
        <v>12</v>
      </c>
      <c r="B474">
        <v>1964</v>
      </c>
      <c r="C474" t="s">
        <v>17</v>
      </c>
      <c r="D474" s="5">
        <v>23498</v>
      </c>
      <c r="E474">
        <v>30.9</v>
      </c>
      <c r="F474">
        <v>1.3</v>
      </c>
    </row>
    <row r="475" spans="1:6" hidden="1">
      <c r="A475" t="s">
        <v>12</v>
      </c>
      <c r="B475">
        <v>1964</v>
      </c>
      <c r="C475" t="s">
        <v>18</v>
      </c>
      <c r="D475" s="5">
        <v>23529</v>
      </c>
      <c r="E475">
        <v>31</v>
      </c>
      <c r="F475">
        <v>1.3</v>
      </c>
    </row>
    <row r="476" spans="1:6" hidden="1">
      <c r="A476" t="s">
        <v>12</v>
      </c>
      <c r="B476">
        <v>1964</v>
      </c>
      <c r="C476" t="s">
        <v>19</v>
      </c>
      <c r="D476" s="5">
        <v>23559</v>
      </c>
      <c r="E476">
        <v>31.1</v>
      </c>
      <c r="F476">
        <v>1.3</v>
      </c>
    </row>
    <row r="477" spans="1:6" hidden="1">
      <c r="A477" t="s">
        <v>12</v>
      </c>
      <c r="B477">
        <v>1964</v>
      </c>
      <c r="C477" t="s">
        <v>20</v>
      </c>
      <c r="D477" s="5">
        <v>23590</v>
      </c>
      <c r="E477">
        <v>31</v>
      </c>
      <c r="F477">
        <v>1</v>
      </c>
    </row>
    <row r="478" spans="1:6" hidden="1">
      <c r="A478" t="s">
        <v>12</v>
      </c>
      <c r="B478">
        <v>1964</v>
      </c>
      <c r="C478" t="s">
        <v>21</v>
      </c>
      <c r="D478" s="5">
        <v>23621</v>
      </c>
      <c r="E478">
        <v>31.1</v>
      </c>
      <c r="F478">
        <v>1.3</v>
      </c>
    </row>
    <row r="479" spans="1:6" hidden="1">
      <c r="A479" t="s">
        <v>12</v>
      </c>
      <c r="B479">
        <v>1964</v>
      </c>
      <c r="C479" t="s">
        <v>22</v>
      </c>
      <c r="D479" s="5">
        <v>23651</v>
      </c>
      <c r="E479">
        <v>31.1</v>
      </c>
      <c r="F479">
        <v>1</v>
      </c>
    </row>
    <row r="480" spans="1:6" hidden="1">
      <c r="A480" t="s">
        <v>12</v>
      </c>
      <c r="B480">
        <v>1964</v>
      </c>
      <c r="C480" t="s">
        <v>23</v>
      </c>
      <c r="D480" s="5">
        <v>23682</v>
      </c>
      <c r="E480">
        <v>31.2</v>
      </c>
      <c r="F480">
        <v>1.3</v>
      </c>
    </row>
    <row r="481" spans="1:6" hidden="1">
      <c r="A481" t="s">
        <v>12</v>
      </c>
      <c r="B481">
        <v>1964</v>
      </c>
      <c r="C481" t="s">
        <v>24</v>
      </c>
      <c r="D481" s="5">
        <v>23712</v>
      </c>
      <c r="E481">
        <v>31.2</v>
      </c>
      <c r="F481">
        <v>1</v>
      </c>
    </row>
    <row r="482" spans="1:6">
      <c r="A482" t="s">
        <v>12</v>
      </c>
      <c r="B482">
        <v>1965</v>
      </c>
      <c r="C482" t="s">
        <v>13</v>
      </c>
      <c r="D482" s="5">
        <v>23743</v>
      </c>
      <c r="E482">
        <v>31.2</v>
      </c>
      <c r="F482">
        <v>1</v>
      </c>
    </row>
    <row r="483" spans="1:6" hidden="1">
      <c r="A483" t="s">
        <v>12</v>
      </c>
      <c r="B483">
        <v>1965</v>
      </c>
      <c r="C483" t="s">
        <v>14</v>
      </c>
      <c r="D483" s="5">
        <v>23774</v>
      </c>
      <c r="E483">
        <v>31.2</v>
      </c>
      <c r="F483">
        <v>1</v>
      </c>
    </row>
    <row r="484" spans="1:6" hidden="1">
      <c r="A484" t="s">
        <v>12</v>
      </c>
      <c r="B484">
        <v>1965</v>
      </c>
      <c r="C484" t="s">
        <v>15</v>
      </c>
      <c r="D484" s="5">
        <v>23802</v>
      </c>
      <c r="E484">
        <v>31.3</v>
      </c>
      <c r="F484">
        <v>1.3</v>
      </c>
    </row>
    <row r="485" spans="1:6" hidden="1">
      <c r="A485" t="s">
        <v>12</v>
      </c>
      <c r="B485">
        <v>1965</v>
      </c>
      <c r="C485" t="s">
        <v>16</v>
      </c>
      <c r="D485" s="5">
        <v>23833</v>
      </c>
      <c r="E485">
        <v>31.4</v>
      </c>
      <c r="F485">
        <v>1.6</v>
      </c>
    </row>
    <row r="486" spans="1:6" hidden="1">
      <c r="A486" t="s">
        <v>12</v>
      </c>
      <c r="B486">
        <v>1965</v>
      </c>
      <c r="C486" t="s">
        <v>17</v>
      </c>
      <c r="D486" s="5">
        <v>23863</v>
      </c>
      <c r="E486">
        <v>31.4</v>
      </c>
      <c r="F486">
        <v>1.6</v>
      </c>
    </row>
    <row r="487" spans="1:6" hidden="1">
      <c r="A487" t="s">
        <v>12</v>
      </c>
      <c r="B487">
        <v>1965</v>
      </c>
      <c r="C487" t="s">
        <v>18</v>
      </c>
      <c r="D487" s="5">
        <v>23894</v>
      </c>
      <c r="E487">
        <v>31.6</v>
      </c>
      <c r="F487">
        <v>1.9</v>
      </c>
    </row>
    <row r="488" spans="1:6" hidden="1">
      <c r="A488" t="s">
        <v>12</v>
      </c>
      <c r="B488">
        <v>1965</v>
      </c>
      <c r="C488" t="s">
        <v>19</v>
      </c>
      <c r="D488" s="5">
        <v>23924</v>
      </c>
      <c r="E488">
        <v>31.6</v>
      </c>
      <c r="F488">
        <v>1.6</v>
      </c>
    </row>
    <row r="489" spans="1:6" hidden="1">
      <c r="A489" t="s">
        <v>12</v>
      </c>
      <c r="B489">
        <v>1965</v>
      </c>
      <c r="C489" t="s">
        <v>20</v>
      </c>
      <c r="D489" s="5">
        <v>23955</v>
      </c>
      <c r="E489">
        <v>31.6</v>
      </c>
      <c r="F489">
        <v>1.9</v>
      </c>
    </row>
    <row r="490" spans="1:6" hidden="1">
      <c r="A490" t="s">
        <v>12</v>
      </c>
      <c r="B490">
        <v>1965</v>
      </c>
      <c r="C490" t="s">
        <v>21</v>
      </c>
      <c r="D490" s="5">
        <v>23986</v>
      </c>
      <c r="E490">
        <v>31.6</v>
      </c>
      <c r="F490">
        <v>1.6</v>
      </c>
    </row>
    <row r="491" spans="1:6" hidden="1">
      <c r="A491" t="s">
        <v>12</v>
      </c>
      <c r="B491">
        <v>1965</v>
      </c>
      <c r="C491" t="s">
        <v>22</v>
      </c>
      <c r="D491" s="5">
        <v>24016</v>
      </c>
      <c r="E491">
        <v>31.7</v>
      </c>
      <c r="F491">
        <v>1.9</v>
      </c>
    </row>
    <row r="492" spans="1:6" hidden="1">
      <c r="A492" t="s">
        <v>12</v>
      </c>
      <c r="B492">
        <v>1965</v>
      </c>
      <c r="C492" t="s">
        <v>23</v>
      </c>
      <c r="D492" s="5">
        <v>24047</v>
      </c>
      <c r="E492">
        <v>31.7</v>
      </c>
      <c r="F492">
        <v>1.6</v>
      </c>
    </row>
    <row r="493" spans="1:6" hidden="1">
      <c r="A493" t="s">
        <v>12</v>
      </c>
      <c r="B493">
        <v>1965</v>
      </c>
      <c r="C493" t="s">
        <v>24</v>
      </c>
      <c r="D493" s="5">
        <v>24077</v>
      </c>
      <c r="E493">
        <v>31.8</v>
      </c>
      <c r="F493">
        <v>1.9</v>
      </c>
    </row>
    <row r="494" spans="1:6">
      <c r="A494" t="s">
        <v>12</v>
      </c>
      <c r="B494">
        <v>1966</v>
      </c>
      <c r="C494" t="s">
        <v>13</v>
      </c>
      <c r="D494" s="5">
        <v>24108</v>
      </c>
      <c r="E494">
        <v>31.8</v>
      </c>
      <c r="F494">
        <v>1.9</v>
      </c>
    </row>
    <row r="495" spans="1:6" hidden="1">
      <c r="A495" t="s">
        <v>12</v>
      </c>
      <c r="B495">
        <v>1966</v>
      </c>
      <c r="C495" t="s">
        <v>14</v>
      </c>
      <c r="D495" s="5">
        <v>24139</v>
      </c>
      <c r="E495">
        <v>32</v>
      </c>
      <c r="F495">
        <v>2.6</v>
      </c>
    </row>
    <row r="496" spans="1:6" hidden="1">
      <c r="A496" t="s">
        <v>12</v>
      </c>
      <c r="B496">
        <v>1966</v>
      </c>
      <c r="C496" t="s">
        <v>15</v>
      </c>
      <c r="D496" s="5">
        <v>24167</v>
      </c>
      <c r="E496">
        <v>32.1</v>
      </c>
      <c r="F496">
        <v>2.6</v>
      </c>
    </row>
    <row r="497" spans="1:6" hidden="1">
      <c r="A497" t="s">
        <v>12</v>
      </c>
      <c r="B497">
        <v>1966</v>
      </c>
      <c r="C497" t="s">
        <v>16</v>
      </c>
      <c r="D497" s="5">
        <v>24198</v>
      </c>
      <c r="E497">
        <v>32.299999999999997</v>
      </c>
      <c r="F497">
        <v>2.9</v>
      </c>
    </row>
    <row r="498" spans="1:6" hidden="1">
      <c r="A498" t="s">
        <v>12</v>
      </c>
      <c r="B498">
        <v>1966</v>
      </c>
      <c r="C498" t="s">
        <v>17</v>
      </c>
      <c r="D498" s="5">
        <v>24228</v>
      </c>
      <c r="E498">
        <v>32.299999999999997</v>
      </c>
      <c r="F498">
        <v>2.9</v>
      </c>
    </row>
    <row r="499" spans="1:6" hidden="1">
      <c r="A499" t="s">
        <v>12</v>
      </c>
      <c r="B499">
        <v>1966</v>
      </c>
      <c r="C499" t="s">
        <v>18</v>
      </c>
      <c r="D499" s="5">
        <v>24259</v>
      </c>
      <c r="E499">
        <v>32.4</v>
      </c>
      <c r="F499">
        <v>2.5</v>
      </c>
    </row>
    <row r="500" spans="1:6" hidden="1">
      <c r="A500" t="s">
        <v>12</v>
      </c>
      <c r="B500">
        <v>1966</v>
      </c>
      <c r="C500" t="s">
        <v>19</v>
      </c>
      <c r="D500" s="5">
        <v>24289</v>
      </c>
      <c r="E500">
        <v>32.5</v>
      </c>
      <c r="F500">
        <v>2.8</v>
      </c>
    </row>
    <row r="501" spans="1:6" hidden="1">
      <c r="A501" t="s">
        <v>12</v>
      </c>
      <c r="B501">
        <v>1966</v>
      </c>
      <c r="C501" t="s">
        <v>20</v>
      </c>
      <c r="D501" s="5">
        <v>24320</v>
      </c>
      <c r="E501">
        <v>32.700000000000003</v>
      </c>
      <c r="F501">
        <v>3.5</v>
      </c>
    </row>
    <row r="502" spans="1:6" hidden="1">
      <c r="A502" t="s">
        <v>12</v>
      </c>
      <c r="B502">
        <v>1966</v>
      </c>
      <c r="C502" t="s">
        <v>21</v>
      </c>
      <c r="D502" s="5">
        <v>24351</v>
      </c>
      <c r="E502">
        <v>32.700000000000003</v>
      </c>
      <c r="F502">
        <v>3.5</v>
      </c>
    </row>
    <row r="503" spans="1:6" hidden="1">
      <c r="A503" t="s">
        <v>12</v>
      </c>
      <c r="B503">
        <v>1966</v>
      </c>
      <c r="C503" t="s">
        <v>22</v>
      </c>
      <c r="D503" s="5">
        <v>24381</v>
      </c>
      <c r="E503">
        <v>32.9</v>
      </c>
      <c r="F503">
        <v>3.8</v>
      </c>
    </row>
    <row r="504" spans="1:6" hidden="1">
      <c r="A504" t="s">
        <v>12</v>
      </c>
      <c r="B504">
        <v>1966</v>
      </c>
      <c r="C504" t="s">
        <v>23</v>
      </c>
      <c r="D504" s="5">
        <v>24412</v>
      </c>
      <c r="E504">
        <v>32.9</v>
      </c>
      <c r="F504">
        <v>3.8</v>
      </c>
    </row>
    <row r="505" spans="1:6" hidden="1">
      <c r="A505" t="s">
        <v>12</v>
      </c>
      <c r="B505">
        <v>1966</v>
      </c>
      <c r="C505" t="s">
        <v>24</v>
      </c>
      <c r="D505" s="5">
        <v>24442</v>
      </c>
      <c r="E505">
        <v>32.9</v>
      </c>
      <c r="F505">
        <v>3.5</v>
      </c>
    </row>
    <row r="506" spans="1:6">
      <c r="A506" t="s">
        <v>12</v>
      </c>
      <c r="B506">
        <v>1967</v>
      </c>
      <c r="C506" t="s">
        <v>13</v>
      </c>
      <c r="D506" s="5">
        <v>24473</v>
      </c>
      <c r="E506">
        <v>32.9</v>
      </c>
      <c r="F506">
        <v>3.5</v>
      </c>
    </row>
    <row r="507" spans="1:6" hidden="1">
      <c r="A507" t="s">
        <v>12</v>
      </c>
      <c r="B507">
        <v>1967</v>
      </c>
      <c r="C507" t="s">
        <v>14</v>
      </c>
      <c r="D507" s="5">
        <v>24504</v>
      </c>
      <c r="E507">
        <v>32.9</v>
      </c>
      <c r="F507">
        <v>2.8</v>
      </c>
    </row>
    <row r="508" spans="1:6" hidden="1">
      <c r="A508" t="s">
        <v>12</v>
      </c>
      <c r="B508">
        <v>1967</v>
      </c>
      <c r="C508" t="s">
        <v>15</v>
      </c>
      <c r="D508" s="5">
        <v>24532</v>
      </c>
      <c r="E508">
        <v>33</v>
      </c>
      <c r="F508">
        <v>2.8</v>
      </c>
    </row>
    <row r="509" spans="1:6" hidden="1">
      <c r="A509" t="s">
        <v>12</v>
      </c>
      <c r="B509">
        <v>1967</v>
      </c>
      <c r="C509" t="s">
        <v>16</v>
      </c>
      <c r="D509" s="5">
        <v>24563</v>
      </c>
      <c r="E509">
        <v>33.1</v>
      </c>
      <c r="F509">
        <v>2.5</v>
      </c>
    </row>
    <row r="510" spans="1:6" hidden="1">
      <c r="A510" t="s">
        <v>12</v>
      </c>
      <c r="B510">
        <v>1967</v>
      </c>
      <c r="C510" t="s">
        <v>17</v>
      </c>
      <c r="D510" s="5">
        <v>24593</v>
      </c>
      <c r="E510">
        <v>33.200000000000003</v>
      </c>
      <c r="F510">
        <v>2.8</v>
      </c>
    </row>
    <row r="511" spans="1:6" hidden="1">
      <c r="A511" t="s">
        <v>12</v>
      </c>
      <c r="B511">
        <v>1967</v>
      </c>
      <c r="C511" t="s">
        <v>18</v>
      </c>
      <c r="D511" s="5">
        <v>24624</v>
      </c>
      <c r="E511">
        <v>33.299999999999997</v>
      </c>
      <c r="F511">
        <v>2.8</v>
      </c>
    </row>
    <row r="512" spans="1:6" hidden="1">
      <c r="A512" t="s">
        <v>12</v>
      </c>
      <c r="B512">
        <v>1967</v>
      </c>
      <c r="C512" t="s">
        <v>19</v>
      </c>
      <c r="D512" s="5">
        <v>24654</v>
      </c>
      <c r="E512">
        <v>33.4</v>
      </c>
      <c r="F512">
        <v>2.8</v>
      </c>
    </row>
    <row r="513" spans="1:6" hidden="1">
      <c r="A513" t="s">
        <v>12</v>
      </c>
      <c r="B513">
        <v>1967</v>
      </c>
      <c r="C513" t="s">
        <v>20</v>
      </c>
      <c r="D513" s="5">
        <v>24685</v>
      </c>
      <c r="E513">
        <v>33.5</v>
      </c>
      <c r="F513">
        <v>2.4</v>
      </c>
    </row>
    <row r="514" spans="1:6" hidden="1">
      <c r="A514" t="s">
        <v>12</v>
      </c>
      <c r="B514">
        <v>1967</v>
      </c>
      <c r="C514" t="s">
        <v>21</v>
      </c>
      <c r="D514" s="5">
        <v>24716</v>
      </c>
      <c r="E514">
        <v>33.6</v>
      </c>
      <c r="F514">
        <v>2.8</v>
      </c>
    </row>
    <row r="515" spans="1:6" hidden="1">
      <c r="A515" t="s">
        <v>12</v>
      </c>
      <c r="B515">
        <v>1967</v>
      </c>
      <c r="C515" t="s">
        <v>22</v>
      </c>
      <c r="D515" s="5">
        <v>24746</v>
      </c>
      <c r="E515">
        <v>33.700000000000003</v>
      </c>
      <c r="F515">
        <v>2.4</v>
      </c>
    </row>
    <row r="516" spans="1:6" hidden="1">
      <c r="A516" t="s">
        <v>12</v>
      </c>
      <c r="B516">
        <v>1967</v>
      </c>
      <c r="C516" t="s">
        <v>23</v>
      </c>
      <c r="D516" s="5">
        <v>24777</v>
      </c>
      <c r="E516">
        <v>33.799999999999997</v>
      </c>
      <c r="F516">
        <v>2.7</v>
      </c>
    </row>
    <row r="517" spans="1:6" hidden="1">
      <c r="A517" t="s">
        <v>12</v>
      </c>
      <c r="B517">
        <v>1967</v>
      </c>
      <c r="C517" t="s">
        <v>24</v>
      </c>
      <c r="D517" s="5">
        <v>24807</v>
      </c>
      <c r="E517">
        <v>33.9</v>
      </c>
      <c r="F517">
        <v>3</v>
      </c>
    </row>
    <row r="518" spans="1:6">
      <c r="A518" t="s">
        <v>12</v>
      </c>
      <c r="B518">
        <v>1968</v>
      </c>
      <c r="C518" t="s">
        <v>13</v>
      </c>
      <c r="D518" s="5">
        <v>24838</v>
      </c>
      <c r="E518">
        <v>34.1</v>
      </c>
      <c r="F518">
        <v>3.6</v>
      </c>
    </row>
    <row r="519" spans="1:6" hidden="1">
      <c r="A519" t="s">
        <v>12</v>
      </c>
      <c r="B519">
        <v>1968</v>
      </c>
      <c r="C519" t="s">
        <v>14</v>
      </c>
      <c r="D519" s="5">
        <v>24869</v>
      </c>
      <c r="E519">
        <v>34.200000000000003</v>
      </c>
      <c r="F519">
        <v>4</v>
      </c>
    </row>
    <row r="520" spans="1:6" hidden="1">
      <c r="A520" t="s">
        <v>12</v>
      </c>
      <c r="B520">
        <v>1968</v>
      </c>
      <c r="C520" t="s">
        <v>15</v>
      </c>
      <c r="D520" s="5">
        <v>24898</v>
      </c>
      <c r="E520">
        <v>34.299999999999997</v>
      </c>
      <c r="F520">
        <v>3.9</v>
      </c>
    </row>
    <row r="521" spans="1:6" hidden="1">
      <c r="A521" t="s">
        <v>12</v>
      </c>
      <c r="B521">
        <v>1968</v>
      </c>
      <c r="C521" t="s">
        <v>16</v>
      </c>
      <c r="D521" s="5">
        <v>24929</v>
      </c>
      <c r="E521">
        <v>34.4</v>
      </c>
      <c r="F521">
        <v>3.9</v>
      </c>
    </row>
    <row r="522" spans="1:6" hidden="1">
      <c r="A522" t="s">
        <v>12</v>
      </c>
      <c r="B522">
        <v>1968</v>
      </c>
      <c r="C522" t="s">
        <v>17</v>
      </c>
      <c r="D522" s="5">
        <v>24959</v>
      </c>
      <c r="E522">
        <v>34.5</v>
      </c>
      <c r="F522">
        <v>3.9</v>
      </c>
    </row>
    <row r="523" spans="1:6" hidden="1">
      <c r="A523" t="s">
        <v>12</v>
      </c>
      <c r="B523">
        <v>1968</v>
      </c>
      <c r="C523" t="s">
        <v>18</v>
      </c>
      <c r="D523" s="5">
        <v>24990</v>
      </c>
      <c r="E523">
        <v>34.700000000000003</v>
      </c>
      <c r="F523">
        <v>4.2</v>
      </c>
    </row>
    <row r="524" spans="1:6" hidden="1">
      <c r="A524" t="s">
        <v>12</v>
      </c>
      <c r="B524">
        <v>1968</v>
      </c>
      <c r="C524" t="s">
        <v>19</v>
      </c>
      <c r="D524" s="5">
        <v>25020</v>
      </c>
      <c r="E524">
        <v>34.9</v>
      </c>
      <c r="F524">
        <v>4.5</v>
      </c>
    </row>
    <row r="525" spans="1:6" hidden="1">
      <c r="A525" t="s">
        <v>12</v>
      </c>
      <c r="B525">
        <v>1968</v>
      </c>
      <c r="C525" t="s">
        <v>20</v>
      </c>
      <c r="D525" s="5">
        <v>25051</v>
      </c>
      <c r="E525">
        <v>35</v>
      </c>
      <c r="F525">
        <v>4.5</v>
      </c>
    </row>
    <row r="526" spans="1:6" hidden="1">
      <c r="A526" t="s">
        <v>12</v>
      </c>
      <c r="B526">
        <v>1968</v>
      </c>
      <c r="C526" t="s">
        <v>21</v>
      </c>
      <c r="D526" s="5">
        <v>25082</v>
      </c>
      <c r="E526">
        <v>35.1</v>
      </c>
      <c r="F526">
        <v>4.5</v>
      </c>
    </row>
    <row r="527" spans="1:6" hidden="1">
      <c r="A527" t="s">
        <v>12</v>
      </c>
      <c r="B527">
        <v>1968</v>
      </c>
      <c r="C527" t="s">
        <v>22</v>
      </c>
      <c r="D527" s="5">
        <v>25112</v>
      </c>
      <c r="E527">
        <v>35.299999999999997</v>
      </c>
      <c r="F527">
        <v>4.7</v>
      </c>
    </row>
    <row r="528" spans="1:6" hidden="1">
      <c r="A528" t="s">
        <v>12</v>
      </c>
      <c r="B528">
        <v>1968</v>
      </c>
      <c r="C528" t="s">
        <v>23</v>
      </c>
      <c r="D528" s="5">
        <v>25143</v>
      </c>
      <c r="E528">
        <v>35.4</v>
      </c>
      <c r="F528">
        <v>4.7</v>
      </c>
    </row>
    <row r="529" spans="1:6" hidden="1">
      <c r="A529" t="s">
        <v>12</v>
      </c>
      <c r="B529">
        <v>1968</v>
      </c>
      <c r="C529" t="s">
        <v>24</v>
      </c>
      <c r="D529" s="5">
        <v>25173</v>
      </c>
      <c r="E529">
        <v>35.5</v>
      </c>
      <c r="F529">
        <v>4.7</v>
      </c>
    </row>
    <row r="530" spans="1:6">
      <c r="A530" t="s">
        <v>12</v>
      </c>
      <c r="B530">
        <v>1969</v>
      </c>
      <c r="C530" t="s">
        <v>13</v>
      </c>
      <c r="D530" s="5">
        <v>25204</v>
      </c>
      <c r="E530">
        <v>35.6</v>
      </c>
      <c r="F530">
        <v>4.4000000000000004</v>
      </c>
    </row>
    <row r="531" spans="1:6" hidden="1">
      <c r="A531" t="s">
        <v>12</v>
      </c>
      <c r="B531">
        <v>1969</v>
      </c>
      <c r="C531" t="s">
        <v>14</v>
      </c>
      <c r="D531" s="5">
        <v>25235</v>
      </c>
      <c r="E531">
        <v>35.799999999999997</v>
      </c>
      <c r="F531">
        <v>4.7</v>
      </c>
    </row>
    <row r="532" spans="1:6" hidden="1">
      <c r="A532" t="s">
        <v>12</v>
      </c>
      <c r="B532">
        <v>1969</v>
      </c>
      <c r="C532" t="s">
        <v>15</v>
      </c>
      <c r="D532" s="5">
        <v>25263</v>
      </c>
      <c r="E532">
        <v>36.1</v>
      </c>
      <c r="F532">
        <v>5.2</v>
      </c>
    </row>
    <row r="533" spans="1:6" hidden="1">
      <c r="A533" t="s">
        <v>12</v>
      </c>
      <c r="B533">
        <v>1969</v>
      </c>
      <c r="C533" t="s">
        <v>16</v>
      </c>
      <c r="D533" s="5">
        <v>25294</v>
      </c>
      <c r="E533">
        <v>36.299999999999997</v>
      </c>
      <c r="F533">
        <v>5.5</v>
      </c>
    </row>
    <row r="534" spans="1:6" hidden="1">
      <c r="A534" t="s">
        <v>12</v>
      </c>
      <c r="B534">
        <v>1969</v>
      </c>
      <c r="C534" t="s">
        <v>17</v>
      </c>
      <c r="D534" s="5">
        <v>25324</v>
      </c>
      <c r="E534">
        <v>36.4</v>
      </c>
      <c r="F534">
        <v>5.5</v>
      </c>
    </row>
    <row r="535" spans="1:6" hidden="1">
      <c r="A535" t="s">
        <v>12</v>
      </c>
      <c r="B535">
        <v>1969</v>
      </c>
      <c r="C535" t="s">
        <v>18</v>
      </c>
      <c r="D535" s="5">
        <v>25355</v>
      </c>
      <c r="E535">
        <v>36.6</v>
      </c>
      <c r="F535">
        <v>5.5</v>
      </c>
    </row>
    <row r="536" spans="1:6" hidden="1">
      <c r="A536" t="s">
        <v>12</v>
      </c>
      <c r="B536">
        <v>1969</v>
      </c>
      <c r="C536" t="s">
        <v>19</v>
      </c>
      <c r="D536" s="5">
        <v>25385</v>
      </c>
      <c r="E536">
        <v>36.799999999999997</v>
      </c>
      <c r="F536">
        <v>5.4</v>
      </c>
    </row>
    <row r="537" spans="1:6" hidden="1">
      <c r="A537" t="s">
        <v>12</v>
      </c>
      <c r="B537">
        <v>1969</v>
      </c>
      <c r="C537" t="s">
        <v>20</v>
      </c>
      <c r="D537" s="5">
        <v>25416</v>
      </c>
      <c r="E537">
        <v>37</v>
      </c>
      <c r="F537">
        <v>5.7</v>
      </c>
    </row>
    <row r="538" spans="1:6" hidden="1">
      <c r="A538" t="s">
        <v>12</v>
      </c>
      <c r="B538">
        <v>1969</v>
      </c>
      <c r="C538" t="s">
        <v>21</v>
      </c>
      <c r="D538" s="5">
        <v>25447</v>
      </c>
      <c r="E538">
        <v>37.1</v>
      </c>
      <c r="F538">
        <v>5.7</v>
      </c>
    </row>
    <row r="539" spans="1:6" hidden="1">
      <c r="A539" t="s">
        <v>12</v>
      </c>
      <c r="B539">
        <v>1969</v>
      </c>
      <c r="C539" t="s">
        <v>22</v>
      </c>
      <c r="D539" s="5">
        <v>25477</v>
      </c>
      <c r="E539">
        <v>37.299999999999997</v>
      </c>
      <c r="F539">
        <v>5.7</v>
      </c>
    </row>
    <row r="540" spans="1:6" hidden="1">
      <c r="A540" t="s">
        <v>12</v>
      </c>
      <c r="B540">
        <v>1969</v>
      </c>
      <c r="C540" t="s">
        <v>23</v>
      </c>
      <c r="D540" s="5">
        <v>25508</v>
      </c>
      <c r="E540">
        <v>37.5</v>
      </c>
      <c r="F540">
        <v>5.9</v>
      </c>
    </row>
    <row r="541" spans="1:6" hidden="1">
      <c r="A541" t="s">
        <v>12</v>
      </c>
      <c r="B541">
        <v>1969</v>
      </c>
      <c r="C541" t="s">
        <v>24</v>
      </c>
      <c r="D541" s="5">
        <v>25538</v>
      </c>
      <c r="E541">
        <v>37.700000000000003</v>
      </c>
      <c r="F541">
        <v>6.2</v>
      </c>
    </row>
    <row r="542" spans="1:6">
      <c r="A542" t="s">
        <v>12</v>
      </c>
      <c r="B542">
        <v>1970</v>
      </c>
      <c r="C542" t="s">
        <v>13</v>
      </c>
      <c r="D542" s="5">
        <v>25569</v>
      </c>
      <c r="E542">
        <v>37.799999999999997</v>
      </c>
      <c r="F542">
        <v>6.2</v>
      </c>
    </row>
    <row r="543" spans="1:6" hidden="1">
      <c r="A543" t="s">
        <v>12</v>
      </c>
      <c r="B543">
        <v>1970</v>
      </c>
      <c r="C543" t="s">
        <v>14</v>
      </c>
      <c r="D543" s="5">
        <v>25600</v>
      </c>
      <c r="E543">
        <v>38</v>
      </c>
      <c r="F543">
        <v>6.1</v>
      </c>
    </row>
    <row r="544" spans="1:6" hidden="1">
      <c r="A544" t="s">
        <v>12</v>
      </c>
      <c r="B544">
        <v>1970</v>
      </c>
      <c r="C544" t="s">
        <v>15</v>
      </c>
      <c r="D544" s="5">
        <v>25628</v>
      </c>
      <c r="E544">
        <v>38.200000000000003</v>
      </c>
      <c r="F544">
        <v>5.8</v>
      </c>
    </row>
    <row r="545" spans="1:6" hidden="1">
      <c r="A545" t="s">
        <v>12</v>
      </c>
      <c r="B545">
        <v>1970</v>
      </c>
      <c r="C545" t="s">
        <v>16</v>
      </c>
      <c r="D545" s="5">
        <v>25659</v>
      </c>
      <c r="E545">
        <v>38.5</v>
      </c>
      <c r="F545">
        <v>6.1</v>
      </c>
    </row>
    <row r="546" spans="1:6" hidden="1">
      <c r="A546" t="s">
        <v>12</v>
      </c>
      <c r="B546">
        <v>1970</v>
      </c>
      <c r="C546" t="s">
        <v>17</v>
      </c>
      <c r="D546" s="5">
        <v>25689</v>
      </c>
      <c r="E546">
        <v>38.6</v>
      </c>
      <c r="F546">
        <v>6</v>
      </c>
    </row>
    <row r="547" spans="1:6" hidden="1">
      <c r="A547" t="s">
        <v>12</v>
      </c>
      <c r="B547">
        <v>1970</v>
      </c>
      <c r="C547" t="s">
        <v>18</v>
      </c>
      <c r="D547" s="5">
        <v>25720</v>
      </c>
      <c r="E547">
        <v>38.799999999999997</v>
      </c>
      <c r="F547">
        <v>6</v>
      </c>
    </row>
    <row r="548" spans="1:6" hidden="1">
      <c r="A548" t="s">
        <v>12</v>
      </c>
      <c r="B548">
        <v>1970</v>
      </c>
      <c r="C548" t="s">
        <v>19</v>
      </c>
      <c r="D548" s="5">
        <v>25750</v>
      </c>
      <c r="E548">
        <v>39</v>
      </c>
      <c r="F548">
        <v>6</v>
      </c>
    </row>
    <row r="549" spans="1:6" hidden="1">
      <c r="A549" t="s">
        <v>12</v>
      </c>
      <c r="B549">
        <v>1970</v>
      </c>
      <c r="C549" t="s">
        <v>20</v>
      </c>
      <c r="D549" s="5">
        <v>25781</v>
      </c>
      <c r="E549">
        <v>39</v>
      </c>
      <c r="F549">
        <v>5.4</v>
      </c>
    </row>
    <row r="550" spans="1:6" hidden="1">
      <c r="A550" t="s">
        <v>12</v>
      </c>
      <c r="B550">
        <v>1970</v>
      </c>
      <c r="C550" t="s">
        <v>21</v>
      </c>
      <c r="D550" s="5">
        <v>25812</v>
      </c>
      <c r="E550">
        <v>39.200000000000003</v>
      </c>
      <c r="F550">
        <v>5.7</v>
      </c>
    </row>
    <row r="551" spans="1:6" hidden="1">
      <c r="A551" t="s">
        <v>12</v>
      </c>
      <c r="B551">
        <v>1970</v>
      </c>
      <c r="C551" t="s">
        <v>22</v>
      </c>
      <c r="D551" s="5">
        <v>25842</v>
      </c>
      <c r="E551">
        <v>39.4</v>
      </c>
      <c r="F551">
        <v>5.6</v>
      </c>
    </row>
    <row r="552" spans="1:6" hidden="1">
      <c r="A552" t="s">
        <v>12</v>
      </c>
      <c r="B552">
        <v>1970</v>
      </c>
      <c r="C552" t="s">
        <v>23</v>
      </c>
      <c r="D552" s="5">
        <v>25873</v>
      </c>
      <c r="E552">
        <v>39.6</v>
      </c>
      <c r="F552">
        <v>5.6</v>
      </c>
    </row>
    <row r="553" spans="1:6" hidden="1">
      <c r="A553" t="s">
        <v>12</v>
      </c>
      <c r="B553">
        <v>1970</v>
      </c>
      <c r="C553" t="s">
        <v>24</v>
      </c>
      <c r="D553" s="5">
        <v>25903</v>
      </c>
      <c r="E553">
        <v>39.799999999999997</v>
      </c>
      <c r="F553">
        <v>5.6</v>
      </c>
    </row>
    <row r="554" spans="1:6">
      <c r="A554" t="s">
        <v>12</v>
      </c>
      <c r="B554">
        <v>1971</v>
      </c>
      <c r="C554" t="s">
        <v>13</v>
      </c>
      <c r="D554" s="5">
        <v>25934</v>
      </c>
      <c r="E554">
        <v>39.799999999999997</v>
      </c>
      <c r="F554">
        <v>5.3</v>
      </c>
    </row>
    <row r="555" spans="1:6" hidden="1">
      <c r="A555" t="s">
        <v>12</v>
      </c>
      <c r="B555">
        <v>1971</v>
      </c>
      <c r="C555" t="s">
        <v>14</v>
      </c>
      <c r="D555" s="5">
        <v>25965</v>
      </c>
      <c r="E555">
        <v>39.9</v>
      </c>
      <c r="F555">
        <v>5</v>
      </c>
    </row>
    <row r="556" spans="1:6" hidden="1">
      <c r="A556" t="s">
        <v>12</v>
      </c>
      <c r="B556">
        <v>1971</v>
      </c>
      <c r="C556" t="s">
        <v>15</v>
      </c>
      <c r="D556" s="5">
        <v>25993</v>
      </c>
      <c r="E556">
        <v>40</v>
      </c>
      <c r="F556">
        <v>4.7</v>
      </c>
    </row>
    <row r="557" spans="1:6" hidden="1">
      <c r="A557" t="s">
        <v>12</v>
      </c>
      <c r="B557">
        <v>1971</v>
      </c>
      <c r="C557" t="s">
        <v>16</v>
      </c>
      <c r="D557" s="5">
        <v>26024</v>
      </c>
      <c r="E557">
        <v>40.1</v>
      </c>
      <c r="F557">
        <v>4.2</v>
      </c>
    </row>
    <row r="558" spans="1:6" hidden="1">
      <c r="A558" t="s">
        <v>12</v>
      </c>
      <c r="B558">
        <v>1971</v>
      </c>
      <c r="C558" t="s">
        <v>17</v>
      </c>
      <c r="D558" s="5">
        <v>26054</v>
      </c>
      <c r="E558">
        <v>40.299999999999997</v>
      </c>
      <c r="F558">
        <v>4.4000000000000004</v>
      </c>
    </row>
    <row r="559" spans="1:6" hidden="1">
      <c r="A559" t="s">
        <v>12</v>
      </c>
      <c r="B559">
        <v>1971</v>
      </c>
      <c r="C559" t="s">
        <v>18</v>
      </c>
      <c r="D559" s="5">
        <v>26085</v>
      </c>
      <c r="E559">
        <v>40.6</v>
      </c>
      <c r="F559">
        <v>4.5999999999999996</v>
      </c>
    </row>
    <row r="560" spans="1:6" hidden="1">
      <c r="A560" t="s">
        <v>12</v>
      </c>
      <c r="B560">
        <v>1971</v>
      </c>
      <c r="C560" t="s">
        <v>19</v>
      </c>
      <c r="D560" s="5">
        <v>26115</v>
      </c>
      <c r="E560">
        <v>40.700000000000003</v>
      </c>
      <c r="F560">
        <v>4.4000000000000004</v>
      </c>
    </row>
    <row r="561" spans="1:6" hidden="1">
      <c r="A561" t="s">
        <v>12</v>
      </c>
      <c r="B561">
        <v>1971</v>
      </c>
      <c r="C561" t="s">
        <v>20</v>
      </c>
      <c r="D561" s="5">
        <v>26146</v>
      </c>
      <c r="E561">
        <v>40.799999999999997</v>
      </c>
      <c r="F561">
        <v>4.5999999999999996</v>
      </c>
    </row>
    <row r="562" spans="1:6" hidden="1">
      <c r="A562" t="s">
        <v>12</v>
      </c>
      <c r="B562">
        <v>1971</v>
      </c>
      <c r="C562" t="s">
        <v>21</v>
      </c>
      <c r="D562" s="5">
        <v>26177</v>
      </c>
      <c r="E562">
        <v>40.799999999999997</v>
      </c>
      <c r="F562">
        <v>4.0999999999999996</v>
      </c>
    </row>
    <row r="563" spans="1:6" hidden="1">
      <c r="A563" t="s">
        <v>12</v>
      </c>
      <c r="B563">
        <v>1971</v>
      </c>
      <c r="C563" t="s">
        <v>22</v>
      </c>
      <c r="D563" s="5">
        <v>26207</v>
      </c>
      <c r="E563">
        <v>40.9</v>
      </c>
      <c r="F563">
        <v>3.8</v>
      </c>
    </row>
    <row r="564" spans="1:6" hidden="1">
      <c r="A564" t="s">
        <v>12</v>
      </c>
      <c r="B564">
        <v>1971</v>
      </c>
      <c r="C564" t="s">
        <v>23</v>
      </c>
      <c r="D564" s="5">
        <v>26238</v>
      </c>
      <c r="E564">
        <v>40.9</v>
      </c>
      <c r="F564">
        <v>3.3</v>
      </c>
    </row>
    <row r="565" spans="1:6" hidden="1">
      <c r="A565" t="s">
        <v>12</v>
      </c>
      <c r="B565">
        <v>1971</v>
      </c>
      <c r="C565" t="s">
        <v>24</v>
      </c>
      <c r="D565" s="5">
        <v>26268</v>
      </c>
      <c r="E565">
        <v>41.1</v>
      </c>
      <c r="F565">
        <v>3.3</v>
      </c>
    </row>
    <row r="566" spans="1:6">
      <c r="A566" t="s">
        <v>12</v>
      </c>
      <c r="B566">
        <v>1972</v>
      </c>
      <c r="C566" t="s">
        <v>13</v>
      </c>
      <c r="D566" s="5">
        <v>26299</v>
      </c>
      <c r="E566">
        <v>41.1</v>
      </c>
      <c r="F566">
        <v>3.3</v>
      </c>
    </row>
    <row r="567" spans="1:6" hidden="1">
      <c r="A567" t="s">
        <v>12</v>
      </c>
      <c r="B567">
        <v>1972</v>
      </c>
      <c r="C567" t="s">
        <v>14</v>
      </c>
      <c r="D567" s="5">
        <v>26330</v>
      </c>
      <c r="E567">
        <v>41.3</v>
      </c>
      <c r="F567">
        <v>3.5</v>
      </c>
    </row>
    <row r="568" spans="1:6" hidden="1">
      <c r="A568" t="s">
        <v>12</v>
      </c>
      <c r="B568">
        <v>1972</v>
      </c>
      <c r="C568" t="s">
        <v>15</v>
      </c>
      <c r="D568" s="5">
        <v>26359</v>
      </c>
      <c r="E568">
        <v>41.4</v>
      </c>
      <c r="F568">
        <v>3.5</v>
      </c>
    </row>
    <row r="569" spans="1:6" hidden="1">
      <c r="A569" t="s">
        <v>12</v>
      </c>
      <c r="B569">
        <v>1972</v>
      </c>
      <c r="C569" t="s">
        <v>16</v>
      </c>
      <c r="D569" s="5">
        <v>26390</v>
      </c>
      <c r="E569">
        <v>41.5</v>
      </c>
      <c r="F569">
        <v>3.5</v>
      </c>
    </row>
    <row r="570" spans="1:6" hidden="1">
      <c r="A570" t="s">
        <v>12</v>
      </c>
      <c r="B570">
        <v>1972</v>
      </c>
      <c r="C570" t="s">
        <v>17</v>
      </c>
      <c r="D570" s="5">
        <v>26420</v>
      </c>
      <c r="E570">
        <v>41.6</v>
      </c>
      <c r="F570">
        <v>3.2</v>
      </c>
    </row>
    <row r="571" spans="1:6" hidden="1">
      <c r="A571" t="s">
        <v>12</v>
      </c>
      <c r="B571">
        <v>1972</v>
      </c>
      <c r="C571" t="s">
        <v>18</v>
      </c>
      <c r="D571" s="5">
        <v>26451</v>
      </c>
      <c r="E571">
        <v>41.7</v>
      </c>
      <c r="F571">
        <v>2.7</v>
      </c>
    </row>
    <row r="572" spans="1:6" hidden="1">
      <c r="A572" t="s">
        <v>12</v>
      </c>
      <c r="B572">
        <v>1972</v>
      </c>
      <c r="C572" t="s">
        <v>19</v>
      </c>
      <c r="D572" s="5">
        <v>26481</v>
      </c>
      <c r="E572">
        <v>41.9</v>
      </c>
      <c r="F572">
        <v>2.9</v>
      </c>
    </row>
    <row r="573" spans="1:6" hidden="1">
      <c r="A573" t="s">
        <v>12</v>
      </c>
      <c r="B573">
        <v>1972</v>
      </c>
      <c r="C573" t="s">
        <v>20</v>
      </c>
      <c r="D573" s="5">
        <v>26512</v>
      </c>
      <c r="E573">
        <v>42</v>
      </c>
      <c r="F573">
        <v>2.9</v>
      </c>
    </row>
    <row r="574" spans="1:6" hidden="1">
      <c r="A574" t="s">
        <v>12</v>
      </c>
      <c r="B574">
        <v>1972</v>
      </c>
      <c r="C574" t="s">
        <v>21</v>
      </c>
      <c r="D574" s="5">
        <v>26543</v>
      </c>
      <c r="E574">
        <v>42.1</v>
      </c>
      <c r="F574">
        <v>3.2</v>
      </c>
    </row>
    <row r="575" spans="1:6" hidden="1">
      <c r="A575" t="s">
        <v>12</v>
      </c>
      <c r="B575">
        <v>1972</v>
      </c>
      <c r="C575" t="s">
        <v>22</v>
      </c>
      <c r="D575" s="5">
        <v>26573</v>
      </c>
      <c r="E575">
        <v>42.3</v>
      </c>
      <c r="F575">
        <v>3.4</v>
      </c>
    </row>
    <row r="576" spans="1:6" hidden="1">
      <c r="A576" t="s">
        <v>12</v>
      </c>
      <c r="B576">
        <v>1972</v>
      </c>
      <c r="C576" t="s">
        <v>23</v>
      </c>
      <c r="D576" s="5">
        <v>26604</v>
      </c>
      <c r="E576">
        <v>42.4</v>
      </c>
      <c r="F576">
        <v>3.7</v>
      </c>
    </row>
    <row r="577" spans="1:6" hidden="1">
      <c r="A577" t="s">
        <v>12</v>
      </c>
      <c r="B577">
        <v>1972</v>
      </c>
      <c r="C577" t="s">
        <v>24</v>
      </c>
      <c r="D577" s="5">
        <v>26634</v>
      </c>
      <c r="E577">
        <v>42.5</v>
      </c>
      <c r="F577">
        <v>3.4</v>
      </c>
    </row>
    <row r="578" spans="1:6">
      <c r="A578" t="s">
        <v>12</v>
      </c>
      <c r="B578">
        <v>1973</v>
      </c>
      <c r="C578" t="s">
        <v>13</v>
      </c>
      <c r="D578" s="5">
        <v>26665</v>
      </c>
      <c r="E578">
        <v>42.6</v>
      </c>
      <c r="F578">
        <v>3.6</v>
      </c>
    </row>
    <row r="579" spans="1:6" hidden="1">
      <c r="A579" t="s">
        <v>12</v>
      </c>
      <c r="B579">
        <v>1973</v>
      </c>
      <c r="C579" t="s">
        <v>14</v>
      </c>
      <c r="D579" s="5">
        <v>26696</v>
      </c>
      <c r="E579">
        <v>42.9</v>
      </c>
      <c r="F579">
        <v>3.9</v>
      </c>
    </row>
    <row r="580" spans="1:6" hidden="1">
      <c r="A580" t="s">
        <v>12</v>
      </c>
      <c r="B580">
        <v>1973</v>
      </c>
      <c r="C580" t="s">
        <v>15</v>
      </c>
      <c r="D580" s="5">
        <v>26724</v>
      </c>
      <c r="E580">
        <v>43.3</v>
      </c>
      <c r="F580">
        <v>4.5999999999999996</v>
      </c>
    </row>
    <row r="581" spans="1:6" hidden="1">
      <c r="A581" t="s">
        <v>12</v>
      </c>
      <c r="B581">
        <v>1973</v>
      </c>
      <c r="C581" t="s">
        <v>16</v>
      </c>
      <c r="D581" s="5">
        <v>26755</v>
      </c>
      <c r="E581">
        <v>43.6</v>
      </c>
      <c r="F581">
        <v>5.0999999999999996</v>
      </c>
    </row>
    <row r="582" spans="1:6" hidden="1">
      <c r="A582" t="s">
        <v>12</v>
      </c>
      <c r="B582">
        <v>1973</v>
      </c>
      <c r="C582" t="s">
        <v>17</v>
      </c>
      <c r="D582" s="5">
        <v>26785</v>
      </c>
      <c r="E582">
        <v>43.9</v>
      </c>
      <c r="F582">
        <v>5.5</v>
      </c>
    </row>
    <row r="583" spans="1:6" hidden="1">
      <c r="A583" t="s">
        <v>12</v>
      </c>
      <c r="B583">
        <v>1973</v>
      </c>
      <c r="C583" t="s">
        <v>18</v>
      </c>
      <c r="D583" s="5">
        <v>26816</v>
      </c>
      <c r="E583">
        <v>44.2</v>
      </c>
      <c r="F583">
        <v>6</v>
      </c>
    </row>
    <row r="584" spans="1:6" hidden="1">
      <c r="A584" t="s">
        <v>12</v>
      </c>
      <c r="B584">
        <v>1973</v>
      </c>
      <c r="C584" t="s">
        <v>19</v>
      </c>
      <c r="D584" s="5">
        <v>26846</v>
      </c>
      <c r="E584">
        <v>44.3</v>
      </c>
      <c r="F584">
        <v>5.7</v>
      </c>
    </row>
    <row r="585" spans="1:6" hidden="1">
      <c r="A585" t="s">
        <v>12</v>
      </c>
      <c r="B585">
        <v>1973</v>
      </c>
      <c r="C585" t="s">
        <v>20</v>
      </c>
      <c r="D585" s="5">
        <v>26877</v>
      </c>
      <c r="E585">
        <v>45.1</v>
      </c>
      <c r="F585">
        <v>7.4</v>
      </c>
    </row>
    <row r="586" spans="1:6" hidden="1">
      <c r="A586" t="s">
        <v>12</v>
      </c>
      <c r="B586">
        <v>1973</v>
      </c>
      <c r="C586" t="s">
        <v>21</v>
      </c>
      <c r="D586" s="5">
        <v>26908</v>
      </c>
      <c r="E586">
        <v>45.2</v>
      </c>
      <c r="F586">
        <v>7.4</v>
      </c>
    </row>
    <row r="587" spans="1:6" hidden="1">
      <c r="A587" t="s">
        <v>12</v>
      </c>
      <c r="B587">
        <v>1973</v>
      </c>
      <c r="C587" t="s">
        <v>22</v>
      </c>
      <c r="D587" s="5">
        <v>26938</v>
      </c>
      <c r="E587">
        <v>45.6</v>
      </c>
      <c r="F587">
        <v>7.8</v>
      </c>
    </row>
    <row r="588" spans="1:6" hidden="1">
      <c r="A588" t="s">
        <v>12</v>
      </c>
      <c r="B588">
        <v>1973</v>
      </c>
      <c r="C588" t="s">
        <v>23</v>
      </c>
      <c r="D588" s="5">
        <v>26969</v>
      </c>
      <c r="E588">
        <v>45.9</v>
      </c>
      <c r="F588">
        <v>8.3000000000000007</v>
      </c>
    </row>
    <row r="589" spans="1:6" hidden="1">
      <c r="A589" t="s">
        <v>12</v>
      </c>
      <c r="B589">
        <v>1973</v>
      </c>
      <c r="C589" t="s">
        <v>24</v>
      </c>
      <c r="D589" s="5">
        <v>26999</v>
      </c>
      <c r="E589">
        <v>46.2</v>
      </c>
      <c r="F589">
        <v>8.6999999999999993</v>
      </c>
    </row>
    <row r="590" spans="1:6">
      <c r="A590" t="s">
        <v>12</v>
      </c>
      <c r="B590">
        <v>1974</v>
      </c>
      <c r="C590" t="s">
        <v>13</v>
      </c>
      <c r="D590" s="5">
        <v>27030</v>
      </c>
      <c r="E590">
        <v>46.6</v>
      </c>
      <c r="F590">
        <v>9.4</v>
      </c>
    </row>
    <row r="591" spans="1:6" hidden="1">
      <c r="A591" t="s">
        <v>12</v>
      </c>
      <c r="B591">
        <v>1974</v>
      </c>
      <c r="C591" t="s">
        <v>14</v>
      </c>
      <c r="D591" s="5">
        <v>27061</v>
      </c>
      <c r="E591">
        <v>47.2</v>
      </c>
      <c r="F591">
        <v>10</v>
      </c>
    </row>
    <row r="592" spans="1:6" hidden="1">
      <c r="A592" t="s">
        <v>12</v>
      </c>
      <c r="B592">
        <v>1974</v>
      </c>
      <c r="C592" t="s">
        <v>15</v>
      </c>
      <c r="D592" s="5">
        <v>27089</v>
      </c>
      <c r="E592">
        <v>47.8</v>
      </c>
      <c r="F592">
        <v>10.4</v>
      </c>
    </row>
    <row r="593" spans="1:6" hidden="1">
      <c r="A593" t="s">
        <v>12</v>
      </c>
      <c r="B593">
        <v>1974</v>
      </c>
      <c r="C593" t="s">
        <v>16</v>
      </c>
      <c r="D593" s="5">
        <v>27120</v>
      </c>
      <c r="E593">
        <v>48</v>
      </c>
      <c r="F593">
        <v>10.1</v>
      </c>
    </row>
    <row r="594" spans="1:6" hidden="1">
      <c r="A594" t="s">
        <v>12</v>
      </c>
      <c r="B594">
        <v>1974</v>
      </c>
      <c r="C594" t="s">
        <v>17</v>
      </c>
      <c r="D594" s="5">
        <v>27150</v>
      </c>
      <c r="E594">
        <v>48.6</v>
      </c>
      <c r="F594">
        <v>10.7</v>
      </c>
    </row>
    <row r="595" spans="1:6" hidden="1">
      <c r="A595" t="s">
        <v>12</v>
      </c>
      <c r="B595">
        <v>1974</v>
      </c>
      <c r="C595" t="s">
        <v>18</v>
      </c>
      <c r="D595" s="5">
        <v>27181</v>
      </c>
      <c r="E595">
        <v>49</v>
      </c>
      <c r="F595">
        <v>10.9</v>
      </c>
    </row>
    <row r="596" spans="1:6" hidden="1">
      <c r="A596" t="s">
        <v>12</v>
      </c>
      <c r="B596">
        <v>1974</v>
      </c>
      <c r="C596" t="s">
        <v>19</v>
      </c>
      <c r="D596" s="5">
        <v>27211</v>
      </c>
      <c r="E596">
        <v>49.4</v>
      </c>
      <c r="F596">
        <v>11.5</v>
      </c>
    </row>
    <row r="597" spans="1:6" hidden="1">
      <c r="A597" t="s">
        <v>12</v>
      </c>
      <c r="B597">
        <v>1974</v>
      </c>
      <c r="C597" t="s">
        <v>20</v>
      </c>
      <c r="D597" s="5">
        <v>27242</v>
      </c>
      <c r="E597">
        <v>50</v>
      </c>
      <c r="F597">
        <v>10.9</v>
      </c>
    </row>
    <row r="598" spans="1:6" hidden="1">
      <c r="A598" t="s">
        <v>12</v>
      </c>
      <c r="B598">
        <v>1974</v>
      </c>
      <c r="C598" t="s">
        <v>21</v>
      </c>
      <c r="D598" s="5">
        <v>27273</v>
      </c>
      <c r="E598">
        <v>50.6</v>
      </c>
      <c r="F598">
        <v>11.9</v>
      </c>
    </row>
    <row r="599" spans="1:6" hidden="1">
      <c r="A599" t="s">
        <v>12</v>
      </c>
      <c r="B599">
        <v>1974</v>
      </c>
      <c r="C599" t="s">
        <v>22</v>
      </c>
      <c r="D599" s="5">
        <v>27303</v>
      </c>
      <c r="E599">
        <v>51.1</v>
      </c>
      <c r="F599">
        <v>12.1</v>
      </c>
    </row>
    <row r="600" spans="1:6" hidden="1">
      <c r="A600" t="s">
        <v>12</v>
      </c>
      <c r="B600">
        <v>1974</v>
      </c>
      <c r="C600" t="s">
        <v>23</v>
      </c>
      <c r="D600" s="5">
        <v>27334</v>
      </c>
      <c r="E600">
        <v>51.5</v>
      </c>
      <c r="F600">
        <v>12.2</v>
      </c>
    </row>
    <row r="601" spans="1:6" hidden="1">
      <c r="A601" t="s">
        <v>12</v>
      </c>
      <c r="B601">
        <v>1974</v>
      </c>
      <c r="C601" t="s">
        <v>24</v>
      </c>
      <c r="D601" s="5">
        <v>27364</v>
      </c>
      <c r="E601">
        <v>51.9</v>
      </c>
      <c r="F601">
        <v>12.3</v>
      </c>
    </row>
    <row r="602" spans="1:6">
      <c r="A602" t="s">
        <v>12</v>
      </c>
      <c r="B602">
        <v>1975</v>
      </c>
      <c r="C602" t="s">
        <v>13</v>
      </c>
      <c r="D602" s="5">
        <v>27395</v>
      </c>
      <c r="E602">
        <v>52.1</v>
      </c>
      <c r="F602">
        <v>11.8</v>
      </c>
    </row>
    <row r="603" spans="1:6" hidden="1">
      <c r="A603" t="s">
        <v>12</v>
      </c>
      <c r="B603">
        <v>1975</v>
      </c>
      <c r="C603" t="s">
        <v>14</v>
      </c>
      <c r="D603" s="5">
        <v>27426</v>
      </c>
      <c r="E603">
        <v>52.5</v>
      </c>
      <c r="F603">
        <v>11.2</v>
      </c>
    </row>
    <row r="604" spans="1:6" hidden="1">
      <c r="A604" t="s">
        <v>12</v>
      </c>
      <c r="B604">
        <v>1975</v>
      </c>
      <c r="C604" t="s">
        <v>15</v>
      </c>
      <c r="D604" s="5">
        <v>27454</v>
      </c>
      <c r="E604">
        <v>52.7</v>
      </c>
      <c r="F604">
        <v>10.3</v>
      </c>
    </row>
    <row r="605" spans="1:6" hidden="1">
      <c r="A605" t="s">
        <v>12</v>
      </c>
      <c r="B605">
        <v>1975</v>
      </c>
      <c r="C605" t="s">
        <v>16</v>
      </c>
      <c r="D605" s="5">
        <v>27485</v>
      </c>
      <c r="E605">
        <v>52.9</v>
      </c>
      <c r="F605">
        <v>10.199999999999999</v>
      </c>
    </row>
    <row r="606" spans="1:6" hidden="1">
      <c r="A606" t="s">
        <v>12</v>
      </c>
      <c r="B606">
        <v>1975</v>
      </c>
      <c r="C606" t="s">
        <v>17</v>
      </c>
      <c r="D606" s="5">
        <v>27515</v>
      </c>
      <c r="E606">
        <v>53.2</v>
      </c>
      <c r="F606">
        <v>9.5</v>
      </c>
    </row>
    <row r="607" spans="1:6" hidden="1">
      <c r="A607" t="s">
        <v>12</v>
      </c>
      <c r="B607">
        <v>1975</v>
      </c>
      <c r="C607" t="s">
        <v>18</v>
      </c>
      <c r="D607" s="5">
        <v>27546</v>
      </c>
      <c r="E607">
        <v>53.6</v>
      </c>
      <c r="F607">
        <v>9.4</v>
      </c>
    </row>
    <row r="608" spans="1:6" hidden="1">
      <c r="A608" t="s">
        <v>12</v>
      </c>
      <c r="B608">
        <v>1975</v>
      </c>
      <c r="C608" t="s">
        <v>19</v>
      </c>
      <c r="D608" s="5">
        <v>27576</v>
      </c>
      <c r="E608">
        <v>54.2</v>
      </c>
      <c r="F608">
        <v>9.6999999999999993</v>
      </c>
    </row>
    <row r="609" spans="1:6" hidden="1">
      <c r="A609" t="s">
        <v>12</v>
      </c>
      <c r="B609">
        <v>1975</v>
      </c>
      <c r="C609" t="s">
        <v>20</v>
      </c>
      <c r="D609" s="5">
        <v>27607</v>
      </c>
      <c r="E609">
        <v>54.3</v>
      </c>
      <c r="F609">
        <v>8.6</v>
      </c>
    </row>
    <row r="610" spans="1:6" hidden="1">
      <c r="A610" t="s">
        <v>12</v>
      </c>
      <c r="B610">
        <v>1975</v>
      </c>
      <c r="C610" t="s">
        <v>21</v>
      </c>
      <c r="D610" s="5">
        <v>27638</v>
      </c>
      <c r="E610">
        <v>54.6</v>
      </c>
      <c r="F610">
        <v>7.9</v>
      </c>
    </row>
    <row r="611" spans="1:6" hidden="1">
      <c r="A611" t="s">
        <v>12</v>
      </c>
      <c r="B611">
        <v>1975</v>
      </c>
      <c r="C611" t="s">
        <v>22</v>
      </c>
      <c r="D611" s="5">
        <v>27668</v>
      </c>
      <c r="E611">
        <v>54.9</v>
      </c>
      <c r="F611">
        <v>7.4</v>
      </c>
    </row>
    <row r="612" spans="1:6" hidden="1">
      <c r="A612" t="s">
        <v>12</v>
      </c>
      <c r="B612">
        <v>1975</v>
      </c>
      <c r="C612" t="s">
        <v>23</v>
      </c>
      <c r="D612" s="5">
        <v>27699</v>
      </c>
      <c r="E612">
        <v>55.3</v>
      </c>
      <c r="F612">
        <v>7.4</v>
      </c>
    </row>
    <row r="613" spans="1:6" hidden="1">
      <c r="A613" t="s">
        <v>12</v>
      </c>
      <c r="B613">
        <v>1975</v>
      </c>
      <c r="C613" t="s">
        <v>24</v>
      </c>
      <c r="D613" s="5">
        <v>27729</v>
      </c>
      <c r="E613">
        <v>55.5</v>
      </c>
      <c r="F613">
        <v>6.9</v>
      </c>
    </row>
    <row r="614" spans="1:6">
      <c r="A614" t="s">
        <v>12</v>
      </c>
      <c r="B614">
        <v>1976</v>
      </c>
      <c r="C614" t="s">
        <v>13</v>
      </c>
      <c r="D614" s="5">
        <v>27760</v>
      </c>
      <c r="E614">
        <v>55.6</v>
      </c>
      <c r="F614">
        <v>6.7</v>
      </c>
    </row>
    <row r="615" spans="1:6" hidden="1">
      <c r="A615" t="s">
        <v>12</v>
      </c>
      <c r="B615">
        <v>1976</v>
      </c>
      <c r="C615" t="s">
        <v>14</v>
      </c>
      <c r="D615" s="5">
        <v>27791</v>
      </c>
      <c r="E615">
        <v>55.8</v>
      </c>
      <c r="F615">
        <v>6.3</v>
      </c>
    </row>
    <row r="616" spans="1:6" hidden="1">
      <c r="A616" t="s">
        <v>12</v>
      </c>
      <c r="B616">
        <v>1976</v>
      </c>
      <c r="C616" t="s">
        <v>15</v>
      </c>
      <c r="D616" s="5">
        <v>27820</v>
      </c>
      <c r="E616">
        <v>55.9</v>
      </c>
      <c r="F616">
        <v>6.1</v>
      </c>
    </row>
    <row r="617" spans="1:6" hidden="1">
      <c r="A617" t="s">
        <v>12</v>
      </c>
      <c r="B617">
        <v>1976</v>
      </c>
      <c r="C617" t="s">
        <v>16</v>
      </c>
      <c r="D617" s="5">
        <v>27851</v>
      </c>
      <c r="E617">
        <v>56.1</v>
      </c>
      <c r="F617">
        <v>6</v>
      </c>
    </row>
    <row r="618" spans="1:6" hidden="1">
      <c r="A618" t="s">
        <v>12</v>
      </c>
      <c r="B618">
        <v>1976</v>
      </c>
      <c r="C618" t="s">
        <v>17</v>
      </c>
      <c r="D618" s="5">
        <v>27881</v>
      </c>
      <c r="E618">
        <v>56.5</v>
      </c>
      <c r="F618">
        <v>6.2</v>
      </c>
    </row>
    <row r="619" spans="1:6" hidden="1">
      <c r="A619" t="s">
        <v>12</v>
      </c>
      <c r="B619">
        <v>1976</v>
      </c>
      <c r="C619" t="s">
        <v>18</v>
      </c>
      <c r="D619" s="5">
        <v>27912</v>
      </c>
      <c r="E619">
        <v>56.8</v>
      </c>
      <c r="F619">
        <v>6</v>
      </c>
    </row>
    <row r="620" spans="1:6" hidden="1">
      <c r="A620" t="s">
        <v>12</v>
      </c>
      <c r="B620">
        <v>1976</v>
      </c>
      <c r="C620" t="s">
        <v>19</v>
      </c>
      <c r="D620" s="5">
        <v>27942</v>
      </c>
      <c r="E620">
        <v>57.1</v>
      </c>
      <c r="F620">
        <v>5.4</v>
      </c>
    </row>
    <row r="621" spans="1:6" hidden="1">
      <c r="A621" t="s">
        <v>12</v>
      </c>
      <c r="B621">
        <v>1976</v>
      </c>
      <c r="C621" t="s">
        <v>20</v>
      </c>
      <c r="D621" s="5">
        <v>27973</v>
      </c>
      <c r="E621">
        <v>57.4</v>
      </c>
      <c r="F621">
        <v>5.7</v>
      </c>
    </row>
    <row r="622" spans="1:6" hidden="1">
      <c r="A622" t="s">
        <v>12</v>
      </c>
      <c r="B622">
        <v>1976</v>
      </c>
      <c r="C622" t="s">
        <v>21</v>
      </c>
      <c r="D622" s="5">
        <v>28004</v>
      </c>
      <c r="E622">
        <v>57.6</v>
      </c>
      <c r="F622">
        <v>5.5</v>
      </c>
    </row>
    <row r="623" spans="1:6" hidden="1">
      <c r="A623" t="s">
        <v>12</v>
      </c>
      <c r="B623">
        <v>1976</v>
      </c>
      <c r="C623" t="s">
        <v>22</v>
      </c>
      <c r="D623" s="5">
        <v>28034</v>
      </c>
      <c r="E623">
        <v>57.9</v>
      </c>
      <c r="F623">
        <v>5.5</v>
      </c>
    </row>
    <row r="624" spans="1:6" hidden="1">
      <c r="A624" t="s">
        <v>12</v>
      </c>
      <c r="B624">
        <v>1976</v>
      </c>
      <c r="C624" t="s">
        <v>23</v>
      </c>
      <c r="D624" s="5">
        <v>28065</v>
      </c>
      <c r="E624">
        <v>58</v>
      </c>
      <c r="F624">
        <v>4.9000000000000004</v>
      </c>
    </row>
    <row r="625" spans="1:6" hidden="1">
      <c r="A625" t="s">
        <v>12</v>
      </c>
      <c r="B625">
        <v>1976</v>
      </c>
      <c r="C625" t="s">
        <v>24</v>
      </c>
      <c r="D625" s="5">
        <v>28095</v>
      </c>
      <c r="E625">
        <v>58.2</v>
      </c>
      <c r="F625">
        <v>4.9000000000000004</v>
      </c>
    </row>
    <row r="626" spans="1:6">
      <c r="A626" t="s">
        <v>12</v>
      </c>
      <c r="B626">
        <v>1977</v>
      </c>
      <c r="C626" t="s">
        <v>13</v>
      </c>
      <c r="D626" s="5">
        <v>28126</v>
      </c>
      <c r="E626">
        <v>58.5</v>
      </c>
      <c r="F626">
        <v>5.2</v>
      </c>
    </row>
    <row r="627" spans="1:6" hidden="1">
      <c r="A627" t="s">
        <v>12</v>
      </c>
      <c r="B627">
        <v>1977</v>
      </c>
      <c r="C627" t="s">
        <v>14</v>
      </c>
      <c r="D627" s="5">
        <v>28157</v>
      </c>
      <c r="E627">
        <v>59.1</v>
      </c>
      <c r="F627">
        <v>5.9</v>
      </c>
    </row>
    <row r="628" spans="1:6" hidden="1">
      <c r="A628" t="s">
        <v>12</v>
      </c>
      <c r="B628">
        <v>1977</v>
      </c>
      <c r="C628" t="s">
        <v>15</v>
      </c>
      <c r="D628" s="5">
        <v>28185</v>
      </c>
      <c r="E628">
        <v>59.5</v>
      </c>
      <c r="F628">
        <v>6.4</v>
      </c>
    </row>
    <row r="629" spans="1:6" hidden="1">
      <c r="A629" t="s">
        <v>12</v>
      </c>
      <c r="B629">
        <v>1977</v>
      </c>
      <c r="C629" t="s">
        <v>16</v>
      </c>
      <c r="D629" s="5">
        <v>28216</v>
      </c>
      <c r="E629">
        <v>60</v>
      </c>
      <c r="F629">
        <v>7</v>
      </c>
    </row>
    <row r="630" spans="1:6" hidden="1">
      <c r="A630" t="s">
        <v>12</v>
      </c>
      <c r="B630">
        <v>1977</v>
      </c>
      <c r="C630" t="s">
        <v>17</v>
      </c>
      <c r="D630" s="5">
        <v>28246</v>
      </c>
      <c r="E630">
        <v>60.3</v>
      </c>
      <c r="F630">
        <v>6.7</v>
      </c>
    </row>
    <row r="631" spans="1:6" hidden="1">
      <c r="A631" t="s">
        <v>12</v>
      </c>
      <c r="B631">
        <v>1977</v>
      </c>
      <c r="C631" t="s">
        <v>18</v>
      </c>
      <c r="D631" s="5">
        <v>28277</v>
      </c>
      <c r="E631">
        <v>60.7</v>
      </c>
      <c r="F631">
        <v>6.9</v>
      </c>
    </row>
    <row r="632" spans="1:6" hidden="1">
      <c r="A632" t="s">
        <v>12</v>
      </c>
      <c r="B632">
        <v>1977</v>
      </c>
      <c r="C632" t="s">
        <v>19</v>
      </c>
      <c r="D632" s="5">
        <v>28307</v>
      </c>
      <c r="E632">
        <v>61</v>
      </c>
      <c r="F632">
        <v>6.8</v>
      </c>
    </row>
    <row r="633" spans="1:6" hidden="1">
      <c r="A633" t="s">
        <v>12</v>
      </c>
      <c r="B633">
        <v>1977</v>
      </c>
      <c r="C633" t="s">
        <v>20</v>
      </c>
      <c r="D633" s="5">
        <v>28338</v>
      </c>
      <c r="E633">
        <v>61.2</v>
      </c>
      <c r="F633">
        <v>6.6</v>
      </c>
    </row>
    <row r="634" spans="1:6" hidden="1">
      <c r="A634" t="s">
        <v>12</v>
      </c>
      <c r="B634">
        <v>1977</v>
      </c>
      <c r="C634" t="s">
        <v>21</v>
      </c>
      <c r="D634" s="5">
        <v>28369</v>
      </c>
      <c r="E634">
        <v>61.4</v>
      </c>
      <c r="F634">
        <v>6.6</v>
      </c>
    </row>
    <row r="635" spans="1:6" hidden="1">
      <c r="A635" t="s">
        <v>12</v>
      </c>
      <c r="B635">
        <v>1977</v>
      </c>
      <c r="C635" t="s">
        <v>22</v>
      </c>
      <c r="D635" s="5">
        <v>28399</v>
      </c>
      <c r="E635">
        <v>61.6</v>
      </c>
      <c r="F635">
        <v>6.4</v>
      </c>
    </row>
    <row r="636" spans="1:6" hidden="1">
      <c r="A636" t="s">
        <v>12</v>
      </c>
      <c r="B636">
        <v>1977</v>
      </c>
      <c r="C636" t="s">
        <v>23</v>
      </c>
      <c r="D636" s="5">
        <v>28430</v>
      </c>
      <c r="E636">
        <v>61.9</v>
      </c>
      <c r="F636">
        <v>6.7</v>
      </c>
    </row>
    <row r="637" spans="1:6" hidden="1">
      <c r="A637" t="s">
        <v>12</v>
      </c>
      <c r="B637">
        <v>1977</v>
      </c>
      <c r="C637" t="s">
        <v>24</v>
      </c>
      <c r="D637" s="5">
        <v>28460</v>
      </c>
      <c r="E637">
        <v>62.1</v>
      </c>
      <c r="F637">
        <v>6.7</v>
      </c>
    </row>
    <row r="638" spans="1:6">
      <c r="A638" t="s">
        <v>12</v>
      </c>
      <c r="B638">
        <v>1978</v>
      </c>
      <c r="C638" t="s">
        <v>13</v>
      </c>
      <c r="D638" s="5">
        <v>28491</v>
      </c>
      <c r="E638">
        <v>62.5</v>
      </c>
      <c r="F638">
        <v>6.8</v>
      </c>
    </row>
    <row r="639" spans="1:6" hidden="1">
      <c r="A639" t="s">
        <v>12</v>
      </c>
      <c r="B639">
        <v>1978</v>
      </c>
      <c r="C639" t="s">
        <v>14</v>
      </c>
      <c r="D639" s="5">
        <v>28522</v>
      </c>
      <c r="E639">
        <v>62.9</v>
      </c>
      <c r="F639">
        <v>6.4</v>
      </c>
    </row>
    <row r="640" spans="1:6" hidden="1">
      <c r="A640" t="s">
        <v>12</v>
      </c>
      <c r="B640">
        <v>1978</v>
      </c>
      <c r="C640" t="s">
        <v>15</v>
      </c>
      <c r="D640" s="5">
        <v>28550</v>
      </c>
      <c r="E640">
        <v>63.4</v>
      </c>
      <c r="F640">
        <v>6.6</v>
      </c>
    </row>
    <row r="641" spans="1:6" hidden="1">
      <c r="A641" t="s">
        <v>12</v>
      </c>
      <c r="B641">
        <v>1978</v>
      </c>
      <c r="C641" t="s">
        <v>16</v>
      </c>
      <c r="D641" s="5">
        <v>28581</v>
      </c>
      <c r="E641">
        <v>63.9</v>
      </c>
      <c r="F641">
        <v>6.5</v>
      </c>
    </row>
    <row r="642" spans="1:6" hidden="1">
      <c r="A642" t="s">
        <v>12</v>
      </c>
      <c r="B642">
        <v>1978</v>
      </c>
      <c r="C642" t="s">
        <v>17</v>
      </c>
      <c r="D642" s="5">
        <v>28611</v>
      </c>
      <c r="E642">
        <v>64.5</v>
      </c>
      <c r="F642">
        <v>7</v>
      </c>
    </row>
    <row r="643" spans="1:6" hidden="1">
      <c r="A643" t="s">
        <v>12</v>
      </c>
      <c r="B643">
        <v>1978</v>
      </c>
      <c r="C643" t="s">
        <v>18</v>
      </c>
      <c r="D643" s="5">
        <v>28642</v>
      </c>
      <c r="E643">
        <v>65.2</v>
      </c>
      <c r="F643">
        <v>7.4</v>
      </c>
    </row>
    <row r="644" spans="1:6" hidden="1">
      <c r="A644" t="s">
        <v>12</v>
      </c>
      <c r="B644">
        <v>1978</v>
      </c>
      <c r="C644" t="s">
        <v>19</v>
      </c>
      <c r="D644" s="5">
        <v>28672</v>
      </c>
      <c r="E644">
        <v>65.7</v>
      </c>
      <c r="F644">
        <v>7.7</v>
      </c>
    </row>
    <row r="645" spans="1:6" hidden="1">
      <c r="A645" t="s">
        <v>12</v>
      </c>
      <c r="B645">
        <v>1978</v>
      </c>
      <c r="C645" t="s">
        <v>20</v>
      </c>
      <c r="D645" s="5">
        <v>28703</v>
      </c>
      <c r="E645">
        <v>66</v>
      </c>
      <c r="F645">
        <v>7.8</v>
      </c>
    </row>
    <row r="646" spans="1:6" hidden="1">
      <c r="A646" t="s">
        <v>12</v>
      </c>
      <c r="B646">
        <v>1978</v>
      </c>
      <c r="C646" t="s">
        <v>21</v>
      </c>
      <c r="D646" s="5">
        <v>28734</v>
      </c>
      <c r="E646">
        <v>66.5</v>
      </c>
      <c r="F646">
        <v>8.3000000000000007</v>
      </c>
    </row>
    <row r="647" spans="1:6" hidden="1">
      <c r="A647" t="s">
        <v>12</v>
      </c>
      <c r="B647">
        <v>1978</v>
      </c>
      <c r="C647" t="s">
        <v>22</v>
      </c>
      <c r="D647" s="5">
        <v>28764</v>
      </c>
      <c r="E647">
        <v>67.099999999999994</v>
      </c>
      <c r="F647">
        <v>8.9</v>
      </c>
    </row>
    <row r="648" spans="1:6" hidden="1">
      <c r="A648" t="s">
        <v>12</v>
      </c>
      <c r="B648">
        <v>1978</v>
      </c>
      <c r="C648" t="s">
        <v>23</v>
      </c>
      <c r="D648" s="5">
        <v>28795</v>
      </c>
      <c r="E648">
        <v>67.400000000000006</v>
      </c>
      <c r="F648">
        <v>8.9</v>
      </c>
    </row>
    <row r="649" spans="1:6" hidden="1">
      <c r="A649" t="s">
        <v>12</v>
      </c>
      <c r="B649">
        <v>1978</v>
      </c>
      <c r="C649" t="s">
        <v>24</v>
      </c>
      <c r="D649" s="5">
        <v>28825</v>
      </c>
      <c r="E649">
        <v>67.7</v>
      </c>
      <c r="F649">
        <v>9</v>
      </c>
    </row>
    <row r="650" spans="1:6">
      <c r="A650" t="s">
        <v>12</v>
      </c>
      <c r="B650">
        <v>1979</v>
      </c>
      <c r="C650" t="s">
        <v>13</v>
      </c>
      <c r="D650" s="5">
        <v>28856</v>
      </c>
      <c r="E650">
        <v>68.3</v>
      </c>
      <c r="F650">
        <v>9.3000000000000007</v>
      </c>
    </row>
    <row r="651" spans="1:6" hidden="1">
      <c r="A651" t="s">
        <v>12</v>
      </c>
      <c r="B651">
        <v>1979</v>
      </c>
      <c r="C651" t="s">
        <v>14</v>
      </c>
      <c r="D651" s="5">
        <v>28887</v>
      </c>
      <c r="E651">
        <v>69.099999999999994</v>
      </c>
      <c r="F651">
        <v>9.9</v>
      </c>
    </row>
    <row r="652" spans="1:6" hidden="1">
      <c r="A652" t="s">
        <v>12</v>
      </c>
      <c r="B652">
        <v>1979</v>
      </c>
      <c r="C652" t="s">
        <v>15</v>
      </c>
      <c r="D652" s="5">
        <v>28915</v>
      </c>
      <c r="E652">
        <v>69.8</v>
      </c>
      <c r="F652">
        <v>10.1</v>
      </c>
    </row>
    <row r="653" spans="1:6" hidden="1">
      <c r="A653" t="s">
        <v>12</v>
      </c>
      <c r="B653">
        <v>1979</v>
      </c>
      <c r="C653" t="s">
        <v>16</v>
      </c>
      <c r="D653" s="5">
        <v>28946</v>
      </c>
      <c r="E653">
        <v>70.599999999999994</v>
      </c>
      <c r="F653">
        <v>10.5</v>
      </c>
    </row>
    <row r="654" spans="1:6" hidden="1">
      <c r="A654" t="s">
        <v>12</v>
      </c>
      <c r="B654">
        <v>1979</v>
      </c>
      <c r="C654" t="s">
        <v>17</v>
      </c>
      <c r="D654" s="5">
        <v>28976</v>
      </c>
      <c r="E654">
        <v>71.5</v>
      </c>
      <c r="F654">
        <v>10.9</v>
      </c>
    </row>
    <row r="655" spans="1:6" hidden="1">
      <c r="A655" t="s">
        <v>12</v>
      </c>
      <c r="B655">
        <v>1979</v>
      </c>
      <c r="C655" t="s">
        <v>18</v>
      </c>
      <c r="D655" s="5">
        <v>29007</v>
      </c>
      <c r="E655">
        <v>72.3</v>
      </c>
      <c r="F655">
        <v>10.9</v>
      </c>
    </row>
    <row r="656" spans="1:6" hidden="1">
      <c r="A656" t="s">
        <v>12</v>
      </c>
      <c r="B656">
        <v>1979</v>
      </c>
      <c r="C656" t="s">
        <v>19</v>
      </c>
      <c r="D656" s="5">
        <v>29037</v>
      </c>
      <c r="E656">
        <v>73.099999999999994</v>
      </c>
      <c r="F656">
        <v>11.3</v>
      </c>
    </row>
    <row r="657" spans="1:6" hidden="1">
      <c r="A657" t="s">
        <v>12</v>
      </c>
      <c r="B657">
        <v>1979</v>
      </c>
      <c r="C657" t="s">
        <v>20</v>
      </c>
      <c r="D657" s="5">
        <v>29068</v>
      </c>
      <c r="E657">
        <v>73.8</v>
      </c>
      <c r="F657">
        <v>11.8</v>
      </c>
    </row>
    <row r="658" spans="1:6" hidden="1">
      <c r="A658" t="s">
        <v>12</v>
      </c>
      <c r="B658">
        <v>1979</v>
      </c>
      <c r="C658" t="s">
        <v>21</v>
      </c>
      <c r="D658" s="5">
        <v>29099</v>
      </c>
      <c r="E658">
        <v>74.599999999999994</v>
      </c>
      <c r="F658">
        <v>12.2</v>
      </c>
    </row>
    <row r="659" spans="1:6" hidden="1">
      <c r="A659" t="s">
        <v>12</v>
      </c>
      <c r="B659">
        <v>1979</v>
      </c>
      <c r="C659" t="s">
        <v>22</v>
      </c>
      <c r="D659" s="5">
        <v>29129</v>
      </c>
      <c r="E659">
        <v>75.2</v>
      </c>
      <c r="F659">
        <v>12.1</v>
      </c>
    </row>
    <row r="660" spans="1:6" hidden="1">
      <c r="A660" t="s">
        <v>12</v>
      </c>
      <c r="B660">
        <v>1979</v>
      </c>
      <c r="C660" t="s">
        <v>23</v>
      </c>
      <c r="D660" s="5">
        <v>29160</v>
      </c>
      <c r="E660">
        <v>75.900000000000006</v>
      </c>
      <c r="F660">
        <v>12.6</v>
      </c>
    </row>
    <row r="661" spans="1:6" hidden="1">
      <c r="A661" t="s">
        <v>12</v>
      </c>
      <c r="B661">
        <v>1979</v>
      </c>
      <c r="C661" t="s">
        <v>24</v>
      </c>
      <c r="D661" s="5">
        <v>29190</v>
      </c>
      <c r="E661">
        <v>76.7</v>
      </c>
      <c r="F661">
        <v>13.3</v>
      </c>
    </row>
    <row r="662" spans="1:6">
      <c r="A662" t="s">
        <v>12</v>
      </c>
      <c r="B662">
        <v>1980</v>
      </c>
      <c r="C662" t="s">
        <v>13</v>
      </c>
      <c r="D662" s="5">
        <v>29221</v>
      </c>
      <c r="E662">
        <v>77.8</v>
      </c>
      <c r="F662">
        <v>13.9</v>
      </c>
    </row>
    <row r="663" spans="1:6" hidden="1">
      <c r="A663" t="s">
        <v>12</v>
      </c>
      <c r="B663">
        <v>1980</v>
      </c>
      <c r="C663" t="s">
        <v>14</v>
      </c>
      <c r="D663" s="5">
        <v>29252</v>
      </c>
      <c r="E663">
        <v>78.900000000000006</v>
      </c>
      <c r="F663">
        <v>14.2</v>
      </c>
    </row>
    <row r="664" spans="1:6" hidden="1">
      <c r="A664" t="s">
        <v>12</v>
      </c>
      <c r="B664">
        <v>1980</v>
      </c>
      <c r="C664" t="s">
        <v>15</v>
      </c>
      <c r="D664" s="5">
        <v>29281</v>
      </c>
      <c r="E664">
        <v>80.099999999999994</v>
      </c>
      <c r="F664">
        <v>14.8</v>
      </c>
    </row>
    <row r="665" spans="1:6" hidden="1">
      <c r="A665" t="s">
        <v>12</v>
      </c>
      <c r="B665">
        <v>1980</v>
      </c>
      <c r="C665" t="s">
        <v>16</v>
      </c>
      <c r="D665" s="5">
        <v>29312</v>
      </c>
      <c r="E665">
        <v>81</v>
      </c>
      <c r="F665">
        <v>14.7</v>
      </c>
    </row>
    <row r="666" spans="1:6" hidden="1">
      <c r="A666" t="s">
        <v>12</v>
      </c>
      <c r="B666">
        <v>1980</v>
      </c>
      <c r="C666" t="s">
        <v>17</v>
      </c>
      <c r="D666" s="5">
        <v>29342</v>
      </c>
      <c r="E666">
        <v>81.8</v>
      </c>
      <c r="F666">
        <v>14.4</v>
      </c>
    </row>
    <row r="667" spans="1:6" hidden="1">
      <c r="A667" t="s">
        <v>12</v>
      </c>
      <c r="B667">
        <v>1980</v>
      </c>
      <c r="C667" t="s">
        <v>18</v>
      </c>
      <c r="D667" s="5">
        <v>29373</v>
      </c>
      <c r="E667">
        <v>82.7</v>
      </c>
      <c r="F667">
        <v>14.4</v>
      </c>
    </row>
    <row r="668" spans="1:6" hidden="1">
      <c r="A668" t="s">
        <v>12</v>
      </c>
      <c r="B668">
        <v>1980</v>
      </c>
      <c r="C668" t="s">
        <v>19</v>
      </c>
      <c r="D668" s="5">
        <v>29403</v>
      </c>
      <c r="E668">
        <v>82.7</v>
      </c>
      <c r="F668">
        <v>13.1</v>
      </c>
    </row>
    <row r="669" spans="1:6" hidden="1">
      <c r="A669" t="s">
        <v>12</v>
      </c>
      <c r="B669">
        <v>1980</v>
      </c>
      <c r="C669" t="s">
        <v>20</v>
      </c>
      <c r="D669" s="5">
        <v>29434</v>
      </c>
      <c r="E669">
        <v>83.3</v>
      </c>
      <c r="F669">
        <v>12.9</v>
      </c>
    </row>
    <row r="670" spans="1:6" hidden="1">
      <c r="A670" t="s">
        <v>12</v>
      </c>
      <c r="B670">
        <v>1980</v>
      </c>
      <c r="C670" t="s">
        <v>21</v>
      </c>
      <c r="D670" s="5">
        <v>29465</v>
      </c>
      <c r="E670">
        <v>84</v>
      </c>
      <c r="F670">
        <v>12.6</v>
      </c>
    </row>
    <row r="671" spans="1:6" hidden="1">
      <c r="A671" t="s">
        <v>12</v>
      </c>
      <c r="B671">
        <v>1980</v>
      </c>
      <c r="C671" t="s">
        <v>22</v>
      </c>
      <c r="D671" s="5">
        <v>29495</v>
      </c>
      <c r="E671">
        <v>84.8</v>
      </c>
      <c r="F671">
        <v>12.8</v>
      </c>
    </row>
    <row r="672" spans="1:6" hidden="1">
      <c r="A672" t="s">
        <v>12</v>
      </c>
      <c r="B672">
        <v>1980</v>
      </c>
      <c r="C672" t="s">
        <v>23</v>
      </c>
      <c r="D672" s="5">
        <v>29526</v>
      </c>
      <c r="E672">
        <v>85.5</v>
      </c>
      <c r="F672">
        <v>12.6</v>
      </c>
    </row>
    <row r="673" spans="1:6" hidden="1">
      <c r="A673" t="s">
        <v>12</v>
      </c>
      <c r="B673">
        <v>1980</v>
      </c>
      <c r="C673" t="s">
        <v>24</v>
      </c>
      <c r="D673" s="5">
        <v>29556</v>
      </c>
      <c r="E673">
        <v>86.3</v>
      </c>
      <c r="F673">
        <v>12.5</v>
      </c>
    </row>
    <row r="674" spans="1:6">
      <c r="A674" t="s">
        <v>12</v>
      </c>
      <c r="B674">
        <v>1981</v>
      </c>
      <c r="C674" t="s">
        <v>13</v>
      </c>
      <c r="D674" s="5">
        <v>29587</v>
      </c>
      <c r="E674">
        <v>87</v>
      </c>
      <c r="F674">
        <v>11.8</v>
      </c>
    </row>
    <row r="675" spans="1:6" hidden="1">
      <c r="A675" t="s">
        <v>12</v>
      </c>
      <c r="B675">
        <v>1981</v>
      </c>
      <c r="C675" t="s">
        <v>14</v>
      </c>
      <c r="D675" s="5">
        <v>29618</v>
      </c>
      <c r="E675">
        <v>87.9</v>
      </c>
      <c r="F675">
        <v>11.4</v>
      </c>
    </row>
    <row r="676" spans="1:6" hidden="1">
      <c r="A676" t="s">
        <v>12</v>
      </c>
      <c r="B676">
        <v>1981</v>
      </c>
      <c r="C676" t="s">
        <v>15</v>
      </c>
      <c r="D676" s="5">
        <v>29646</v>
      </c>
      <c r="E676">
        <v>88.5</v>
      </c>
      <c r="F676">
        <v>10.5</v>
      </c>
    </row>
    <row r="677" spans="1:6" hidden="1">
      <c r="A677" t="s">
        <v>12</v>
      </c>
      <c r="B677">
        <v>1981</v>
      </c>
      <c r="C677" t="s">
        <v>16</v>
      </c>
      <c r="D677" s="5">
        <v>29677</v>
      </c>
      <c r="E677">
        <v>89.1</v>
      </c>
      <c r="F677">
        <v>10</v>
      </c>
    </row>
    <row r="678" spans="1:6" hidden="1">
      <c r="A678" t="s">
        <v>12</v>
      </c>
      <c r="B678">
        <v>1981</v>
      </c>
      <c r="C678" t="s">
        <v>17</v>
      </c>
      <c r="D678" s="5">
        <v>29707</v>
      </c>
      <c r="E678">
        <v>89.8</v>
      </c>
      <c r="F678">
        <v>9.8000000000000007</v>
      </c>
    </row>
    <row r="679" spans="1:6" hidden="1">
      <c r="A679" t="s">
        <v>12</v>
      </c>
      <c r="B679">
        <v>1981</v>
      </c>
      <c r="C679" t="s">
        <v>18</v>
      </c>
      <c r="D679" s="5">
        <v>29738</v>
      </c>
      <c r="E679">
        <v>90.6</v>
      </c>
      <c r="F679">
        <v>9.6</v>
      </c>
    </row>
    <row r="680" spans="1:6" hidden="1">
      <c r="A680" t="s">
        <v>12</v>
      </c>
      <c r="B680">
        <v>1981</v>
      </c>
      <c r="C680" t="s">
        <v>19</v>
      </c>
      <c r="D680" s="5">
        <v>29768</v>
      </c>
      <c r="E680">
        <v>91.6</v>
      </c>
      <c r="F680">
        <v>10.8</v>
      </c>
    </row>
    <row r="681" spans="1:6" hidden="1">
      <c r="A681" t="s">
        <v>12</v>
      </c>
      <c r="B681">
        <v>1981</v>
      </c>
      <c r="C681" t="s">
        <v>20</v>
      </c>
      <c r="D681" s="5">
        <v>29799</v>
      </c>
      <c r="E681">
        <v>92.3</v>
      </c>
      <c r="F681">
        <v>10.8</v>
      </c>
    </row>
    <row r="682" spans="1:6" hidden="1">
      <c r="A682" t="s">
        <v>12</v>
      </c>
      <c r="B682">
        <v>1981</v>
      </c>
      <c r="C682" t="s">
        <v>21</v>
      </c>
      <c r="D682" s="5">
        <v>29830</v>
      </c>
      <c r="E682">
        <v>93.2</v>
      </c>
      <c r="F682">
        <v>11</v>
      </c>
    </row>
    <row r="683" spans="1:6" hidden="1">
      <c r="A683" t="s">
        <v>12</v>
      </c>
      <c r="B683">
        <v>1981</v>
      </c>
      <c r="C683" t="s">
        <v>22</v>
      </c>
      <c r="D683" s="5">
        <v>29860</v>
      </c>
      <c r="E683">
        <v>93.4</v>
      </c>
      <c r="F683">
        <v>10.1</v>
      </c>
    </row>
    <row r="684" spans="1:6" hidden="1">
      <c r="A684" t="s">
        <v>12</v>
      </c>
      <c r="B684">
        <v>1981</v>
      </c>
      <c r="C684" t="s">
        <v>23</v>
      </c>
      <c r="D684" s="5">
        <v>29891</v>
      </c>
      <c r="E684">
        <v>93.7</v>
      </c>
      <c r="F684">
        <v>9.6</v>
      </c>
    </row>
    <row r="685" spans="1:6" hidden="1">
      <c r="A685" t="s">
        <v>12</v>
      </c>
      <c r="B685">
        <v>1981</v>
      </c>
      <c r="C685" t="s">
        <v>24</v>
      </c>
      <c r="D685" s="5">
        <v>29921</v>
      </c>
      <c r="E685">
        <v>94</v>
      </c>
      <c r="F685">
        <v>8.9</v>
      </c>
    </row>
    <row r="686" spans="1:6">
      <c r="A686" t="s">
        <v>12</v>
      </c>
      <c r="B686">
        <v>1982</v>
      </c>
      <c r="C686" t="s">
        <v>13</v>
      </c>
      <c r="D686" s="5">
        <v>29952</v>
      </c>
      <c r="E686">
        <v>94.3</v>
      </c>
      <c r="F686">
        <v>8.4</v>
      </c>
    </row>
    <row r="687" spans="1:6" hidden="1">
      <c r="A687" t="s">
        <v>12</v>
      </c>
      <c r="B687">
        <v>1982</v>
      </c>
      <c r="C687" t="s">
        <v>14</v>
      </c>
      <c r="D687" s="5">
        <v>29983</v>
      </c>
      <c r="E687">
        <v>94.6</v>
      </c>
      <c r="F687">
        <v>7.6</v>
      </c>
    </row>
    <row r="688" spans="1:6" hidden="1">
      <c r="A688" t="s">
        <v>12</v>
      </c>
      <c r="B688">
        <v>1982</v>
      </c>
      <c r="C688" t="s">
        <v>15</v>
      </c>
      <c r="D688" s="5">
        <v>30011</v>
      </c>
      <c r="E688">
        <v>94.5</v>
      </c>
      <c r="F688">
        <v>6.8</v>
      </c>
    </row>
    <row r="689" spans="1:6" hidden="1">
      <c r="A689" t="s">
        <v>12</v>
      </c>
      <c r="B689">
        <v>1982</v>
      </c>
      <c r="C689" t="s">
        <v>16</v>
      </c>
      <c r="D689" s="5">
        <v>30042</v>
      </c>
      <c r="E689">
        <v>94.9</v>
      </c>
      <c r="F689">
        <v>6.5</v>
      </c>
    </row>
    <row r="690" spans="1:6" hidden="1">
      <c r="A690" t="s">
        <v>12</v>
      </c>
      <c r="B690">
        <v>1982</v>
      </c>
      <c r="C690" t="s">
        <v>17</v>
      </c>
      <c r="D690" s="5">
        <v>30072</v>
      </c>
      <c r="E690">
        <v>95.8</v>
      </c>
      <c r="F690">
        <v>6.7</v>
      </c>
    </row>
    <row r="691" spans="1:6" hidden="1">
      <c r="A691" t="s">
        <v>12</v>
      </c>
      <c r="B691">
        <v>1982</v>
      </c>
      <c r="C691" t="s">
        <v>18</v>
      </c>
      <c r="D691" s="5">
        <v>30103</v>
      </c>
      <c r="E691">
        <v>97</v>
      </c>
      <c r="F691">
        <v>7.1</v>
      </c>
    </row>
    <row r="692" spans="1:6" hidden="1">
      <c r="A692" t="s">
        <v>12</v>
      </c>
      <c r="B692">
        <v>1982</v>
      </c>
      <c r="C692" t="s">
        <v>19</v>
      </c>
      <c r="D692" s="5">
        <v>30133</v>
      </c>
      <c r="E692">
        <v>97.5</v>
      </c>
      <c r="F692">
        <v>6.4</v>
      </c>
    </row>
    <row r="693" spans="1:6" hidden="1">
      <c r="A693" t="s">
        <v>12</v>
      </c>
      <c r="B693">
        <v>1982</v>
      </c>
      <c r="C693" t="s">
        <v>20</v>
      </c>
      <c r="D693" s="5">
        <v>30164</v>
      </c>
      <c r="E693">
        <v>97.7</v>
      </c>
      <c r="F693">
        <v>5.9</v>
      </c>
    </row>
    <row r="694" spans="1:6" hidden="1">
      <c r="A694" t="s">
        <v>12</v>
      </c>
      <c r="B694">
        <v>1982</v>
      </c>
      <c r="C694" t="s">
        <v>21</v>
      </c>
      <c r="D694" s="5">
        <v>30195</v>
      </c>
      <c r="E694">
        <v>97.9</v>
      </c>
      <c r="F694">
        <v>5</v>
      </c>
    </row>
    <row r="695" spans="1:6" hidden="1">
      <c r="A695" t="s">
        <v>12</v>
      </c>
      <c r="B695">
        <v>1982</v>
      </c>
      <c r="C695" t="s">
        <v>22</v>
      </c>
      <c r="D695" s="5">
        <v>30225</v>
      </c>
      <c r="E695">
        <v>98.2</v>
      </c>
      <c r="F695">
        <v>5.0999999999999996</v>
      </c>
    </row>
    <row r="696" spans="1:6" hidden="1">
      <c r="A696" t="s">
        <v>12</v>
      </c>
      <c r="B696">
        <v>1982</v>
      </c>
      <c r="C696" t="s">
        <v>23</v>
      </c>
      <c r="D696" s="5">
        <v>30256</v>
      </c>
      <c r="E696">
        <v>98</v>
      </c>
      <c r="F696">
        <v>4.5999999999999996</v>
      </c>
    </row>
    <row r="697" spans="1:6" hidden="1">
      <c r="A697" t="s">
        <v>12</v>
      </c>
      <c r="B697">
        <v>1982</v>
      </c>
      <c r="C697" t="s">
        <v>24</v>
      </c>
      <c r="D697" s="5">
        <v>30286</v>
      </c>
      <c r="E697">
        <v>97.6</v>
      </c>
      <c r="F697">
        <v>3.8</v>
      </c>
    </row>
    <row r="698" spans="1:6">
      <c r="A698" t="s">
        <v>12</v>
      </c>
      <c r="B698">
        <v>1983</v>
      </c>
      <c r="C698" t="s">
        <v>13</v>
      </c>
      <c r="D698" s="5">
        <v>30317</v>
      </c>
      <c r="E698">
        <v>97.8</v>
      </c>
      <c r="F698">
        <v>3.7</v>
      </c>
    </row>
    <row r="699" spans="1:6" hidden="1">
      <c r="A699" t="s">
        <v>12</v>
      </c>
      <c r="B699">
        <v>1983</v>
      </c>
      <c r="C699" t="s">
        <v>14</v>
      </c>
      <c r="D699" s="5">
        <v>30348</v>
      </c>
      <c r="E699">
        <v>97.9</v>
      </c>
      <c r="F699">
        <v>3.5</v>
      </c>
    </row>
    <row r="700" spans="1:6" hidden="1">
      <c r="A700" t="s">
        <v>12</v>
      </c>
      <c r="B700">
        <v>1983</v>
      </c>
      <c r="C700" t="s">
        <v>15</v>
      </c>
      <c r="D700" s="5">
        <v>30376</v>
      </c>
      <c r="E700">
        <v>97.9</v>
      </c>
      <c r="F700">
        <v>3.6</v>
      </c>
    </row>
    <row r="701" spans="1:6" hidden="1">
      <c r="A701" t="s">
        <v>12</v>
      </c>
      <c r="B701">
        <v>1983</v>
      </c>
      <c r="C701" t="s">
        <v>16</v>
      </c>
      <c r="D701" s="5">
        <v>30407</v>
      </c>
      <c r="E701">
        <v>98.6</v>
      </c>
      <c r="F701">
        <v>3.9</v>
      </c>
    </row>
    <row r="702" spans="1:6" hidden="1">
      <c r="A702" t="s">
        <v>12</v>
      </c>
      <c r="B702">
        <v>1983</v>
      </c>
      <c r="C702" t="s">
        <v>17</v>
      </c>
      <c r="D702" s="5">
        <v>30437</v>
      </c>
      <c r="E702">
        <v>99.2</v>
      </c>
      <c r="F702">
        <v>3.5</v>
      </c>
    </row>
    <row r="703" spans="1:6" hidden="1">
      <c r="A703" t="s">
        <v>12</v>
      </c>
      <c r="B703">
        <v>1983</v>
      </c>
      <c r="C703" t="s">
        <v>18</v>
      </c>
      <c r="D703" s="5">
        <v>30468</v>
      </c>
      <c r="E703">
        <v>99.5</v>
      </c>
      <c r="F703">
        <v>2.6</v>
      </c>
    </row>
    <row r="704" spans="1:6" hidden="1">
      <c r="A704" t="s">
        <v>12</v>
      </c>
      <c r="B704">
        <v>1983</v>
      </c>
      <c r="C704" t="s">
        <v>19</v>
      </c>
      <c r="D704" s="5">
        <v>30498</v>
      </c>
      <c r="E704">
        <v>99.9</v>
      </c>
      <c r="F704">
        <v>2.5</v>
      </c>
    </row>
    <row r="705" spans="1:6" hidden="1">
      <c r="A705" t="s">
        <v>12</v>
      </c>
      <c r="B705">
        <v>1983</v>
      </c>
      <c r="C705" t="s">
        <v>20</v>
      </c>
      <c r="D705" s="5">
        <v>30529</v>
      </c>
      <c r="E705">
        <v>100.2</v>
      </c>
      <c r="F705">
        <v>2.6</v>
      </c>
    </row>
    <row r="706" spans="1:6" hidden="1">
      <c r="A706" t="s">
        <v>12</v>
      </c>
      <c r="B706">
        <v>1983</v>
      </c>
      <c r="C706" t="s">
        <v>21</v>
      </c>
      <c r="D706" s="5">
        <v>30560</v>
      </c>
      <c r="E706">
        <v>100.7</v>
      </c>
      <c r="F706">
        <v>2.9</v>
      </c>
    </row>
    <row r="707" spans="1:6" hidden="1">
      <c r="A707" t="s">
        <v>12</v>
      </c>
      <c r="B707">
        <v>1983</v>
      </c>
      <c r="C707" t="s">
        <v>22</v>
      </c>
      <c r="D707" s="5">
        <v>30590</v>
      </c>
      <c r="E707">
        <v>101</v>
      </c>
      <c r="F707">
        <v>2.9</v>
      </c>
    </row>
    <row r="708" spans="1:6" hidden="1">
      <c r="A708" t="s">
        <v>12</v>
      </c>
      <c r="B708">
        <v>1983</v>
      </c>
      <c r="C708" t="s">
        <v>23</v>
      </c>
      <c r="D708" s="5">
        <v>30621</v>
      </c>
      <c r="E708">
        <v>101.2</v>
      </c>
      <c r="F708">
        <v>3.3</v>
      </c>
    </row>
    <row r="709" spans="1:6" hidden="1">
      <c r="A709" t="s">
        <v>12</v>
      </c>
      <c r="B709">
        <v>1983</v>
      </c>
      <c r="C709" t="s">
        <v>24</v>
      </c>
      <c r="D709" s="5">
        <v>30651</v>
      </c>
      <c r="E709">
        <v>101.3</v>
      </c>
      <c r="F709">
        <v>3.8</v>
      </c>
    </row>
    <row r="710" spans="1:6">
      <c r="A710" t="s">
        <v>12</v>
      </c>
      <c r="B710">
        <v>1984</v>
      </c>
      <c r="C710" t="s">
        <v>13</v>
      </c>
      <c r="D710" s="5">
        <v>30682</v>
      </c>
      <c r="E710">
        <v>101.9</v>
      </c>
      <c r="F710">
        <v>4.2</v>
      </c>
    </row>
    <row r="711" spans="1:6" hidden="1">
      <c r="A711" t="s">
        <v>12</v>
      </c>
      <c r="B711">
        <v>1984</v>
      </c>
      <c r="C711" t="s">
        <v>14</v>
      </c>
      <c r="D711" s="5">
        <v>30713</v>
      </c>
      <c r="E711">
        <v>102.4</v>
      </c>
      <c r="F711">
        <v>4.5999999999999996</v>
      </c>
    </row>
    <row r="712" spans="1:6" hidden="1">
      <c r="A712" t="s">
        <v>12</v>
      </c>
      <c r="B712">
        <v>1984</v>
      </c>
      <c r="C712" t="s">
        <v>15</v>
      </c>
      <c r="D712" s="5">
        <v>30742</v>
      </c>
      <c r="E712">
        <v>102.6</v>
      </c>
      <c r="F712">
        <v>4.8</v>
      </c>
    </row>
    <row r="713" spans="1:6" hidden="1">
      <c r="A713" t="s">
        <v>12</v>
      </c>
      <c r="B713">
        <v>1984</v>
      </c>
      <c r="C713" t="s">
        <v>16</v>
      </c>
      <c r="D713" s="5">
        <v>30773</v>
      </c>
      <c r="E713">
        <v>103.1</v>
      </c>
      <c r="F713">
        <v>4.5999999999999996</v>
      </c>
    </row>
    <row r="714" spans="1:6" hidden="1">
      <c r="A714" t="s">
        <v>12</v>
      </c>
      <c r="B714">
        <v>1984</v>
      </c>
      <c r="C714" t="s">
        <v>17</v>
      </c>
      <c r="D714" s="5">
        <v>30803</v>
      </c>
      <c r="E714">
        <v>103.4</v>
      </c>
      <c r="F714">
        <v>4.2</v>
      </c>
    </row>
    <row r="715" spans="1:6" hidden="1">
      <c r="A715" t="s">
        <v>12</v>
      </c>
      <c r="B715">
        <v>1984</v>
      </c>
      <c r="C715" t="s">
        <v>18</v>
      </c>
      <c r="D715" s="5">
        <v>30834</v>
      </c>
      <c r="E715">
        <v>103.7</v>
      </c>
      <c r="F715">
        <v>4.2</v>
      </c>
    </row>
    <row r="716" spans="1:6" hidden="1">
      <c r="A716" t="s">
        <v>12</v>
      </c>
      <c r="B716">
        <v>1984</v>
      </c>
      <c r="C716" t="s">
        <v>19</v>
      </c>
      <c r="D716" s="5">
        <v>30864</v>
      </c>
      <c r="E716">
        <v>104.1</v>
      </c>
      <c r="F716">
        <v>4.2</v>
      </c>
    </row>
    <row r="717" spans="1:6" hidden="1">
      <c r="A717" t="s">
        <v>12</v>
      </c>
      <c r="B717">
        <v>1984</v>
      </c>
      <c r="C717" t="s">
        <v>20</v>
      </c>
      <c r="D717" s="5">
        <v>30895</v>
      </c>
      <c r="E717">
        <v>104.5</v>
      </c>
      <c r="F717">
        <v>4.3</v>
      </c>
    </row>
    <row r="718" spans="1:6" hidden="1">
      <c r="A718" t="s">
        <v>12</v>
      </c>
      <c r="B718">
        <v>1984</v>
      </c>
      <c r="C718" t="s">
        <v>21</v>
      </c>
      <c r="D718" s="5">
        <v>30926</v>
      </c>
      <c r="E718">
        <v>105</v>
      </c>
      <c r="F718">
        <v>4.3</v>
      </c>
    </row>
    <row r="719" spans="1:6" hidden="1">
      <c r="A719" t="s">
        <v>12</v>
      </c>
      <c r="B719">
        <v>1984</v>
      </c>
      <c r="C719" t="s">
        <v>22</v>
      </c>
      <c r="D719" s="5">
        <v>30956</v>
      </c>
      <c r="E719">
        <v>105.3</v>
      </c>
      <c r="F719">
        <v>4.3</v>
      </c>
    </row>
    <row r="720" spans="1:6" hidden="1">
      <c r="A720" t="s">
        <v>12</v>
      </c>
      <c r="B720">
        <v>1984</v>
      </c>
      <c r="C720" t="s">
        <v>23</v>
      </c>
      <c r="D720" s="5">
        <v>30987</v>
      </c>
      <c r="E720">
        <v>105.3</v>
      </c>
      <c r="F720">
        <v>4.0999999999999996</v>
      </c>
    </row>
    <row r="721" spans="1:6" hidden="1">
      <c r="A721" t="s">
        <v>12</v>
      </c>
      <c r="B721">
        <v>1984</v>
      </c>
      <c r="C721" t="s">
        <v>24</v>
      </c>
      <c r="D721" s="5">
        <v>31017</v>
      </c>
      <c r="E721">
        <v>105.3</v>
      </c>
      <c r="F721">
        <v>3.9</v>
      </c>
    </row>
    <row r="722" spans="1:6">
      <c r="A722" t="s">
        <v>12</v>
      </c>
      <c r="B722">
        <v>1985</v>
      </c>
      <c r="C722" t="s">
        <v>13</v>
      </c>
      <c r="D722" s="5">
        <v>31048</v>
      </c>
      <c r="E722">
        <v>105.5</v>
      </c>
      <c r="F722">
        <v>3.5</v>
      </c>
    </row>
    <row r="723" spans="1:6" hidden="1">
      <c r="A723" t="s">
        <v>12</v>
      </c>
      <c r="B723">
        <v>1985</v>
      </c>
      <c r="C723" t="s">
        <v>14</v>
      </c>
      <c r="D723" s="5">
        <v>31079</v>
      </c>
      <c r="E723">
        <v>106</v>
      </c>
      <c r="F723">
        <v>3.5</v>
      </c>
    </row>
    <row r="724" spans="1:6" hidden="1">
      <c r="A724" t="s">
        <v>12</v>
      </c>
      <c r="B724">
        <v>1985</v>
      </c>
      <c r="C724" t="s">
        <v>15</v>
      </c>
      <c r="D724" s="5">
        <v>31107</v>
      </c>
      <c r="E724">
        <v>106.4</v>
      </c>
      <c r="F724">
        <v>3.7</v>
      </c>
    </row>
    <row r="725" spans="1:6" hidden="1">
      <c r="A725" t="s">
        <v>12</v>
      </c>
      <c r="B725">
        <v>1985</v>
      </c>
      <c r="C725" t="s">
        <v>16</v>
      </c>
      <c r="D725" s="5">
        <v>31138</v>
      </c>
      <c r="E725">
        <v>106.9</v>
      </c>
      <c r="F725">
        <v>3.7</v>
      </c>
    </row>
    <row r="726" spans="1:6" hidden="1">
      <c r="A726" t="s">
        <v>12</v>
      </c>
      <c r="B726">
        <v>1985</v>
      </c>
      <c r="C726" t="s">
        <v>17</v>
      </c>
      <c r="D726" s="5">
        <v>31168</v>
      </c>
      <c r="E726">
        <v>107.3</v>
      </c>
      <c r="F726">
        <v>3.8</v>
      </c>
    </row>
    <row r="727" spans="1:6" hidden="1">
      <c r="A727" t="s">
        <v>12</v>
      </c>
      <c r="B727">
        <v>1985</v>
      </c>
      <c r="C727" t="s">
        <v>18</v>
      </c>
      <c r="D727" s="5">
        <v>31199</v>
      </c>
      <c r="E727">
        <v>107.6</v>
      </c>
      <c r="F727">
        <v>3.8</v>
      </c>
    </row>
    <row r="728" spans="1:6" hidden="1">
      <c r="A728" t="s">
        <v>12</v>
      </c>
      <c r="B728">
        <v>1985</v>
      </c>
      <c r="C728" t="s">
        <v>19</v>
      </c>
      <c r="D728" s="5">
        <v>31229</v>
      </c>
      <c r="E728">
        <v>107.8</v>
      </c>
      <c r="F728">
        <v>3.6</v>
      </c>
    </row>
    <row r="729" spans="1:6" hidden="1">
      <c r="A729" t="s">
        <v>12</v>
      </c>
      <c r="B729">
        <v>1985</v>
      </c>
      <c r="C729" t="s">
        <v>20</v>
      </c>
      <c r="D729" s="5">
        <v>31260</v>
      </c>
      <c r="E729">
        <v>108</v>
      </c>
      <c r="F729">
        <v>3.3</v>
      </c>
    </row>
    <row r="730" spans="1:6" hidden="1">
      <c r="A730" t="s">
        <v>12</v>
      </c>
      <c r="B730">
        <v>1985</v>
      </c>
      <c r="C730" t="s">
        <v>21</v>
      </c>
      <c r="D730" s="5">
        <v>31291</v>
      </c>
      <c r="E730">
        <v>108.3</v>
      </c>
      <c r="F730">
        <v>3.1</v>
      </c>
    </row>
    <row r="731" spans="1:6" hidden="1">
      <c r="A731" t="s">
        <v>12</v>
      </c>
      <c r="B731">
        <v>1985</v>
      </c>
      <c r="C731" t="s">
        <v>22</v>
      </c>
      <c r="D731" s="5">
        <v>31321</v>
      </c>
      <c r="E731">
        <v>108.7</v>
      </c>
      <c r="F731">
        <v>3.2</v>
      </c>
    </row>
    <row r="732" spans="1:6" hidden="1">
      <c r="A732" t="s">
        <v>12</v>
      </c>
      <c r="B732">
        <v>1985</v>
      </c>
      <c r="C732" t="s">
        <v>23</v>
      </c>
      <c r="D732" s="5">
        <v>31352</v>
      </c>
      <c r="E732">
        <v>109</v>
      </c>
      <c r="F732">
        <v>3.5</v>
      </c>
    </row>
    <row r="733" spans="1:6" hidden="1">
      <c r="A733" t="s">
        <v>12</v>
      </c>
      <c r="B733">
        <v>1985</v>
      </c>
      <c r="C733" t="s">
        <v>24</v>
      </c>
      <c r="D733" s="5">
        <v>31382</v>
      </c>
      <c r="E733">
        <v>109.3</v>
      </c>
      <c r="F733">
        <v>3.8</v>
      </c>
    </row>
    <row r="734" spans="1:6">
      <c r="A734" t="s">
        <v>12</v>
      </c>
      <c r="B734">
        <v>1986</v>
      </c>
      <c r="C734" t="s">
        <v>13</v>
      </c>
      <c r="D734" s="5">
        <v>31413</v>
      </c>
      <c r="E734">
        <v>109.6</v>
      </c>
      <c r="F734">
        <v>3.9</v>
      </c>
    </row>
    <row r="735" spans="1:6" hidden="1">
      <c r="A735" t="s">
        <v>12</v>
      </c>
      <c r="B735">
        <v>1986</v>
      </c>
      <c r="C735" t="s">
        <v>14</v>
      </c>
      <c r="D735" s="5">
        <v>31444</v>
      </c>
      <c r="E735">
        <v>109.3</v>
      </c>
      <c r="F735">
        <v>3.1</v>
      </c>
    </row>
    <row r="736" spans="1:6" hidden="1">
      <c r="A736" t="s">
        <v>12</v>
      </c>
      <c r="B736">
        <v>1986</v>
      </c>
      <c r="C736" t="s">
        <v>15</v>
      </c>
      <c r="D736" s="5">
        <v>31472</v>
      </c>
      <c r="E736">
        <v>108.8</v>
      </c>
      <c r="F736">
        <v>2.2999999999999998</v>
      </c>
    </row>
    <row r="737" spans="1:6" hidden="1">
      <c r="A737" t="s">
        <v>12</v>
      </c>
      <c r="B737">
        <v>1986</v>
      </c>
      <c r="C737" t="s">
        <v>16</v>
      </c>
      <c r="D737" s="5">
        <v>31503</v>
      </c>
      <c r="E737">
        <v>108.6</v>
      </c>
      <c r="F737">
        <v>1.6</v>
      </c>
    </row>
    <row r="738" spans="1:6" hidden="1">
      <c r="A738" t="s">
        <v>12</v>
      </c>
      <c r="B738">
        <v>1986</v>
      </c>
      <c r="C738" t="s">
        <v>17</v>
      </c>
      <c r="D738" s="5">
        <v>31533</v>
      </c>
      <c r="E738">
        <v>108.9</v>
      </c>
      <c r="F738">
        <v>1.5</v>
      </c>
    </row>
    <row r="739" spans="1:6" hidden="1">
      <c r="A739" t="s">
        <v>12</v>
      </c>
      <c r="B739">
        <v>1986</v>
      </c>
      <c r="C739" t="s">
        <v>18</v>
      </c>
      <c r="D739" s="5">
        <v>31564</v>
      </c>
      <c r="E739">
        <v>109.5</v>
      </c>
      <c r="F739">
        <v>1.8</v>
      </c>
    </row>
    <row r="740" spans="1:6" hidden="1">
      <c r="A740" t="s">
        <v>12</v>
      </c>
      <c r="B740">
        <v>1986</v>
      </c>
      <c r="C740" t="s">
        <v>19</v>
      </c>
      <c r="D740" s="5">
        <v>31594</v>
      </c>
      <c r="E740">
        <v>109.5</v>
      </c>
      <c r="F740">
        <v>1.6</v>
      </c>
    </row>
    <row r="741" spans="1:6" hidden="1">
      <c r="A741" t="s">
        <v>12</v>
      </c>
      <c r="B741">
        <v>1986</v>
      </c>
      <c r="C741" t="s">
        <v>20</v>
      </c>
      <c r="D741" s="5">
        <v>31625</v>
      </c>
      <c r="E741">
        <v>109.7</v>
      </c>
      <c r="F741">
        <v>1.6</v>
      </c>
    </row>
    <row r="742" spans="1:6" hidden="1">
      <c r="A742" t="s">
        <v>12</v>
      </c>
      <c r="B742">
        <v>1986</v>
      </c>
      <c r="C742" t="s">
        <v>21</v>
      </c>
      <c r="D742" s="5">
        <v>31656</v>
      </c>
      <c r="E742">
        <v>110.2</v>
      </c>
      <c r="F742">
        <v>1.8</v>
      </c>
    </row>
    <row r="743" spans="1:6" hidden="1">
      <c r="A743" t="s">
        <v>12</v>
      </c>
      <c r="B743">
        <v>1986</v>
      </c>
      <c r="C743" t="s">
        <v>22</v>
      </c>
      <c r="D743" s="5">
        <v>31686</v>
      </c>
      <c r="E743">
        <v>110.3</v>
      </c>
      <c r="F743">
        <v>1.5</v>
      </c>
    </row>
    <row r="744" spans="1:6" hidden="1">
      <c r="A744" t="s">
        <v>12</v>
      </c>
      <c r="B744">
        <v>1986</v>
      </c>
      <c r="C744" t="s">
        <v>23</v>
      </c>
      <c r="D744" s="5">
        <v>31717</v>
      </c>
      <c r="E744">
        <v>110.4</v>
      </c>
      <c r="F744">
        <v>1.3</v>
      </c>
    </row>
    <row r="745" spans="1:6" hidden="1">
      <c r="A745" t="s">
        <v>12</v>
      </c>
      <c r="B745">
        <v>1986</v>
      </c>
      <c r="C745" t="s">
        <v>24</v>
      </c>
      <c r="D745" s="5">
        <v>31747</v>
      </c>
      <c r="E745">
        <v>110.5</v>
      </c>
      <c r="F745">
        <v>1.1000000000000001</v>
      </c>
    </row>
    <row r="746" spans="1:6">
      <c r="A746" t="s">
        <v>12</v>
      </c>
      <c r="B746">
        <v>1987</v>
      </c>
      <c r="C746" t="s">
        <v>13</v>
      </c>
      <c r="D746" s="5">
        <v>31778</v>
      </c>
      <c r="E746">
        <v>111.2</v>
      </c>
      <c r="F746">
        <v>1.5</v>
      </c>
    </row>
    <row r="747" spans="1:6" hidden="1">
      <c r="A747" t="s">
        <v>12</v>
      </c>
      <c r="B747">
        <v>1987</v>
      </c>
      <c r="C747" t="s">
        <v>14</v>
      </c>
      <c r="D747" s="5">
        <v>31809</v>
      </c>
      <c r="E747">
        <v>111.6</v>
      </c>
      <c r="F747">
        <v>2.1</v>
      </c>
    </row>
    <row r="748" spans="1:6" hidden="1">
      <c r="A748" t="s">
        <v>12</v>
      </c>
      <c r="B748">
        <v>1987</v>
      </c>
      <c r="C748" t="s">
        <v>15</v>
      </c>
      <c r="D748" s="5">
        <v>31837</v>
      </c>
      <c r="E748">
        <v>112.1</v>
      </c>
      <c r="F748">
        <v>3</v>
      </c>
    </row>
    <row r="749" spans="1:6" hidden="1">
      <c r="A749" t="s">
        <v>12</v>
      </c>
      <c r="B749">
        <v>1987</v>
      </c>
      <c r="C749" t="s">
        <v>16</v>
      </c>
      <c r="D749" s="5">
        <v>31868</v>
      </c>
      <c r="E749">
        <v>112.7</v>
      </c>
      <c r="F749">
        <v>3.8</v>
      </c>
    </row>
    <row r="750" spans="1:6" hidden="1">
      <c r="A750" t="s">
        <v>12</v>
      </c>
      <c r="B750">
        <v>1987</v>
      </c>
      <c r="C750" t="s">
        <v>17</v>
      </c>
      <c r="D750" s="5">
        <v>31898</v>
      </c>
      <c r="E750">
        <v>113.1</v>
      </c>
      <c r="F750">
        <v>3.9</v>
      </c>
    </row>
    <row r="751" spans="1:6" hidden="1">
      <c r="A751" t="s">
        <v>12</v>
      </c>
      <c r="B751">
        <v>1987</v>
      </c>
      <c r="C751" t="s">
        <v>18</v>
      </c>
      <c r="D751" s="5">
        <v>31929</v>
      </c>
      <c r="E751">
        <v>113.5</v>
      </c>
      <c r="F751">
        <v>3.7</v>
      </c>
    </row>
    <row r="752" spans="1:6" hidden="1">
      <c r="A752" t="s">
        <v>12</v>
      </c>
      <c r="B752">
        <v>1987</v>
      </c>
      <c r="C752" t="s">
        <v>19</v>
      </c>
      <c r="D752" s="5">
        <v>31959</v>
      </c>
      <c r="E752">
        <v>113.8</v>
      </c>
      <c r="F752">
        <v>3.9</v>
      </c>
    </row>
    <row r="753" spans="1:6" hidden="1">
      <c r="A753" t="s">
        <v>12</v>
      </c>
      <c r="B753">
        <v>1987</v>
      </c>
      <c r="C753" t="s">
        <v>20</v>
      </c>
      <c r="D753" s="5">
        <v>31990</v>
      </c>
      <c r="E753">
        <v>114.4</v>
      </c>
      <c r="F753">
        <v>4.3</v>
      </c>
    </row>
    <row r="754" spans="1:6" hidden="1">
      <c r="A754" t="s">
        <v>12</v>
      </c>
      <c r="B754">
        <v>1987</v>
      </c>
      <c r="C754" t="s">
        <v>21</v>
      </c>
      <c r="D754" s="5">
        <v>32021</v>
      </c>
      <c r="E754">
        <v>115</v>
      </c>
      <c r="F754">
        <v>4.4000000000000004</v>
      </c>
    </row>
    <row r="755" spans="1:6" hidden="1">
      <c r="A755" t="s">
        <v>12</v>
      </c>
      <c r="B755">
        <v>1987</v>
      </c>
      <c r="C755" t="s">
        <v>22</v>
      </c>
      <c r="D755" s="5">
        <v>32051</v>
      </c>
      <c r="E755">
        <v>115.3</v>
      </c>
      <c r="F755">
        <v>4.5</v>
      </c>
    </row>
    <row r="756" spans="1:6" hidden="1">
      <c r="A756" t="s">
        <v>12</v>
      </c>
      <c r="B756">
        <v>1987</v>
      </c>
      <c r="C756" t="s">
        <v>23</v>
      </c>
      <c r="D756" s="5">
        <v>32082</v>
      </c>
      <c r="E756">
        <v>115.4</v>
      </c>
      <c r="F756">
        <v>4.5</v>
      </c>
    </row>
    <row r="757" spans="1:6" hidden="1">
      <c r="A757" t="s">
        <v>12</v>
      </c>
      <c r="B757">
        <v>1987</v>
      </c>
      <c r="C757" t="s">
        <v>24</v>
      </c>
      <c r="D757" s="5">
        <v>32112</v>
      </c>
      <c r="E757">
        <v>115.4</v>
      </c>
      <c r="F757">
        <v>4.4000000000000004</v>
      </c>
    </row>
    <row r="758" spans="1:6">
      <c r="A758" t="s">
        <v>12</v>
      </c>
      <c r="B758">
        <v>1988</v>
      </c>
      <c r="C758" t="s">
        <v>13</v>
      </c>
      <c r="D758" s="5">
        <v>32143</v>
      </c>
      <c r="E758">
        <v>115.7</v>
      </c>
      <c r="F758">
        <v>4</v>
      </c>
    </row>
    <row r="759" spans="1:6" hidden="1">
      <c r="A759" t="s">
        <v>12</v>
      </c>
      <c r="B759">
        <v>1988</v>
      </c>
      <c r="C759" t="s">
        <v>14</v>
      </c>
      <c r="D759" s="5">
        <v>32174</v>
      </c>
      <c r="E759">
        <v>116</v>
      </c>
      <c r="F759">
        <v>3.9</v>
      </c>
    </row>
    <row r="760" spans="1:6" hidden="1">
      <c r="A760" t="s">
        <v>12</v>
      </c>
      <c r="B760">
        <v>1988</v>
      </c>
      <c r="C760" t="s">
        <v>15</v>
      </c>
      <c r="D760" s="5">
        <v>32203</v>
      </c>
      <c r="E760">
        <v>116.5</v>
      </c>
      <c r="F760">
        <v>3.9</v>
      </c>
    </row>
    <row r="761" spans="1:6" hidden="1">
      <c r="A761" t="s">
        <v>12</v>
      </c>
      <c r="B761">
        <v>1988</v>
      </c>
      <c r="C761" t="s">
        <v>16</v>
      </c>
      <c r="D761" s="5">
        <v>32234</v>
      </c>
      <c r="E761">
        <v>117.1</v>
      </c>
      <c r="F761">
        <v>3.9</v>
      </c>
    </row>
    <row r="762" spans="1:6" hidden="1">
      <c r="A762" t="s">
        <v>12</v>
      </c>
      <c r="B762">
        <v>1988</v>
      </c>
      <c r="C762" t="s">
        <v>17</v>
      </c>
      <c r="D762" s="5">
        <v>32264</v>
      </c>
      <c r="E762">
        <v>117.5</v>
      </c>
      <c r="F762">
        <v>3.9</v>
      </c>
    </row>
    <row r="763" spans="1:6" hidden="1">
      <c r="A763" t="s">
        <v>12</v>
      </c>
      <c r="B763">
        <v>1988</v>
      </c>
      <c r="C763" t="s">
        <v>18</v>
      </c>
      <c r="D763" s="5">
        <v>32295</v>
      </c>
      <c r="E763">
        <v>118</v>
      </c>
      <c r="F763">
        <v>4</v>
      </c>
    </row>
    <row r="764" spans="1:6" hidden="1">
      <c r="A764" t="s">
        <v>12</v>
      </c>
      <c r="B764">
        <v>1988</v>
      </c>
      <c r="C764" t="s">
        <v>19</v>
      </c>
      <c r="D764" s="5">
        <v>32325</v>
      </c>
      <c r="E764">
        <v>118.5</v>
      </c>
      <c r="F764">
        <v>4.0999999999999996</v>
      </c>
    </row>
    <row r="765" spans="1:6" hidden="1">
      <c r="A765" t="s">
        <v>12</v>
      </c>
      <c r="B765">
        <v>1988</v>
      </c>
      <c r="C765" t="s">
        <v>20</v>
      </c>
      <c r="D765" s="5">
        <v>32356</v>
      </c>
      <c r="E765">
        <v>119</v>
      </c>
      <c r="F765">
        <v>4</v>
      </c>
    </row>
    <row r="766" spans="1:6" hidden="1">
      <c r="A766" t="s">
        <v>12</v>
      </c>
      <c r="B766">
        <v>1988</v>
      </c>
      <c r="C766" t="s">
        <v>21</v>
      </c>
      <c r="D766" s="5">
        <v>32387</v>
      </c>
      <c r="E766">
        <v>119.8</v>
      </c>
      <c r="F766">
        <v>4.2</v>
      </c>
    </row>
    <row r="767" spans="1:6" hidden="1">
      <c r="A767" t="s">
        <v>12</v>
      </c>
      <c r="B767">
        <v>1988</v>
      </c>
      <c r="C767" t="s">
        <v>22</v>
      </c>
      <c r="D767" s="5">
        <v>32417</v>
      </c>
      <c r="E767">
        <v>120.2</v>
      </c>
      <c r="F767">
        <v>4.2</v>
      </c>
    </row>
    <row r="768" spans="1:6" hidden="1">
      <c r="A768" t="s">
        <v>12</v>
      </c>
      <c r="B768">
        <v>1988</v>
      </c>
      <c r="C768" t="s">
        <v>23</v>
      </c>
      <c r="D768" s="5">
        <v>32448</v>
      </c>
      <c r="E768">
        <v>120.3</v>
      </c>
      <c r="F768">
        <v>4.2</v>
      </c>
    </row>
    <row r="769" spans="1:6" hidden="1">
      <c r="A769" t="s">
        <v>12</v>
      </c>
      <c r="B769">
        <v>1988</v>
      </c>
      <c r="C769" t="s">
        <v>24</v>
      </c>
      <c r="D769" s="5">
        <v>32478</v>
      </c>
      <c r="E769">
        <v>120.5</v>
      </c>
      <c r="F769">
        <v>4.4000000000000004</v>
      </c>
    </row>
    <row r="770" spans="1:6">
      <c r="A770" t="s">
        <v>12</v>
      </c>
      <c r="B770">
        <v>1989</v>
      </c>
      <c r="C770" t="s">
        <v>13</v>
      </c>
      <c r="D770" s="5">
        <v>32509</v>
      </c>
      <c r="E770">
        <v>121.1</v>
      </c>
      <c r="F770">
        <v>4.7</v>
      </c>
    </row>
    <row r="771" spans="1:6" hidden="1">
      <c r="A771" t="s">
        <v>12</v>
      </c>
      <c r="B771">
        <v>1989</v>
      </c>
      <c r="C771" t="s">
        <v>14</v>
      </c>
      <c r="D771" s="5">
        <v>32540</v>
      </c>
      <c r="E771">
        <v>121.6</v>
      </c>
      <c r="F771">
        <v>4.8</v>
      </c>
    </row>
    <row r="772" spans="1:6" hidden="1">
      <c r="A772" t="s">
        <v>12</v>
      </c>
      <c r="B772">
        <v>1989</v>
      </c>
      <c r="C772" t="s">
        <v>15</v>
      </c>
      <c r="D772" s="5">
        <v>32568</v>
      </c>
      <c r="E772">
        <v>122.3</v>
      </c>
      <c r="F772">
        <v>5</v>
      </c>
    </row>
    <row r="773" spans="1:6" hidden="1">
      <c r="A773" t="s">
        <v>12</v>
      </c>
      <c r="B773">
        <v>1989</v>
      </c>
      <c r="C773" t="s">
        <v>16</v>
      </c>
      <c r="D773" s="5">
        <v>32599</v>
      </c>
      <c r="E773">
        <v>123.1</v>
      </c>
      <c r="F773">
        <v>5.0999999999999996</v>
      </c>
    </row>
    <row r="774" spans="1:6" hidden="1">
      <c r="A774" t="s">
        <v>12</v>
      </c>
      <c r="B774">
        <v>1989</v>
      </c>
      <c r="C774" t="s">
        <v>17</v>
      </c>
      <c r="D774" s="5">
        <v>32629</v>
      </c>
      <c r="E774">
        <v>123.8</v>
      </c>
      <c r="F774">
        <v>5.4</v>
      </c>
    </row>
    <row r="775" spans="1:6" hidden="1">
      <c r="A775" t="s">
        <v>12</v>
      </c>
      <c r="B775">
        <v>1989</v>
      </c>
      <c r="C775" t="s">
        <v>18</v>
      </c>
      <c r="D775" s="5">
        <v>32660</v>
      </c>
      <c r="E775">
        <v>124.1</v>
      </c>
      <c r="F775">
        <v>5.2</v>
      </c>
    </row>
    <row r="776" spans="1:6" hidden="1">
      <c r="A776" t="s">
        <v>12</v>
      </c>
      <c r="B776">
        <v>1989</v>
      </c>
      <c r="C776" t="s">
        <v>19</v>
      </c>
      <c r="D776" s="5">
        <v>32690</v>
      </c>
      <c r="E776">
        <v>124.4</v>
      </c>
      <c r="F776">
        <v>5</v>
      </c>
    </row>
    <row r="777" spans="1:6" hidden="1">
      <c r="A777" t="s">
        <v>12</v>
      </c>
      <c r="B777">
        <v>1989</v>
      </c>
      <c r="C777" t="s">
        <v>20</v>
      </c>
      <c r="D777" s="5">
        <v>32721</v>
      </c>
      <c r="E777">
        <v>124.6</v>
      </c>
      <c r="F777">
        <v>4.7</v>
      </c>
    </row>
    <row r="778" spans="1:6" hidden="1">
      <c r="A778" t="s">
        <v>12</v>
      </c>
      <c r="B778">
        <v>1989</v>
      </c>
      <c r="C778" t="s">
        <v>21</v>
      </c>
      <c r="D778" s="5">
        <v>32752</v>
      </c>
      <c r="E778">
        <v>125</v>
      </c>
      <c r="F778">
        <v>4.3</v>
      </c>
    </row>
    <row r="779" spans="1:6" hidden="1">
      <c r="A779" t="s">
        <v>12</v>
      </c>
      <c r="B779">
        <v>1989</v>
      </c>
      <c r="C779" t="s">
        <v>22</v>
      </c>
      <c r="D779" s="5">
        <v>32782</v>
      </c>
      <c r="E779">
        <v>125.6</v>
      </c>
      <c r="F779">
        <v>4.5</v>
      </c>
    </row>
    <row r="780" spans="1:6" hidden="1">
      <c r="A780" t="s">
        <v>12</v>
      </c>
      <c r="B780">
        <v>1989</v>
      </c>
      <c r="C780" t="s">
        <v>23</v>
      </c>
      <c r="D780" s="5">
        <v>32813</v>
      </c>
      <c r="E780">
        <v>125.9</v>
      </c>
      <c r="F780">
        <v>4.7</v>
      </c>
    </row>
    <row r="781" spans="1:6" hidden="1">
      <c r="A781" t="s">
        <v>12</v>
      </c>
      <c r="B781">
        <v>1989</v>
      </c>
      <c r="C781" t="s">
        <v>24</v>
      </c>
      <c r="D781" s="5">
        <v>32843</v>
      </c>
      <c r="E781">
        <v>126.1</v>
      </c>
      <c r="F781">
        <v>4.5999999999999996</v>
      </c>
    </row>
    <row r="782" spans="1:6">
      <c r="A782" t="s">
        <v>12</v>
      </c>
      <c r="B782">
        <v>1990</v>
      </c>
      <c r="C782" t="s">
        <v>13</v>
      </c>
      <c r="D782" s="5">
        <v>32874</v>
      </c>
      <c r="E782">
        <v>127.4</v>
      </c>
      <c r="F782">
        <v>5.2</v>
      </c>
    </row>
    <row r="783" spans="1:6" hidden="1">
      <c r="A783" t="s">
        <v>12</v>
      </c>
      <c r="B783">
        <v>1990</v>
      </c>
      <c r="C783" t="s">
        <v>14</v>
      </c>
      <c r="D783" s="5">
        <v>32905</v>
      </c>
      <c r="E783">
        <v>128</v>
      </c>
      <c r="F783">
        <v>5.3</v>
      </c>
    </row>
    <row r="784" spans="1:6" hidden="1">
      <c r="A784" t="s">
        <v>12</v>
      </c>
      <c r="B784">
        <v>1990</v>
      </c>
      <c r="C784" t="s">
        <v>15</v>
      </c>
      <c r="D784" s="5">
        <v>32933</v>
      </c>
      <c r="E784">
        <v>128.69999999999999</v>
      </c>
      <c r="F784">
        <v>5.2</v>
      </c>
    </row>
    <row r="785" spans="1:6" hidden="1">
      <c r="A785" t="s">
        <v>12</v>
      </c>
      <c r="B785">
        <v>1990</v>
      </c>
      <c r="C785" t="s">
        <v>16</v>
      </c>
      <c r="D785" s="5">
        <v>32964</v>
      </c>
      <c r="E785">
        <v>128.9</v>
      </c>
      <c r="F785">
        <v>4.7</v>
      </c>
    </row>
    <row r="786" spans="1:6" hidden="1">
      <c r="A786" t="s">
        <v>12</v>
      </c>
      <c r="B786">
        <v>1990</v>
      </c>
      <c r="C786" t="s">
        <v>17</v>
      </c>
      <c r="D786" s="5">
        <v>32994</v>
      </c>
      <c r="E786">
        <v>129.19999999999999</v>
      </c>
      <c r="F786">
        <v>4.4000000000000004</v>
      </c>
    </row>
    <row r="787" spans="1:6" hidden="1">
      <c r="A787" t="s">
        <v>12</v>
      </c>
      <c r="B787">
        <v>1990</v>
      </c>
      <c r="C787" t="s">
        <v>18</v>
      </c>
      <c r="D787" s="5">
        <v>33025</v>
      </c>
      <c r="E787">
        <v>129.9</v>
      </c>
      <c r="F787">
        <v>4.7</v>
      </c>
    </row>
    <row r="788" spans="1:6" hidden="1">
      <c r="A788" t="s">
        <v>12</v>
      </c>
      <c r="B788">
        <v>1990</v>
      </c>
      <c r="C788" t="s">
        <v>19</v>
      </c>
      <c r="D788" s="5">
        <v>33055</v>
      </c>
      <c r="E788">
        <v>130.4</v>
      </c>
      <c r="F788">
        <v>4.8</v>
      </c>
    </row>
    <row r="789" spans="1:6" hidden="1">
      <c r="A789" t="s">
        <v>12</v>
      </c>
      <c r="B789">
        <v>1990</v>
      </c>
      <c r="C789" t="s">
        <v>20</v>
      </c>
      <c r="D789" s="5">
        <v>33086</v>
      </c>
      <c r="E789">
        <v>131.6</v>
      </c>
      <c r="F789">
        <v>5.6</v>
      </c>
    </row>
    <row r="790" spans="1:6" hidden="1">
      <c r="A790" t="s">
        <v>12</v>
      </c>
      <c r="B790">
        <v>1990</v>
      </c>
      <c r="C790" t="s">
        <v>21</v>
      </c>
      <c r="D790" s="5">
        <v>33117</v>
      </c>
      <c r="E790">
        <v>132.69999999999999</v>
      </c>
      <c r="F790">
        <v>6.2</v>
      </c>
    </row>
    <row r="791" spans="1:6" hidden="1">
      <c r="A791" t="s">
        <v>12</v>
      </c>
      <c r="B791">
        <v>1990</v>
      </c>
      <c r="C791" t="s">
        <v>22</v>
      </c>
      <c r="D791" s="5">
        <v>33147</v>
      </c>
      <c r="E791">
        <v>133.5</v>
      </c>
      <c r="F791">
        <v>6.3</v>
      </c>
    </row>
    <row r="792" spans="1:6" hidden="1">
      <c r="A792" t="s">
        <v>12</v>
      </c>
      <c r="B792">
        <v>1990</v>
      </c>
      <c r="C792" t="s">
        <v>23</v>
      </c>
      <c r="D792" s="5">
        <v>33178</v>
      </c>
      <c r="E792">
        <v>133.80000000000001</v>
      </c>
      <c r="F792">
        <v>6.3</v>
      </c>
    </row>
    <row r="793" spans="1:6" hidden="1">
      <c r="A793" t="s">
        <v>12</v>
      </c>
      <c r="B793">
        <v>1990</v>
      </c>
      <c r="C793" t="s">
        <v>24</v>
      </c>
      <c r="D793" s="5">
        <v>33208</v>
      </c>
      <c r="E793">
        <v>133.80000000000001</v>
      </c>
      <c r="F793">
        <v>6.1</v>
      </c>
    </row>
    <row r="794" spans="1:6">
      <c r="A794" t="s">
        <v>12</v>
      </c>
      <c r="B794">
        <v>1991</v>
      </c>
      <c r="C794" t="s">
        <v>13</v>
      </c>
      <c r="D794" s="5">
        <v>33239</v>
      </c>
      <c r="E794">
        <v>134.6</v>
      </c>
      <c r="F794">
        <v>5.7</v>
      </c>
    </row>
    <row r="795" spans="1:6" hidden="1">
      <c r="A795" t="s">
        <v>12</v>
      </c>
      <c r="B795">
        <v>1991</v>
      </c>
      <c r="C795" t="s">
        <v>14</v>
      </c>
      <c r="D795" s="5">
        <v>33270</v>
      </c>
      <c r="E795">
        <v>134.80000000000001</v>
      </c>
      <c r="F795">
        <v>5.3</v>
      </c>
    </row>
    <row r="796" spans="1:6" hidden="1">
      <c r="A796" t="s">
        <v>12</v>
      </c>
      <c r="B796">
        <v>1991</v>
      </c>
      <c r="C796" t="s">
        <v>15</v>
      </c>
      <c r="D796" s="5">
        <v>33298</v>
      </c>
      <c r="E796">
        <v>135</v>
      </c>
      <c r="F796">
        <v>4.9000000000000004</v>
      </c>
    </row>
    <row r="797" spans="1:6" hidden="1">
      <c r="A797" t="s">
        <v>12</v>
      </c>
      <c r="B797">
        <v>1991</v>
      </c>
      <c r="C797" t="s">
        <v>16</v>
      </c>
      <c r="D797" s="5">
        <v>33329</v>
      </c>
      <c r="E797">
        <v>135.19999999999999</v>
      </c>
      <c r="F797">
        <v>4.9000000000000004</v>
      </c>
    </row>
    <row r="798" spans="1:6" hidden="1">
      <c r="A798" t="s">
        <v>12</v>
      </c>
      <c r="B798">
        <v>1991</v>
      </c>
      <c r="C798" t="s">
        <v>17</v>
      </c>
      <c r="D798" s="5">
        <v>33359</v>
      </c>
      <c r="E798">
        <v>135.6</v>
      </c>
      <c r="F798">
        <v>5</v>
      </c>
    </row>
    <row r="799" spans="1:6" hidden="1">
      <c r="A799" t="s">
        <v>12</v>
      </c>
      <c r="B799">
        <v>1991</v>
      </c>
      <c r="C799" t="s">
        <v>18</v>
      </c>
      <c r="D799" s="5">
        <v>33390</v>
      </c>
      <c r="E799">
        <v>136</v>
      </c>
      <c r="F799">
        <v>4.7</v>
      </c>
    </row>
    <row r="800" spans="1:6" hidden="1">
      <c r="A800" t="s">
        <v>12</v>
      </c>
      <c r="B800">
        <v>1991</v>
      </c>
      <c r="C800" t="s">
        <v>19</v>
      </c>
      <c r="D800" s="5">
        <v>33420</v>
      </c>
      <c r="E800">
        <v>136.19999999999999</v>
      </c>
      <c r="F800">
        <v>4.4000000000000004</v>
      </c>
    </row>
    <row r="801" spans="1:6" hidden="1">
      <c r="A801" t="s">
        <v>12</v>
      </c>
      <c r="B801">
        <v>1991</v>
      </c>
      <c r="C801" t="s">
        <v>20</v>
      </c>
      <c r="D801" s="5">
        <v>33451</v>
      </c>
      <c r="E801">
        <v>136.6</v>
      </c>
      <c r="F801">
        <v>3.8</v>
      </c>
    </row>
    <row r="802" spans="1:6" hidden="1">
      <c r="A802" t="s">
        <v>12</v>
      </c>
      <c r="B802">
        <v>1991</v>
      </c>
      <c r="C802" t="s">
        <v>21</v>
      </c>
      <c r="D802" s="5">
        <v>33482</v>
      </c>
      <c r="E802">
        <v>137.19999999999999</v>
      </c>
      <c r="F802">
        <v>3.4</v>
      </c>
    </row>
    <row r="803" spans="1:6" hidden="1">
      <c r="A803" t="s">
        <v>12</v>
      </c>
      <c r="B803">
        <v>1991</v>
      </c>
      <c r="C803" t="s">
        <v>22</v>
      </c>
      <c r="D803" s="5">
        <v>33512</v>
      </c>
      <c r="E803">
        <v>137.4</v>
      </c>
      <c r="F803">
        <v>2.9</v>
      </c>
    </row>
    <row r="804" spans="1:6" hidden="1">
      <c r="A804" t="s">
        <v>12</v>
      </c>
      <c r="B804">
        <v>1991</v>
      </c>
      <c r="C804" t="s">
        <v>23</v>
      </c>
      <c r="D804" s="5">
        <v>33543</v>
      </c>
      <c r="E804">
        <v>137.80000000000001</v>
      </c>
      <c r="F804">
        <v>3</v>
      </c>
    </row>
    <row r="805" spans="1:6" hidden="1">
      <c r="A805" t="s">
        <v>12</v>
      </c>
      <c r="B805">
        <v>1991</v>
      </c>
      <c r="C805" t="s">
        <v>24</v>
      </c>
      <c r="D805" s="5">
        <v>33573</v>
      </c>
      <c r="E805">
        <v>137.9</v>
      </c>
      <c r="F805">
        <v>3.1</v>
      </c>
    </row>
    <row r="806" spans="1:6">
      <c r="A806" t="s">
        <v>12</v>
      </c>
      <c r="B806">
        <v>1992</v>
      </c>
      <c r="C806" t="s">
        <v>13</v>
      </c>
      <c r="D806" s="5">
        <v>33604</v>
      </c>
      <c r="E806">
        <v>138.1</v>
      </c>
      <c r="F806">
        <v>2.6</v>
      </c>
    </row>
    <row r="807" spans="1:6" hidden="1">
      <c r="A807" t="s">
        <v>12</v>
      </c>
      <c r="B807">
        <v>1992</v>
      </c>
      <c r="C807" t="s">
        <v>14</v>
      </c>
      <c r="D807" s="5">
        <v>33635</v>
      </c>
      <c r="E807">
        <v>138.6</v>
      </c>
      <c r="F807">
        <v>2.8</v>
      </c>
    </row>
    <row r="808" spans="1:6" hidden="1">
      <c r="A808" t="s">
        <v>12</v>
      </c>
      <c r="B808">
        <v>1992</v>
      </c>
      <c r="C808" t="s">
        <v>15</v>
      </c>
      <c r="D808" s="5">
        <v>33664</v>
      </c>
      <c r="E808">
        <v>139.30000000000001</v>
      </c>
      <c r="F808">
        <v>3.2</v>
      </c>
    </row>
    <row r="809" spans="1:6" hidden="1">
      <c r="A809" t="s">
        <v>12</v>
      </c>
      <c r="B809">
        <v>1992</v>
      </c>
      <c r="C809" t="s">
        <v>16</v>
      </c>
      <c r="D809" s="5">
        <v>33695</v>
      </c>
      <c r="E809">
        <v>139.5</v>
      </c>
      <c r="F809">
        <v>3.2</v>
      </c>
    </row>
    <row r="810" spans="1:6" hidden="1">
      <c r="A810" t="s">
        <v>12</v>
      </c>
      <c r="B810">
        <v>1992</v>
      </c>
      <c r="C810" t="s">
        <v>17</v>
      </c>
      <c r="D810" s="5">
        <v>33725</v>
      </c>
      <c r="E810">
        <v>139.69999999999999</v>
      </c>
      <c r="F810">
        <v>3</v>
      </c>
    </row>
    <row r="811" spans="1:6" hidden="1">
      <c r="A811" t="s">
        <v>12</v>
      </c>
      <c r="B811">
        <v>1992</v>
      </c>
      <c r="C811" t="s">
        <v>18</v>
      </c>
      <c r="D811" s="5">
        <v>33756</v>
      </c>
      <c r="E811">
        <v>140.19999999999999</v>
      </c>
      <c r="F811">
        <v>3.1</v>
      </c>
    </row>
    <row r="812" spans="1:6" hidden="1">
      <c r="A812" t="s">
        <v>12</v>
      </c>
      <c r="B812">
        <v>1992</v>
      </c>
      <c r="C812" t="s">
        <v>19</v>
      </c>
      <c r="D812" s="5">
        <v>33786</v>
      </c>
      <c r="E812">
        <v>140.5</v>
      </c>
      <c r="F812">
        <v>3.2</v>
      </c>
    </row>
    <row r="813" spans="1:6" hidden="1">
      <c r="A813" t="s">
        <v>12</v>
      </c>
      <c r="B813">
        <v>1992</v>
      </c>
      <c r="C813" t="s">
        <v>20</v>
      </c>
      <c r="D813" s="5">
        <v>33817</v>
      </c>
      <c r="E813">
        <v>140.9</v>
      </c>
      <c r="F813">
        <v>3.1</v>
      </c>
    </row>
    <row r="814" spans="1:6" hidden="1">
      <c r="A814" t="s">
        <v>12</v>
      </c>
      <c r="B814">
        <v>1992</v>
      </c>
      <c r="C814" t="s">
        <v>21</v>
      </c>
      <c r="D814" s="5">
        <v>33848</v>
      </c>
      <c r="E814">
        <v>141.30000000000001</v>
      </c>
      <c r="F814">
        <v>3</v>
      </c>
    </row>
    <row r="815" spans="1:6" hidden="1">
      <c r="A815" t="s">
        <v>12</v>
      </c>
      <c r="B815">
        <v>1992</v>
      </c>
      <c r="C815" t="s">
        <v>22</v>
      </c>
      <c r="D815" s="5">
        <v>33878</v>
      </c>
      <c r="E815">
        <v>141.80000000000001</v>
      </c>
      <c r="F815">
        <v>3.2</v>
      </c>
    </row>
    <row r="816" spans="1:6" hidden="1">
      <c r="A816" t="s">
        <v>12</v>
      </c>
      <c r="B816">
        <v>1992</v>
      </c>
      <c r="C816" t="s">
        <v>23</v>
      </c>
      <c r="D816" s="5">
        <v>33909</v>
      </c>
      <c r="E816">
        <v>142</v>
      </c>
      <c r="F816">
        <v>3</v>
      </c>
    </row>
    <row r="817" spans="1:6" hidden="1">
      <c r="A817" t="s">
        <v>12</v>
      </c>
      <c r="B817">
        <v>1992</v>
      </c>
      <c r="C817" t="s">
        <v>24</v>
      </c>
      <c r="D817" s="5">
        <v>33939</v>
      </c>
      <c r="E817">
        <v>141.9</v>
      </c>
      <c r="F817">
        <v>2.9</v>
      </c>
    </row>
    <row r="818" spans="1:6">
      <c r="A818" t="s">
        <v>12</v>
      </c>
      <c r="B818">
        <v>1993</v>
      </c>
      <c r="C818" t="s">
        <v>13</v>
      </c>
      <c r="D818" s="5">
        <v>33970</v>
      </c>
      <c r="E818">
        <v>142.6</v>
      </c>
      <c r="F818">
        <v>3.3</v>
      </c>
    </row>
    <row r="819" spans="1:6" hidden="1">
      <c r="A819" t="s">
        <v>12</v>
      </c>
      <c r="B819">
        <v>1993</v>
      </c>
      <c r="C819" t="s">
        <v>14</v>
      </c>
      <c r="D819" s="5">
        <v>34001</v>
      </c>
      <c r="E819">
        <v>143.1</v>
      </c>
      <c r="F819">
        <v>3.2</v>
      </c>
    </row>
    <row r="820" spans="1:6" hidden="1">
      <c r="A820" t="s">
        <v>12</v>
      </c>
      <c r="B820">
        <v>1993</v>
      </c>
      <c r="C820" t="s">
        <v>15</v>
      </c>
      <c r="D820" s="5">
        <v>34029</v>
      </c>
      <c r="E820">
        <v>143.6</v>
      </c>
      <c r="F820">
        <v>3.1</v>
      </c>
    </row>
    <row r="821" spans="1:6" hidden="1">
      <c r="A821" t="s">
        <v>12</v>
      </c>
      <c r="B821">
        <v>1993</v>
      </c>
      <c r="C821" t="s">
        <v>16</v>
      </c>
      <c r="D821" s="5">
        <v>34060</v>
      </c>
      <c r="E821">
        <v>144</v>
      </c>
      <c r="F821">
        <v>3.2</v>
      </c>
    </row>
    <row r="822" spans="1:6" hidden="1">
      <c r="A822" t="s">
        <v>12</v>
      </c>
      <c r="B822">
        <v>1993</v>
      </c>
      <c r="C822" t="s">
        <v>17</v>
      </c>
      <c r="D822" s="5">
        <v>34090</v>
      </c>
      <c r="E822">
        <v>144.19999999999999</v>
      </c>
      <c r="F822">
        <v>3.2</v>
      </c>
    </row>
    <row r="823" spans="1:6" hidden="1">
      <c r="A823" t="s">
        <v>12</v>
      </c>
      <c r="B823">
        <v>1993</v>
      </c>
      <c r="C823" t="s">
        <v>18</v>
      </c>
      <c r="D823" s="5">
        <v>34121</v>
      </c>
      <c r="E823">
        <v>144.4</v>
      </c>
      <c r="F823">
        <v>3</v>
      </c>
    </row>
    <row r="824" spans="1:6" hidden="1">
      <c r="A824" t="s">
        <v>12</v>
      </c>
      <c r="B824">
        <v>1993</v>
      </c>
      <c r="C824" t="s">
        <v>19</v>
      </c>
      <c r="D824" s="5">
        <v>34151</v>
      </c>
      <c r="E824">
        <v>144.4</v>
      </c>
      <c r="F824">
        <v>2.8</v>
      </c>
    </row>
    <row r="825" spans="1:6" hidden="1">
      <c r="A825" t="s">
        <v>12</v>
      </c>
      <c r="B825">
        <v>1993</v>
      </c>
      <c r="C825" t="s">
        <v>20</v>
      </c>
      <c r="D825" s="5">
        <v>34182</v>
      </c>
      <c r="E825">
        <v>144.80000000000001</v>
      </c>
      <c r="F825">
        <v>2.8</v>
      </c>
    </row>
    <row r="826" spans="1:6" hidden="1">
      <c r="A826" t="s">
        <v>12</v>
      </c>
      <c r="B826">
        <v>1993</v>
      </c>
      <c r="C826" t="s">
        <v>21</v>
      </c>
      <c r="D826" s="5">
        <v>34213</v>
      </c>
      <c r="E826">
        <v>145.1</v>
      </c>
      <c r="F826">
        <v>2.7</v>
      </c>
    </row>
    <row r="827" spans="1:6" hidden="1">
      <c r="A827" t="s">
        <v>12</v>
      </c>
      <c r="B827">
        <v>1993</v>
      </c>
      <c r="C827" t="s">
        <v>22</v>
      </c>
      <c r="D827" s="5">
        <v>34243</v>
      </c>
      <c r="E827">
        <v>145.69999999999999</v>
      </c>
      <c r="F827">
        <v>2.8</v>
      </c>
    </row>
    <row r="828" spans="1:6" hidden="1">
      <c r="A828" t="s">
        <v>12</v>
      </c>
      <c r="B828">
        <v>1993</v>
      </c>
      <c r="C828" t="s">
        <v>23</v>
      </c>
      <c r="D828" s="5">
        <v>34274</v>
      </c>
      <c r="E828">
        <v>145.80000000000001</v>
      </c>
      <c r="F828">
        <v>2.7</v>
      </c>
    </row>
    <row r="829" spans="1:6" hidden="1">
      <c r="A829" t="s">
        <v>12</v>
      </c>
      <c r="B829">
        <v>1993</v>
      </c>
      <c r="C829" t="s">
        <v>24</v>
      </c>
      <c r="D829" s="5">
        <v>34304</v>
      </c>
      <c r="E829">
        <v>145.80000000000001</v>
      </c>
      <c r="F829">
        <v>2.7</v>
      </c>
    </row>
    <row r="830" spans="1:6">
      <c r="A830" t="s">
        <v>12</v>
      </c>
      <c r="B830">
        <v>1994</v>
      </c>
      <c r="C830" t="s">
        <v>13</v>
      </c>
      <c r="D830" s="5">
        <v>34335</v>
      </c>
      <c r="E830">
        <v>146.19999999999999</v>
      </c>
      <c r="F830">
        <v>2.5</v>
      </c>
    </row>
    <row r="831" spans="1:6" hidden="1">
      <c r="A831" t="s">
        <v>12</v>
      </c>
      <c r="B831">
        <v>1994</v>
      </c>
      <c r="C831" t="s">
        <v>14</v>
      </c>
      <c r="D831" s="5">
        <v>34366</v>
      </c>
      <c r="E831">
        <v>146.69999999999999</v>
      </c>
      <c r="F831">
        <v>2.5</v>
      </c>
    </row>
    <row r="832" spans="1:6" hidden="1">
      <c r="A832" t="s">
        <v>12</v>
      </c>
      <c r="B832">
        <v>1994</v>
      </c>
      <c r="C832" t="s">
        <v>15</v>
      </c>
      <c r="D832" s="5">
        <v>34394</v>
      </c>
      <c r="E832">
        <v>147.19999999999999</v>
      </c>
      <c r="F832">
        <v>2.5</v>
      </c>
    </row>
    <row r="833" spans="1:6" hidden="1">
      <c r="A833" t="s">
        <v>12</v>
      </c>
      <c r="B833">
        <v>1994</v>
      </c>
      <c r="C833" t="s">
        <v>16</v>
      </c>
      <c r="D833" s="5">
        <v>34425</v>
      </c>
      <c r="E833">
        <v>147.4</v>
      </c>
      <c r="F833">
        <v>2.4</v>
      </c>
    </row>
    <row r="834" spans="1:6" hidden="1">
      <c r="A834" t="s">
        <v>12</v>
      </c>
      <c r="B834">
        <v>1994</v>
      </c>
      <c r="C834" t="s">
        <v>17</v>
      </c>
      <c r="D834" s="5">
        <v>34455</v>
      </c>
      <c r="E834">
        <v>147.5</v>
      </c>
      <c r="F834">
        <v>2.2999999999999998</v>
      </c>
    </row>
    <row r="835" spans="1:6" hidden="1">
      <c r="A835" t="s">
        <v>12</v>
      </c>
      <c r="B835">
        <v>1994</v>
      </c>
      <c r="C835" t="s">
        <v>18</v>
      </c>
      <c r="D835" s="5">
        <v>34486</v>
      </c>
      <c r="E835">
        <v>148</v>
      </c>
      <c r="F835">
        <v>2.5</v>
      </c>
    </row>
    <row r="836" spans="1:6" hidden="1">
      <c r="A836" t="s">
        <v>12</v>
      </c>
      <c r="B836">
        <v>1994</v>
      </c>
      <c r="C836" t="s">
        <v>19</v>
      </c>
      <c r="D836" s="5">
        <v>34516</v>
      </c>
      <c r="E836">
        <v>148.4</v>
      </c>
      <c r="F836">
        <v>2.8</v>
      </c>
    </row>
    <row r="837" spans="1:6" hidden="1">
      <c r="A837" t="s">
        <v>12</v>
      </c>
      <c r="B837">
        <v>1994</v>
      </c>
      <c r="C837" t="s">
        <v>20</v>
      </c>
      <c r="D837" s="5">
        <v>34547</v>
      </c>
      <c r="E837">
        <v>149</v>
      </c>
      <c r="F837">
        <v>2.9</v>
      </c>
    </row>
    <row r="838" spans="1:6" hidden="1">
      <c r="A838" t="s">
        <v>12</v>
      </c>
      <c r="B838">
        <v>1994</v>
      </c>
      <c r="C838" t="s">
        <v>21</v>
      </c>
      <c r="D838" s="5">
        <v>34578</v>
      </c>
      <c r="E838">
        <v>149.4</v>
      </c>
      <c r="F838">
        <v>3</v>
      </c>
    </row>
    <row r="839" spans="1:6" hidden="1">
      <c r="A839" t="s">
        <v>12</v>
      </c>
      <c r="B839">
        <v>1994</v>
      </c>
      <c r="C839" t="s">
        <v>22</v>
      </c>
      <c r="D839" s="5">
        <v>34608</v>
      </c>
      <c r="E839">
        <v>149.5</v>
      </c>
      <c r="F839">
        <v>2.6</v>
      </c>
    </row>
    <row r="840" spans="1:6" hidden="1">
      <c r="A840" t="s">
        <v>12</v>
      </c>
      <c r="B840">
        <v>1994</v>
      </c>
      <c r="C840" t="s">
        <v>23</v>
      </c>
      <c r="D840" s="5">
        <v>34639</v>
      </c>
      <c r="E840">
        <v>149.69999999999999</v>
      </c>
      <c r="F840">
        <v>2.7</v>
      </c>
    </row>
    <row r="841" spans="1:6" hidden="1">
      <c r="A841" t="s">
        <v>12</v>
      </c>
      <c r="B841">
        <v>1994</v>
      </c>
      <c r="C841" t="s">
        <v>24</v>
      </c>
      <c r="D841" s="5">
        <v>34669</v>
      </c>
      <c r="E841">
        <v>149.69999999999999</v>
      </c>
      <c r="F841">
        <v>2.7</v>
      </c>
    </row>
    <row r="842" spans="1:6">
      <c r="A842" t="s">
        <v>12</v>
      </c>
      <c r="B842">
        <v>1995</v>
      </c>
      <c r="C842" t="s">
        <v>13</v>
      </c>
      <c r="D842" s="5">
        <v>34700</v>
      </c>
      <c r="E842">
        <v>150.30000000000001</v>
      </c>
      <c r="F842">
        <v>2.8</v>
      </c>
    </row>
    <row r="843" spans="1:6" hidden="1">
      <c r="A843" t="s">
        <v>12</v>
      </c>
      <c r="B843">
        <v>1995</v>
      </c>
      <c r="C843" t="s">
        <v>14</v>
      </c>
      <c r="D843" s="5">
        <v>34731</v>
      </c>
      <c r="E843">
        <v>150.9</v>
      </c>
      <c r="F843">
        <v>2.9</v>
      </c>
    </row>
    <row r="844" spans="1:6" hidden="1">
      <c r="A844" t="s">
        <v>12</v>
      </c>
      <c r="B844">
        <v>1995</v>
      </c>
      <c r="C844" t="s">
        <v>15</v>
      </c>
      <c r="D844" s="5">
        <v>34759</v>
      </c>
      <c r="E844">
        <v>151.4</v>
      </c>
      <c r="F844">
        <v>2.9</v>
      </c>
    </row>
    <row r="845" spans="1:6" hidden="1">
      <c r="A845" t="s">
        <v>12</v>
      </c>
      <c r="B845">
        <v>1995</v>
      </c>
      <c r="C845" t="s">
        <v>16</v>
      </c>
      <c r="D845" s="5">
        <v>34790</v>
      </c>
      <c r="E845">
        <v>151.9</v>
      </c>
      <c r="F845">
        <v>3.1</v>
      </c>
    </row>
    <row r="846" spans="1:6" hidden="1">
      <c r="A846" t="s">
        <v>12</v>
      </c>
      <c r="B846">
        <v>1995</v>
      </c>
      <c r="C846" t="s">
        <v>17</v>
      </c>
      <c r="D846" s="5">
        <v>34820</v>
      </c>
      <c r="E846">
        <v>152.19999999999999</v>
      </c>
      <c r="F846">
        <v>3.2</v>
      </c>
    </row>
    <row r="847" spans="1:6" hidden="1">
      <c r="A847" t="s">
        <v>12</v>
      </c>
      <c r="B847">
        <v>1995</v>
      </c>
      <c r="C847" t="s">
        <v>18</v>
      </c>
      <c r="D847" s="5">
        <v>34851</v>
      </c>
      <c r="E847">
        <v>152.5</v>
      </c>
      <c r="F847">
        <v>3</v>
      </c>
    </row>
    <row r="848" spans="1:6" hidden="1">
      <c r="A848" t="s">
        <v>12</v>
      </c>
      <c r="B848">
        <v>1995</v>
      </c>
      <c r="C848" t="s">
        <v>19</v>
      </c>
      <c r="D848" s="5">
        <v>34881</v>
      </c>
      <c r="E848">
        <v>152.5</v>
      </c>
      <c r="F848">
        <v>2.8</v>
      </c>
    </row>
    <row r="849" spans="1:6" hidden="1">
      <c r="A849" t="s">
        <v>12</v>
      </c>
      <c r="B849">
        <v>1995</v>
      </c>
      <c r="C849" t="s">
        <v>20</v>
      </c>
      <c r="D849" s="5">
        <v>34912</v>
      </c>
      <c r="E849">
        <v>152.9</v>
      </c>
      <c r="F849">
        <v>2.6</v>
      </c>
    </row>
    <row r="850" spans="1:6" hidden="1">
      <c r="A850" t="s">
        <v>12</v>
      </c>
      <c r="B850">
        <v>1995</v>
      </c>
      <c r="C850" t="s">
        <v>21</v>
      </c>
      <c r="D850" s="5">
        <v>34943</v>
      </c>
      <c r="E850">
        <v>153.19999999999999</v>
      </c>
      <c r="F850">
        <v>2.5</v>
      </c>
    </row>
    <row r="851" spans="1:6" hidden="1">
      <c r="A851" t="s">
        <v>12</v>
      </c>
      <c r="B851">
        <v>1995</v>
      </c>
      <c r="C851" t="s">
        <v>22</v>
      </c>
      <c r="D851" s="5">
        <v>34973</v>
      </c>
      <c r="E851">
        <v>153.69999999999999</v>
      </c>
      <c r="F851">
        <v>2.8</v>
      </c>
    </row>
    <row r="852" spans="1:6" hidden="1">
      <c r="A852" t="s">
        <v>12</v>
      </c>
      <c r="B852">
        <v>1995</v>
      </c>
      <c r="C852" t="s">
        <v>23</v>
      </c>
      <c r="D852" s="5">
        <v>35004</v>
      </c>
      <c r="E852">
        <v>153.6</v>
      </c>
      <c r="F852">
        <v>2.6</v>
      </c>
    </row>
    <row r="853" spans="1:6" hidden="1">
      <c r="A853" t="s">
        <v>12</v>
      </c>
      <c r="B853">
        <v>1995</v>
      </c>
      <c r="C853" t="s">
        <v>24</v>
      </c>
      <c r="D853" s="5">
        <v>35034</v>
      </c>
      <c r="E853">
        <v>153.5</v>
      </c>
      <c r="F853">
        <v>2.5</v>
      </c>
    </row>
    <row r="854" spans="1:6">
      <c r="A854" t="s">
        <v>12</v>
      </c>
      <c r="B854">
        <v>1996</v>
      </c>
      <c r="C854" t="s">
        <v>13</v>
      </c>
      <c r="D854" s="5">
        <v>35065</v>
      </c>
      <c r="E854">
        <v>154.4</v>
      </c>
      <c r="F854">
        <v>2.7</v>
      </c>
    </row>
    <row r="855" spans="1:6" hidden="1">
      <c r="A855" t="s">
        <v>12</v>
      </c>
      <c r="B855">
        <v>1996</v>
      </c>
      <c r="C855" t="s">
        <v>14</v>
      </c>
      <c r="D855" s="5">
        <v>35096</v>
      </c>
      <c r="E855">
        <v>154.9</v>
      </c>
      <c r="F855">
        <v>2.7</v>
      </c>
    </row>
    <row r="856" spans="1:6" hidden="1">
      <c r="A856" t="s">
        <v>12</v>
      </c>
      <c r="B856">
        <v>1996</v>
      </c>
      <c r="C856" t="s">
        <v>15</v>
      </c>
      <c r="D856" s="5">
        <v>35125</v>
      </c>
      <c r="E856">
        <v>155.69999999999999</v>
      </c>
      <c r="F856">
        <v>2.8</v>
      </c>
    </row>
    <row r="857" spans="1:6" hidden="1">
      <c r="A857" t="s">
        <v>12</v>
      </c>
      <c r="B857">
        <v>1996</v>
      </c>
      <c r="C857" t="s">
        <v>16</v>
      </c>
      <c r="D857" s="5">
        <v>35156</v>
      </c>
      <c r="E857">
        <v>156.30000000000001</v>
      </c>
      <c r="F857">
        <v>2.9</v>
      </c>
    </row>
    <row r="858" spans="1:6" hidden="1">
      <c r="A858" t="s">
        <v>12</v>
      </c>
      <c r="B858">
        <v>1996</v>
      </c>
      <c r="C858" t="s">
        <v>17</v>
      </c>
      <c r="D858" s="5">
        <v>35186</v>
      </c>
      <c r="E858">
        <v>156.6</v>
      </c>
      <c r="F858">
        <v>2.9</v>
      </c>
    </row>
    <row r="859" spans="1:6" hidden="1">
      <c r="A859" t="s">
        <v>12</v>
      </c>
      <c r="B859">
        <v>1996</v>
      </c>
      <c r="C859" t="s">
        <v>18</v>
      </c>
      <c r="D859" s="5">
        <v>35217</v>
      </c>
      <c r="E859">
        <v>156.69999999999999</v>
      </c>
      <c r="F859">
        <v>2.8</v>
      </c>
    </row>
    <row r="860" spans="1:6" hidden="1">
      <c r="A860" t="s">
        <v>12</v>
      </c>
      <c r="B860">
        <v>1996</v>
      </c>
      <c r="C860" t="s">
        <v>19</v>
      </c>
      <c r="D860" s="5">
        <v>35247</v>
      </c>
      <c r="E860">
        <v>157</v>
      </c>
      <c r="F860">
        <v>3</v>
      </c>
    </row>
    <row r="861" spans="1:6" hidden="1">
      <c r="A861" t="s">
        <v>12</v>
      </c>
      <c r="B861">
        <v>1996</v>
      </c>
      <c r="C861" t="s">
        <v>20</v>
      </c>
      <c r="D861" s="5">
        <v>35278</v>
      </c>
      <c r="E861">
        <v>157.30000000000001</v>
      </c>
      <c r="F861">
        <v>2.9</v>
      </c>
    </row>
    <row r="862" spans="1:6" hidden="1">
      <c r="A862" t="s">
        <v>12</v>
      </c>
      <c r="B862">
        <v>1996</v>
      </c>
      <c r="C862" t="s">
        <v>21</v>
      </c>
      <c r="D862" s="5">
        <v>35309</v>
      </c>
      <c r="E862">
        <v>157.80000000000001</v>
      </c>
      <c r="F862">
        <v>3</v>
      </c>
    </row>
    <row r="863" spans="1:6" hidden="1">
      <c r="A863" t="s">
        <v>12</v>
      </c>
      <c r="B863">
        <v>1996</v>
      </c>
      <c r="C863" t="s">
        <v>22</v>
      </c>
      <c r="D863" s="5">
        <v>35339</v>
      </c>
      <c r="E863">
        <v>158.30000000000001</v>
      </c>
      <c r="F863">
        <v>3</v>
      </c>
    </row>
    <row r="864" spans="1:6" hidden="1">
      <c r="A864" t="s">
        <v>12</v>
      </c>
      <c r="B864">
        <v>1996</v>
      </c>
      <c r="C864" t="s">
        <v>23</v>
      </c>
      <c r="D864" s="5">
        <v>35370</v>
      </c>
      <c r="E864">
        <v>158.6</v>
      </c>
      <c r="F864">
        <v>3.3</v>
      </c>
    </row>
    <row r="865" spans="1:6" hidden="1">
      <c r="A865" t="s">
        <v>12</v>
      </c>
      <c r="B865">
        <v>1996</v>
      </c>
      <c r="C865" t="s">
        <v>24</v>
      </c>
      <c r="D865" s="5">
        <v>35400</v>
      </c>
      <c r="E865">
        <v>158.6</v>
      </c>
      <c r="F865">
        <v>3.3</v>
      </c>
    </row>
    <row r="866" spans="1:6">
      <c r="A866" t="s">
        <v>12</v>
      </c>
      <c r="B866">
        <v>1997</v>
      </c>
      <c r="C866" t="s">
        <v>13</v>
      </c>
      <c r="D866" s="5">
        <v>35431</v>
      </c>
      <c r="E866">
        <v>159.1</v>
      </c>
      <c r="F866">
        <v>3</v>
      </c>
    </row>
    <row r="867" spans="1:6" hidden="1">
      <c r="A867" t="s">
        <v>12</v>
      </c>
      <c r="B867">
        <v>1997</v>
      </c>
      <c r="C867" t="s">
        <v>14</v>
      </c>
      <c r="D867" s="5">
        <v>35462</v>
      </c>
      <c r="E867">
        <v>159.6</v>
      </c>
      <c r="F867">
        <v>3</v>
      </c>
    </row>
    <row r="868" spans="1:6" hidden="1">
      <c r="A868" t="s">
        <v>12</v>
      </c>
      <c r="B868">
        <v>1997</v>
      </c>
      <c r="C868" t="s">
        <v>15</v>
      </c>
      <c r="D868" s="5">
        <v>35490</v>
      </c>
      <c r="E868">
        <v>160</v>
      </c>
      <c r="F868">
        <v>2.8</v>
      </c>
    </row>
    <row r="869" spans="1:6" hidden="1">
      <c r="A869" t="s">
        <v>12</v>
      </c>
      <c r="B869">
        <v>1997</v>
      </c>
      <c r="C869" t="s">
        <v>16</v>
      </c>
      <c r="D869" s="5">
        <v>35521</v>
      </c>
      <c r="E869">
        <v>160.19999999999999</v>
      </c>
      <c r="F869">
        <v>2.5</v>
      </c>
    </row>
    <row r="870" spans="1:6" hidden="1">
      <c r="A870" t="s">
        <v>12</v>
      </c>
      <c r="B870">
        <v>1997</v>
      </c>
      <c r="C870" t="s">
        <v>17</v>
      </c>
      <c r="D870" s="5">
        <v>35551</v>
      </c>
      <c r="E870">
        <v>160.1</v>
      </c>
      <c r="F870">
        <v>2.2000000000000002</v>
      </c>
    </row>
    <row r="871" spans="1:6" hidden="1">
      <c r="A871" t="s">
        <v>12</v>
      </c>
      <c r="B871">
        <v>1997</v>
      </c>
      <c r="C871" t="s">
        <v>18</v>
      </c>
      <c r="D871" s="5">
        <v>35582</v>
      </c>
      <c r="E871">
        <v>160.30000000000001</v>
      </c>
      <c r="F871">
        <v>2.2999999999999998</v>
      </c>
    </row>
    <row r="872" spans="1:6" hidden="1">
      <c r="A872" t="s">
        <v>12</v>
      </c>
      <c r="B872">
        <v>1997</v>
      </c>
      <c r="C872" t="s">
        <v>19</v>
      </c>
      <c r="D872" s="5">
        <v>35612</v>
      </c>
      <c r="E872">
        <v>160.5</v>
      </c>
      <c r="F872">
        <v>2.2000000000000002</v>
      </c>
    </row>
    <row r="873" spans="1:6" hidden="1">
      <c r="A873" t="s">
        <v>12</v>
      </c>
      <c r="B873">
        <v>1997</v>
      </c>
      <c r="C873" t="s">
        <v>20</v>
      </c>
      <c r="D873" s="5">
        <v>35643</v>
      </c>
      <c r="E873">
        <v>160.80000000000001</v>
      </c>
      <c r="F873">
        <v>2.2000000000000002</v>
      </c>
    </row>
    <row r="874" spans="1:6" hidden="1">
      <c r="A874" t="s">
        <v>12</v>
      </c>
      <c r="B874">
        <v>1997</v>
      </c>
      <c r="C874" t="s">
        <v>21</v>
      </c>
      <c r="D874" s="5">
        <v>35674</v>
      </c>
      <c r="E874">
        <v>161.19999999999999</v>
      </c>
      <c r="F874">
        <v>2.2000000000000002</v>
      </c>
    </row>
    <row r="875" spans="1:6" hidden="1">
      <c r="A875" t="s">
        <v>12</v>
      </c>
      <c r="B875">
        <v>1997</v>
      </c>
      <c r="C875" t="s">
        <v>22</v>
      </c>
      <c r="D875" s="5">
        <v>35704</v>
      </c>
      <c r="E875">
        <v>161.6</v>
      </c>
      <c r="F875">
        <v>2.1</v>
      </c>
    </row>
    <row r="876" spans="1:6" hidden="1">
      <c r="A876" t="s">
        <v>12</v>
      </c>
      <c r="B876">
        <v>1997</v>
      </c>
      <c r="C876" t="s">
        <v>23</v>
      </c>
      <c r="D876" s="5">
        <v>35735</v>
      </c>
      <c r="E876">
        <v>161.5</v>
      </c>
      <c r="F876">
        <v>1.8</v>
      </c>
    </row>
    <row r="877" spans="1:6" hidden="1">
      <c r="A877" t="s">
        <v>12</v>
      </c>
      <c r="B877">
        <v>1997</v>
      </c>
      <c r="C877" t="s">
        <v>24</v>
      </c>
      <c r="D877" s="5">
        <v>35765</v>
      </c>
      <c r="E877">
        <v>161.30000000000001</v>
      </c>
      <c r="F877">
        <v>1.7</v>
      </c>
    </row>
    <row r="878" spans="1:6">
      <c r="A878" t="s">
        <v>12</v>
      </c>
      <c r="B878">
        <v>1998</v>
      </c>
      <c r="C878" t="s">
        <v>13</v>
      </c>
      <c r="D878" s="5">
        <v>35796</v>
      </c>
      <c r="E878">
        <v>161.6</v>
      </c>
      <c r="F878">
        <v>1.6</v>
      </c>
    </row>
    <row r="879" spans="1:6" hidden="1">
      <c r="A879" t="s">
        <v>12</v>
      </c>
      <c r="B879">
        <v>1998</v>
      </c>
      <c r="C879" t="s">
        <v>14</v>
      </c>
      <c r="D879" s="5">
        <v>35827</v>
      </c>
      <c r="E879">
        <v>161.9</v>
      </c>
      <c r="F879">
        <v>1.4</v>
      </c>
    </row>
    <row r="880" spans="1:6" hidden="1">
      <c r="A880" t="s">
        <v>12</v>
      </c>
      <c r="B880">
        <v>1998</v>
      </c>
      <c r="C880" t="s">
        <v>15</v>
      </c>
      <c r="D880" s="5">
        <v>35855</v>
      </c>
      <c r="E880">
        <v>162.19999999999999</v>
      </c>
      <c r="F880">
        <v>1.4</v>
      </c>
    </row>
    <row r="881" spans="1:6" hidden="1">
      <c r="A881" t="s">
        <v>12</v>
      </c>
      <c r="B881">
        <v>1998</v>
      </c>
      <c r="C881" t="s">
        <v>16</v>
      </c>
      <c r="D881" s="5">
        <v>35886</v>
      </c>
      <c r="E881">
        <v>162.5</v>
      </c>
      <c r="F881">
        <v>1.4</v>
      </c>
    </row>
    <row r="882" spans="1:6" hidden="1">
      <c r="A882" t="s">
        <v>12</v>
      </c>
      <c r="B882">
        <v>1998</v>
      </c>
      <c r="C882" t="s">
        <v>17</v>
      </c>
      <c r="D882" s="5">
        <v>35916</v>
      </c>
      <c r="E882">
        <v>162.80000000000001</v>
      </c>
      <c r="F882">
        <v>1.7</v>
      </c>
    </row>
    <row r="883" spans="1:6" hidden="1">
      <c r="A883" t="s">
        <v>12</v>
      </c>
      <c r="B883">
        <v>1998</v>
      </c>
      <c r="C883" t="s">
        <v>18</v>
      </c>
      <c r="D883" s="5">
        <v>35947</v>
      </c>
      <c r="E883">
        <v>163</v>
      </c>
      <c r="F883">
        <v>1.7</v>
      </c>
    </row>
    <row r="884" spans="1:6" hidden="1">
      <c r="A884" t="s">
        <v>12</v>
      </c>
      <c r="B884">
        <v>1998</v>
      </c>
      <c r="C884" t="s">
        <v>19</v>
      </c>
      <c r="D884" s="5">
        <v>35977</v>
      </c>
      <c r="E884">
        <v>163.19999999999999</v>
      </c>
      <c r="F884">
        <v>1.7</v>
      </c>
    </row>
    <row r="885" spans="1:6" hidden="1">
      <c r="A885" t="s">
        <v>12</v>
      </c>
      <c r="B885">
        <v>1998</v>
      </c>
      <c r="C885" t="s">
        <v>20</v>
      </c>
      <c r="D885" s="5">
        <v>36008</v>
      </c>
      <c r="E885">
        <v>163.4</v>
      </c>
      <c r="F885">
        <v>1.6</v>
      </c>
    </row>
    <row r="886" spans="1:6" hidden="1">
      <c r="A886" t="s">
        <v>12</v>
      </c>
      <c r="B886">
        <v>1998</v>
      </c>
      <c r="C886" t="s">
        <v>21</v>
      </c>
      <c r="D886" s="5">
        <v>36039</v>
      </c>
      <c r="E886">
        <v>163.6</v>
      </c>
      <c r="F886">
        <v>1.5</v>
      </c>
    </row>
    <row r="887" spans="1:6" hidden="1">
      <c r="A887" t="s">
        <v>12</v>
      </c>
      <c r="B887">
        <v>1998</v>
      </c>
      <c r="C887" t="s">
        <v>22</v>
      </c>
      <c r="D887" s="5">
        <v>36069</v>
      </c>
      <c r="E887">
        <v>164</v>
      </c>
      <c r="F887">
        <v>1.5</v>
      </c>
    </row>
    <row r="888" spans="1:6" hidden="1">
      <c r="A888" t="s">
        <v>12</v>
      </c>
      <c r="B888">
        <v>1998</v>
      </c>
      <c r="C888" t="s">
        <v>23</v>
      </c>
      <c r="D888" s="5">
        <v>36100</v>
      </c>
      <c r="E888">
        <v>164</v>
      </c>
      <c r="F888">
        <v>1.5</v>
      </c>
    </row>
    <row r="889" spans="1:6" hidden="1">
      <c r="A889" t="s">
        <v>12</v>
      </c>
      <c r="B889">
        <v>1998</v>
      </c>
      <c r="C889" t="s">
        <v>24</v>
      </c>
      <c r="D889" s="5">
        <v>36130</v>
      </c>
      <c r="E889">
        <v>163.9</v>
      </c>
      <c r="F889">
        <v>1.6</v>
      </c>
    </row>
    <row r="890" spans="1:6">
      <c r="A890" t="s">
        <v>12</v>
      </c>
      <c r="B890">
        <v>1999</v>
      </c>
      <c r="C890" t="s">
        <v>13</v>
      </c>
      <c r="D890" s="5">
        <v>36161</v>
      </c>
      <c r="E890">
        <v>164.3</v>
      </c>
      <c r="F890">
        <v>1.7</v>
      </c>
    </row>
    <row r="891" spans="1:6" hidden="1">
      <c r="A891" t="s">
        <v>12</v>
      </c>
      <c r="B891">
        <v>1999</v>
      </c>
      <c r="C891" t="s">
        <v>14</v>
      </c>
      <c r="D891" s="5">
        <v>36192</v>
      </c>
      <c r="E891">
        <v>164.5</v>
      </c>
      <c r="F891">
        <v>1.6</v>
      </c>
    </row>
    <row r="892" spans="1:6" hidden="1">
      <c r="A892" t="s">
        <v>12</v>
      </c>
      <c r="B892">
        <v>1999</v>
      </c>
      <c r="C892" t="s">
        <v>15</v>
      </c>
      <c r="D892" s="5">
        <v>36220</v>
      </c>
      <c r="E892">
        <v>165</v>
      </c>
      <c r="F892">
        <v>1.7</v>
      </c>
    </row>
    <row r="893" spans="1:6" hidden="1">
      <c r="A893" t="s">
        <v>12</v>
      </c>
      <c r="B893">
        <v>1999</v>
      </c>
      <c r="C893" t="s">
        <v>16</v>
      </c>
      <c r="D893" s="5">
        <v>36251</v>
      </c>
      <c r="E893">
        <v>166.2</v>
      </c>
      <c r="F893">
        <v>2.2999999999999998</v>
      </c>
    </row>
    <row r="894" spans="1:6" hidden="1">
      <c r="A894" t="s">
        <v>12</v>
      </c>
      <c r="B894">
        <v>1999</v>
      </c>
      <c r="C894" t="s">
        <v>17</v>
      </c>
      <c r="D894" s="5">
        <v>36281</v>
      </c>
      <c r="E894">
        <v>166.2</v>
      </c>
      <c r="F894">
        <v>2.1</v>
      </c>
    </row>
    <row r="895" spans="1:6" hidden="1">
      <c r="A895" t="s">
        <v>12</v>
      </c>
      <c r="B895">
        <v>1999</v>
      </c>
      <c r="C895" t="s">
        <v>18</v>
      </c>
      <c r="D895" s="5">
        <v>36312</v>
      </c>
      <c r="E895">
        <v>166.2</v>
      </c>
      <c r="F895">
        <v>2</v>
      </c>
    </row>
    <row r="896" spans="1:6" hidden="1">
      <c r="A896" t="s">
        <v>12</v>
      </c>
      <c r="B896">
        <v>1999</v>
      </c>
      <c r="C896" t="s">
        <v>19</v>
      </c>
      <c r="D896" s="5">
        <v>36342</v>
      </c>
      <c r="E896">
        <v>166.7</v>
      </c>
      <c r="F896">
        <v>2.1</v>
      </c>
    </row>
    <row r="897" spans="1:6" hidden="1">
      <c r="A897" t="s">
        <v>12</v>
      </c>
      <c r="B897">
        <v>1999</v>
      </c>
      <c r="C897" t="s">
        <v>20</v>
      </c>
      <c r="D897" s="5">
        <v>36373</v>
      </c>
      <c r="E897">
        <v>167.1</v>
      </c>
      <c r="F897">
        <v>2.2999999999999998</v>
      </c>
    </row>
    <row r="898" spans="1:6" hidden="1">
      <c r="A898" t="s">
        <v>12</v>
      </c>
      <c r="B898">
        <v>1999</v>
      </c>
      <c r="C898" t="s">
        <v>21</v>
      </c>
      <c r="D898" s="5">
        <v>36404</v>
      </c>
      <c r="E898">
        <v>167.9</v>
      </c>
      <c r="F898">
        <v>2.6</v>
      </c>
    </row>
    <row r="899" spans="1:6" hidden="1">
      <c r="A899" t="s">
        <v>12</v>
      </c>
      <c r="B899">
        <v>1999</v>
      </c>
      <c r="C899" t="s">
        <v>22</v>
      </c>
      <c r="D899" s="5">
        <v>36434</v>
      </c>
      <c r="E899">
        <v>168.2</v>
      </c>
      <c r="F899">
        <v>2.6</v>
      </c>
    </row>
    <row r="900" spans="1:6" hidden="1">
      <c r="A900" t="s">
        <v>12</v>
      </c>
      <c r="B900">
        <v>1999</v>
      </c>
      <c r="C900" t="s">
        <v>23</v>
      </c>
      <c r="D900" s="5">
        <v>36465</v>
      </c>
      <c r="E900">
        <v>168.3</v>
      </c>
      <c r="F900">
        <v>2.6</v>
      </c>
    </row>
    <row r="901" spans="1:6" hidden="1">
      <c r="A901" t="s">
        <v>12</v>
      </c>
      <c r="B901">
        <v>1999</v>
      </c>
      <c r="C901" t="s">
        <v>24</v>
      </c>
      <c r="D901" s="5">
        <v>36495</v>
      </c>
      <c r="E901">
        <v>168.3</v>
      </c>
      <c r="F901">
        <v>2.7</v>
      </c>
    </row>
    <row r="902" spans="1:6">
      <c r="A902" t="s">
        <v>12</v>
      </c>
      <c r="B902">
        <v>2000</v>
      </c>
      <c r="C902" t="s">
        <v>13</v>
      </c>
      <c r="D902" s="5">
        <v>36526</v>
      </c>
      <c r="E902">
        <v>168.8</v>
      </c>
      <c r="F902">
        <v>2.7</v>
      </c>
    </row>
    <row r="903" spans="1:6" hidden="1">
      <c r="A903" t="s">
        <v>12</v>
      </c>
      <c r="B903">
        <v>2000</v>
      </c>
      <c r="C903" t="s">
        <v>14</v>
      </c>
      <c r="D903" s="5">
        <v>36557</v>
      </c>
      <c r="E903">
        <v>169.8</v>
      </c>
      <c r="F903">
        <v>3.2</v>
      </c>
    </row>
    <row r="904" spans="1:6" hidden="1">
      <c r="A904" t="s">
        <v>12</v>
      </c>
      <c r="B904">
        <v>2000</v>
      </c>
      <c r="C904" t="s">
        <v>15</v>
      </c>
      <c r="D904" s="5">
        <v>36586</v>
      </c>
      <c r="E904">
        <v>171.2</v>
      </c>
      <c r="F904">
        <v>3.8</v>
      </c>
    </row>
    <row r="905" spans="1:6" hidden="1">
      <c r="A905" t="s">
        <v>12</v>
      </c>
      <c r="B905">
        <v>2000</v>
      </c>
      <c r="C905" t="s">
        <v>16</v>
      </c>
      <c r="D905" s="5">
        <v>36617</v>
      </c>
      <c r="E905">
        <v>171.3</v>
      </c>
      <c r="F905">
        <v>3.1</v>
      </c>
    </row>
    <row r="906" spans="1:6" hidden="1">
      <c r="A906" t="s">
        <v>12</v>
      </c>
      <c r="B906">
        <v>2000</v>
      </c>
      <c r="C906" t="s">
        <v>17</v>
      </c>
      <c r="D906" s="5">
        <v>36647</v>
      </c>
      <c r="E906">
        <v>171.5</v>
      </c>
      <c r="F906">
        <v>3.2</v>
      </c>
    </row>
    <row r="907" spans="1:6" hidden="1">
      <c r="A907" t="s">
        <v>12</v>
      </c>
      <c r="B907">
        <v>2000</v>
      </c>
      <c r="C907" t="s">
        <v>18</v>
      </c>
      <c r="D907" s="5">
        <v>36678</v>
      </c>
      <c r="E907">
        <v>172.4</v>
      </c>
      <c r="F907">
        <v>3.7</v>
      </c>
    </row>
    <row r="908" spans="1:6" hidden="1">
      <c r="A908" t="s">
        <v>12</v>
      </c>
      <c r="B908">
        <v>2000</v>
      </c>
      <c r="C908" t="s">
        <v>19</v>
      </c>
      <c r="D908" s="5">
        <v>36708</v>
      </c>
      <c r="E908">
        <v>172.8</v>
      </c>
      <c r="F908">
        <v>3.7</v>
      </c>
    </row>
    <row r="909" spans="1:6" hidden="1">
      <c r="A909" t="s">
        <v>12</v>
      </c>
      <c r="B909">
        <v>2000</v>
      </c>
      <c r="C909" t="s">
        <v>20</v>
      </c>
      <c r="D909" s="5">
        <v>36739</v>
      </c>
      <c r="E909">
        <v>172.8</v>
      </c>
      <c r="F909">
        <v>3.4</v>
      </c>
    </row>
    <row r="910" spans="1:6" hidden="1">
      <c r="A910" t="s">
        <v>12</v>
      </c>
      <c r="B910">
        <v>2000</v>
      </c>
      <c r="C910" t="s">
        <v>21</v>
      </c>
      <c r="D910" s="5">
        <v>36770</v>
      </c>
      <c r="E910">
        <v>173.7</v>
      </c>
      <c r="F910">
        <v>3.5</v>
      </c>
    </row>
    <row r="911" spans="1:6" hidden="1">
      <c r="A911" t="s">
        <v>12</v>
      </c>
      <c r="B911">
        <v>2000</v>
      </c>
      <c r="C911" t="s">
        <v>22</v>
      </c>
      <c r="D911" s="5">
        <v>36800</v>
      </c>
      <c r="E911">
        <v>174</v>
      </c>
      <c r="F911">
        <v>3.4</v>
      </c>
    </row>
    <row r="912" spans="1:6" hidden="1">
      <c r="A912" t="s">
        <v>12</v>
      </c>
      <c r="B912">
        <v>2000</v>
      </c>
      <c r="C912" t="s">
        <v>23</v>
      </c>
      <c r="D912" s="5">
        <v>36831</v>
      </c>
      <c r="E912">
        <v>174.1</v>
      </c>
      <c r="F912">
        <v>3.4</v>
      </c>
    </row>
    <row r="913" spans="1:6" hidden="1">
      <c r="A913" t="s">
        <v>12</v>
      </c>
      <c r="B913">
        <v>2000</v>
      </c>
      <c r="C913" t="s">
        <v>24</v>
      </c>
      <c r="D913" s="5">
        <v>36861</v>
      </c>
      <c r="E913">
        <v>174</v>
      </c>
      <c r="F913">
        <v>3.4</v>
      </c>
    </row>
    <row r="914" spans="1:6">
      <c r="A914" t="s">
        <v>12</v>
      </c>
      <c r="B914">
        <v>2001</v>
      </c>
      <c r="C914" t="s">
        <v>13</v>
      </c>
      <c r="D914" s="5">
        <v>36892</v>
      </c>
      <c r="E914">
        <v>175.1</v>
      </c>
      <c r="F914">
        <v>3.7</v>
      </c>
    </row>
    <row r="915" spans="1:6" hidden="1">
      <c r="A915" t="s">
        <v>12</v>
      </c>
      <c r="B915">
        <v>2001</v>
      </c>
      <c r="C915" t="s">
        <v>14</v>
      </c>
      <c r="D915" s="5">
        <v>36923</v>
      </c>
      <c r="E915">
        <v>175.8</v>
      </c>
      <c r="F915">
        <v>3.5</v>
      </c>
    </row>
    <row r="916" spans="1:6" hidden="1">
      <c r="A916" t="s">
        <v>12</v>
      </c>
      <c r="B916">
        <v>2001</v>
      </c>
      <c r="C916" t="s">
        <v>15</v>
      </c>
      <c r="D916" s="5">
        <v>36951</v>
      </c>
      <c r="E916">
        <v>176.2</v>
      </c>
      <c r="F916">
        <v>2.9</v>
      </c>
    </row>
    <row r="917" spans="1:6" hidden="1">
      <c r="A917" t="s">
        <v>12</v>
      </c>
      <c r="B917">
        <v>2001</v>
      </c>
      <c r="C917" t="s">
        <v>16</v>
      </c>
      <c r="D917" s="5">
        <v>36982</v>
      </c>
      <c r="E917">
        <v>176.9</v>
      </c>
      <c r="F917">
        <v>3.3</v>
      </c>
    </row>
    <row r="918" spans="1:6" hidden="1">
      <c r="A918" t="s">
        <v>12</v>
      </c>
      <c r="B918">
        <v>2001</v>
      </c>
      <c r="C918" t="s">
        <v>17</v>
      </c>
      <c r="D918" s="5">
        <v>37012</v>
      </c>
      <c r="E918">
        <v>177.7</v>
      </c>
      <c r="F918">
        <v>3.6</v>
      </c>
    </row>
    <row r="919" spans="1:6" hidden="1">
      <c r="A919" t="s">
        <v>12</v>
      </c>
      <c r="B919">
        <v>2001</v>
      </c>
      <c r="C919" t="s">
        <v>18</v>
      </c>
      <c r="D919" s="5">
        <v>37043</v>
      </c>
      <c r="E919">
        <v>178</v>
      </c>
      <c r="F919">
        <v>3.2</v>
      </c>
    </row>
    <row r="920" spans="1:6" hidden="1">
      <c r="A920" t="s">
        <v>12</v>
      </c>
      <c r="B920">
        <v>2001</v>
      </c>
      <c r="C920" t="s">
        <v>19</v>
      </c>
      <c r="D920" s="5">
        <v>37073</v>
      </c>
      <c r="E920">
        <v>177.5</v>
      </c>
      <c r="F920">
        <v>2.7</v>
      </c>
    </row>
    <row r="921" spans="1:6" hidden="1">
      <c r="A921" t="s">
        <v>12</v>
      </c>
      <c r="B921">
        <v>2001</v>
      </c>
      <c r="C921" t="s">
        <v>20</v>
      </c>
      <c r="D921" s="5">
        <v>37104</v>
      </c>
      <c r="E921">
        <v>177.5</v>
      </c>
      <c r="F921">
        <v>2.7</v>
      </c>
    </row>
    <row r="922" spans="1:6" hidden="1">
      <c r="A922" t="s">
        <v>12</v>
      </c>
      <c r="B922">
        <v>2001</v>
      </c>
      <c r="C922" t="s">
        <v>21</v>
      </c>
      <c r="D922" s="5">
        <v>37135</v>
      </c>
      <c r="E922">
        <v>178.3</v>
      </c>
      <c r="F922">
        <v>2.6</v>
      </c>
    </row>
    <row r="923" spans="1:6" hidden="1">
      <c r="A923" t="s">
        <v>12</v>
      </c>
      <c r="B923">
        <v>2001</v>
      </c>
      <c r="C923" t="s">
        <v>22</v>
      </c>
      <c r="D923" s="5">
        <v>37165</v>
      </c>
      <c r="E923">
        <v>177.7</v>
      </c>
      <c r="F923">
        <v>2.1</v>
      </c>
    </row>
    <row r="924" spans="1:6" hidden="1">
      <c r="A924" t="s">
        <v>12</v>
      </c>
      <c r="B924">
        <v>2001</v>
      </c>
      <c r="C924" t="s">
        <v>23</v>
      </c>
      <c r="D924" s="5">
        <v>37196</v>
      </c>
      <c r="E924">
        <v>177.4</v>
      </c>
      <c r="F924">
        <v>1.9</v>
      </c>
    </row>
    <row r="925" spans="1:6" hidden="1">
      <c r="A925" t="s">
        <v>12</v>
      </c>
      <c r="B925">
        <v>2001</v>
      </c>
      <c r="C925" t="s">
        <v>24</v>
      </c>
      <c r="D925" s="5">
        <v>37226</v>
      </c>
      <c r="E925">
        <v>176.7</v>
      </c>
      <c r="F925">
        <v>1.6</v>
      </c>
    </row>
    <row r="926" spans="1:6">
      <c r="A926" t="s">
        <v>12</v>
      </c>
      <c r="B926">
        <v>2002</v>
      </c>
      <c r="C926" t="s">
        <v>13</v>
      </c>
      <c r="D926" s="5">
        <v>37257</v>
      </c>
      <c r="E926">
        <v>177.1</v>
      </c>
      <c r="F926">
        <v>1.1000000000000001</v>
      </c>
    </row>
    <row r="927" spans="1:6" hidden="1">
      <c r="A927" t="s">
        <v>12</v>
      </c>
      <c r="B927">
        <v>2002</v>
      </c>
      <c r="C927" t="s">
        <v>14</v>
      </c>
      <c r="D927" s="5">
        <v>37288</v>
      </c>
      <c r="E927">
        <v>177.8</v>
      </c>
      <c r="F927">
        <v>1.1000000000000001</v>
      </c>
    </row>
    <row r="928" spans="1:6" hidden="1">
      <c r="A928" t="s">
        <v>12</v>
      </c>
      <c r="B928">
        <v>2002</v>
      </c>
      <c r="C928" t="s">
        <v>15</v>
      </c>
      <c r="D928" s="5">
        <v>37316</v>
      </c>
      <c r="E928">
        <v>178.8</v>
      </c>
      <c r="F928">
        <v>1.5</v>
      </c>
    </row>
    <row r="929" spans="1:6" hidden="1">
      <c r="A929" t="s">
        <v>12</v>
      </c>
      <c r="B929">
        <v>2002</v>
      </c>
      <c r="C929" t="s">
        <v>16</v>
      </c>
      <c r="D929" s="5">
        <v>37347</v>
      </c>
      <c r="E929">
        <v>179.8</v>
      </c>
      <c r="F929">
        <v>1.6</v>
      </c>
    </row>
    <row r="930" spans="1:6" hidden="1">
      <c r="A930" t="s">
        <v>12</v>
      </c>
      <c r="B930">
        <v>2002</v>
      </c>
      <c r="C930" t="s">
        <v>17</v>
      </c>
      <c r="D930" s="5">
        <v>37377</v>
      </c>
      <c r="E930">
        <v>179.8</v>
      </c>
      <c r="F930">
        <v>1.2</v>
      </c>
    </row>
    <row r="931" spans="1:6" hidden="1">
      <c r="A931" t="s">
        <v>12</v>
      </c>
      <c r="B931">
        <v>2002</v>
      </c>
      <c r="C931" t="s">
        <v>18</v>
      </c>
      <c r="D931" s="5">
        <v>37408</v>
      </c>
      <c r="E931">
        <v>179.9</v>
      </c>
      <c r="F931">
        <v>1.1000000000000001</v>
      </c>
    </row>
    <row r="932" spans="1:6" hidden="1">
      <c r="A932" t="s">
        <v>12</v>
      </c>
      <c r="B932">
        <v>2002</v>
      </c>
      <c r="C932" t="s">
        <v>19</v>
      </c>
      <c r="D932" s="5">
        <v>37438</v>
      </c>
      <c r="E932">
        <v>180.1</v>
      </c>
      <c r="F932">
        <v>1.5</v>
      </c>
    </row>
    <row r="933" spans="1:6" hidden="1">
      <c r="A933" t="s">
        <v>12</v>
      </c>
      <c r="B933">
        <v>2002</v>
      </c>
      <c r="C933" t="s">
        <v>20</v>
      </c>
      <c r="D933" s="5">
        <v>37469</v>
      </c>
      <c r="E933">
        <v>180.7</v>
      </c>
      <c r="F933">
        <v>1.8</v>
      </c>
    </row>
    <row r="934" spans="1:6" hidden="1">
      <c r="A934" t="s">
        <v>12</v>
      </c>
      <c r="B934">
        <v>2002</v>
      </c>
      <c r="C934" t="s">
        <v>21</v>
      </c>
      <c r="D934" s="5">
        <v>37500</v>
      </c>
      <c r="E934">
        <v>181</v>
      </c>
      <c r="F934">
        <v>1.5</v>
      </c>
    </row>
    <row r="935" spans="1:6" hidden="1">
      <c r="A935" t="s">
        <v>12</v>
      </c>
      <c r="B935">
        <v>2002</v>
      </c>
      <c r="C935" t="s">
        <v>22</v>
      </c>
      <c r="D935" s="5">
        <v>37530</v>
      </c>
      <c r="E935">
        <v>181.3</v>
      </c>
      <c r="F935">
        <v>2</v>
      </c>
    </row>
    <row r="936" spans="1:6" hidden="1">
      <c r="A936" t="s">
        <v>12</v>
      </c>
      <c r="B936">
        <v>2002</v>
      </c>
      <c r="C936" t="s">
        <v>23</v>
      </c>
      <c r="D936" s="5">
        <v>37561</v>
      </c>
      <c r="E936">
        <v>181.3</v>
      </c>
      <c r="F936">
        <v>2.2000000000000002</v>
      </c>
    </row>
    <row r="937" spans="1:6" hidden="1">
      <c r="A937" t="s">
        <v>12</v>
      </c>
      <c r="B937">
        <v>2002</v>
      </c>
      <c r="C937" t="s">
        <v>24</v>
      </c>
      <c r="D937" s="5">
        <v>37591</v>
      </c>
      <c r="E937">
        <v>180.9</v>
      </c>
      <c r="F937">
        <v>2.4</v>
      </c>
    </row>
    <row r="938" spans="1:6">
      <c r="A938" t="s">
        <v>12</v>
      </c>
      <c r="B938">
        <v>2003</v>
      </c>
      <c r="C938" t="s">
        <v>13</v>
      </c>
      <c r="D938" s="5">
        <v>37622</v>
      </c>
      <c r="E938">
        <v>181.7</v>
      </c>
      <c r="F938">
        <v>2.6</v>
      </c>
    </row>
    <row r="939" spans="1:6" hidden="1">
      <c r="A939" t="s">
        <v>12</v>
      </c>
      <c r="B939">
        <v>2003</v>
      </c>
      <c r="C939" t="s">
        <v>14</v>
      </c>
      <c r="D939" s="5">
        <v>37653</v>
      </c>
      <c r="E939">
        <v>183.1</v>
      </c>
      <c r="F939">
        <v>3</v>
      </c>
    </row>
    <row r="940" spans="1:6" hidden="1">
      <c r="A940" t="s">
        <v>12</v>
      </c>
      <c r="B940">
        <v>2003</v>
      </c>
      <c r="C940" t="s">
        <v>15</v>
      </c>
      <c r="D940" s="5">
        <v>37681</v>
      </c>
      <c r="E940">
        <v>184.2</v>
      </c>
      <c r="F940">
        <v>3</v>
      </c>
    </row>
    <row r="941" spans="1:6" hidden="1">
      <c r="A941" t="s">
        <v>12</v>
      </c>
      <c r="B941">
        <v>2003</v>
      </c>
      <c r="C941" t="s">
        <v>16</v>
      </c>
      <c r="D941" s="5">
        <v>37712</v>
      </c>
      <c r="E941">
        <v>183.8</v>
      </c>
      <c r="F941">
        <v>2.2000000000000002</v>
      </c>
    </row>
    <row r="942" spans="1:6" hidden="1">
      <c r="A942" t="s">
        <v>12</v>
      </c>
      <c r="B942">
        <v>2003</v>
      </c>
      <c r="C942" t="s">
        <v>17</v>
      </c>
      <c r="D942" s="5">
        <v>37742</v>
      </c>
      <c r="E942">
        <v>183.5</v>
      </c>
      <c r="F942">
        <v>2.1</v>
      </c>
    </row>
    <row r="943" spans="1:6" hidden="1">
      <c r="A943" t="s">
        <v>12</v>
      </c>
      <c r="B943">
        <v>2003</v>
      </c>
      <c r="C943" t="s">
        <v>18</v>
      </c>
      <c r="D943" s="5">
        <v>37773</v>
      </c>
      <c r="E943">
        <v>183.7</v>
      </c>
      <c r="F943">
        <v>2.1</v>
      </c>
    </row>
    <row r="944" spans="1:6" hidden="1">
      <c r="A944" t="s">
        <v>12</v>
      </c>
      <c r="B944">
        <v>2003</v>
      </c>
      <c r="C944" t="s">
        <v>19</v>
      </c>
      <c r="D944" s="5">
        <v>37803</v>
      </c>
      <c r="E944">
        <v>183.9</v>
      </c>
      <c r="F944">
        <v>2.1</v>
      </c>
    </row>
    <row r="945" spans="1:6" hidden="1">
      <c r="A945" t="s">
        <v>12</v>
      </c>
      <c r="B945">
        <v>2003</v>
      </c>
      <c r="C945" t="s">
        <v>20</v>
      </c>
      <c r="D945" s="5">
        <v>37834</v>
      </c>
      <c r="E945">
        <v>184.6</v>
      </c>
      <c r="F945">
        <v>2.2000000000000002</v>
      </c>
    </row>
    <row r="946" spans="1:6" hidden="1">
      <c r="A946" t="s">
        <v>12</v>
      </c>
      <c r="B946">
        <v>2003</v>
      </c>
      <c r="C946" t="s">
        <v>21</v>
      </c>
      <c r="D946" s="5">
        <v>37865</v>
      </c>
      <c r="E946">
        <v>185.2</v>
      </c>
      <c r="F946">
        <v>2.2999999999999998</v>
      </c>
    </row>
    <row r="947" spans="1:6" hidden="1">
      <c r="A947" t="s">
        <v>12</v>
      </c>
      <c r="B947">
        <v>2003</v>
      </c>
      <c r="C947" t="s">
        <v>22</v>
      </c>
      <c r="D947" s="5">
        <v>37895</v>
      </c>
      <c r="E947">
        <v>185</v>
      </c>
      <c r="F947">
        <v>2</v>
      </c>
    </row>
    <row r="948" spans="1:6" hidden="1">
      <c r="A948" t="s">
        <v>12</v>
      </c>
      <c r="B948">
        <v>2003</v>
      </c>
      <c r="C948" t="s">
        <v>23</v>
      </c>
      <c r="D948" s="5">
        <v>37926</v>
      </c>
      <c r="E948">
        <v>184.5</v>
      </c>
      <c r="F948">
        <v>1.8</v>
      </c>
    </row>
    <row r="949" spans="1:6" hidden="1">
      <c r="A949" t="s">
        <v>12</v>
      </c>
      <c r="B949">
        <v>2003</v>
      </c>
      <c r="C949" t="s">
        <v>24</v>
      </c>
      <c r="D949" s="5">
        <v>37956</v>
      </c>
      <c r="E949">
        <v>184.3</v>
      </c>
      <c r="F949">
        <v>1.9</v>
      </c>
    </row>
    <row r="950" spans="1:6">
      <c r="A950" t="s">
        <v>12</v>
      </c>
      <c r="B950">
        <v>2004</v>
      </c>
      <c r="C950" t="s">
        <v>13</v>
      </c>
      <c r="D950" s="5">
        <v>37987</v>
      </c>
      <c r="E950">
        <v>185.2</v>
      </c>
      <c r="F950">
        <v>1.9</v>
      </c>
    </row>
    <row r="951" spans="1:6" hidden="1">
      <c r="A951" t="s">
        <v>12</v>
      </c>
      <c r="B951">
        <v>2004</v>
      </c>
      <c r="C951" t="s">
        <v>14</v>
      </c>
      <c r="D951" s="5">
        <v>38018</v>
      </c>
      <c r="E951">
        <v>186.2</v>
      </c>
      <c r="F951">
        <v>1.7</v>
      </c>
    </row>
    <row r="952" spans="1:6" hidden="1">
      <c r="A952" t="s">
        <v>12</v>
      </c>
      <c r="B952">
        <v>2004</v>
      </c>
      <c r="C952" t="s">
        <v>15</v>
      </c>
      <c r="D952" s="5">
        <v>38047</v>
      </c>
      <c r="E952">
        <v>187.4</v>
      </c>
      <c r="F952">
        <v>1.7</v>
      </c>
    </row>
    <row r="953" spans="1:6" hidden="1">
      <c r="A953" t="s">
        <v>12</v>
      </c>
      <c r="B953">
        <v>2004</v>
      </c>
      <c r="C953" t="s">
        <v>16</v>
      </c>
      <c r="D953" s="5">
        <v>38078</v>
      </c>
      <c r="E953">
        <v>188</v>
      </c>
      <c r="F953">
        <v>2.2999999999999998</v>
      </c>
    </row>
    <row r="954" spans="1:6" hidden="1">
      <c r="A954" t="s">
        <v>12</v>
      </c>
      <c r="B954">
        <v>2004</v>
      </c>
      <c r="C954" t="s">
        <v>17</v>
      </c>
      <c r="D954" s="5">
        <v>38108</v>
      </c>
      <c r="E954">
        <v>189.1</v>
      </c>
      <c r="F954">
        <v>3.1</v>
      </c>
    </row>
    <row r="955" spans="1:6" hidden="1">
      <c r="A955" t="s">
        <v>12</v>
      </c>
      <c r="B955">
        <v>2004</v>
      </c>
      <c r="C955" t="s">
        <v>18</v>
      </c>
      <c r="D955" s="5">
        <v>38139</v>
      </c>
      <c r="E955">
        <v>189.7</v>
      </c>
      <c r="F955">
        <v>3.3</v>
      </c>
    </row>
    <row r="956" spans="1:6" hidden="1">
      <c r="A956" t="s">
        <v>12</v>
      </c>
      <c r="B956">
        <v>2004</v>
      </c>
      <c r="C956" t="s">
        <v>19</v>
      </c>
      <c r="D956" s="5">
        <v>38169</v>
      </c>
      <c r="E956">
        <v>189.4</v>
      </c>
      <c r="F956">
        <v>3</v>
      </c>
    </row>
    <row r="957" spans="1:6" hidden="1">
      <c r="A957" t="s">
        <v>12</v>
      </c>
      <c r="B957">
        <v>2004</v>
      </c>
      <c r="C957" t="s">
        <v>20</v>
      </c>
      <c r="D957" s="5">
        <v>38200</v>
      </c>
      <c r="E957">
        <v>189.5</v>
      </c>
      <c r="F957">
        <v>2.7</v>
      </c>
    </row>
    <row r="958" spans="1:6" hidden="1">
      <c r="A958" t="s">
        <v>12</v>
      </c>
      <c r="B958">
        <v>2004</v>
      </c>
      <c r="C958" t="s">
        <v>21</v>
      </c>
      <c r="D958" s="5">
        <v>38231</v>
      </c>
      <c r="E958">
        <v>189.9</v>
      </c>
      <c r="F958">
        <v>2.5</v>
      </c>
    </row>
    <row r="959" spans="1:6" hidden="1">
      <c r="A959" t="s">
        <v>12</v>
      </c>
      <c r="B959">
        <v>2004</v>
      </c>
      <c r="C959" t="s">
        <v>22</v>
      </c>
      <c r="D959" s="5">
        <v>38261</v>
      </c>
      <c r="E959">
        <v>190.9</v>
      </c>
      <c r="F959">
        <v>3.2</v>
      </c>
    </row>
    <row r="960" spans="1:6" hidden="1">
      <c r="A960" t="s">
        <v>12</v>
      </c>
      <c r="B960">
        <v>2004</v>
      </c>
      <c r="C960" t="s">
        <v>23</v>
      </c>
      <c r="D960" s="5">
        <v>38292</v>
      </c>
      <c r="E960">
        <v>191</v>
      </c>
      <c r="F960">
        <v>3.5</v>
      </c>
    </row>
    <row r="961" spans="1:6" hidden="1">
      <c r="A961" t="s">
        <v>12</v>
      </c>
      <c r="B961">
        <v>2004</v>
      </c>
      <c r="C961" t="s">
        <v>24</v>
      </c>
      <c r="D961" s="5">
        <v>38322</v>
      </c>
      <c r="E961">
        <v>190.3</v>
      </c>
      <c r="F961">
        <v>3.3</v>
      </c>
    </row>
    <row r="962" spans="1:6">
      <c r="A962" t="s">
        <v>12</v>
      </c>
      <c r="B962">
        <v>2005</v>
      </c>
      <c r="C962" t="s">
        <v>13</v>
      </c>
      <c r="D962" s="5">
        <v>38353</v>
      </c>
      <c r="E962">
        <v>190.7</v>
      </c>
      <c r="F962">
        <v>3</v>
      </c>
    </row>
    <row r="963" spans="1:6" hidden="1">
      <c r="A963" t="s">
        <v>12</v>
      </c>
      <c r="B963">
        <v>2005</v>
      </c>
      <c r="C963" t="s">
        <v>14</v>
      </c>
      <c r="D963" s="5">
        <v>38384</v>
      </c>
      <c r="E963">
        <v>191.8</v>
      </c>
      <c r="F963">
        <v>3</v>
      </c>
    </row>
    <row r="964" spans="1:6" hidden="1">
      <c r="A964" t="s">
        <v>12</v>
      </c>
      <c r="B964">
        <v>2005</v>
      </c>
      <c r="C964" t="s">
        <v>15</v>
      </c>
      <c r="D964" s="5">
        <v>38412</v>
      </c>
      <c r="E964">
        <v>193.3</v>
      </c>
      <c r="F964">
        <v>3.1</v>
      </c>
    </row>
    <row r="965" spans="1:6" hidden="1">
      <c r="A965" t="s">
        <v>12</v>
      </c>
      <c r="B965">
        <v>2005</v>
      </c>
      <c r="C965" t="s">
        <v>16</v>
      </c>
      <c r="D965" s="5">
        <v>38443</v>
      </c>
      <c r="E965">
        <v>194.6</v>
      </c>
      <c r="F965">
        <v>3.5</v>
      </c>
    </row>
    <row r="966" spans="1:6" hidden="1">
      <c r="A966" t="s">
        <v>12</v>
      </c>
      <c r="B966">
        <v>2005</v>
      </c>
      <c r="C966" t="s">
        <v>17</v>
      </c>
      <c r="D966" s="5">
        <v>38473</v>
      </c>
      <c r="E966">
        <v>194.4</v>
      </c>
      <c r="F966">
        <v>2.8</v>
      </c>
    </row>
    <row r="967" spans="1:6" hidden="1">
      <c r="A967" t="s">
        <v>12</v>
      </c>
      <c r="B967">
        <v>2005</v>
      </c>
      <c r="C967" t="s">
        <v>18</v>
      </c>
      <c r="D967" s="5">
        <v>38504</v>
      </c>
      <c r="E967">
        <v>194.5</v>
      </c>
      <c r="F967">
        <v>2.5</v>
      </c>
    </row>
    <row r="968" spans="1:6" hidden="1">
      <c r="A968" t="s">
        <v>12</v>
      </c>
      <c r="B968">
        <v>2005</v>
      </c>
      <c r="C968" t="s">
        <v>19</v>
      </c>
      <c r="D968" s="5">
        <v>38534</v>
      </c>
      <c r="E968">
        <v>195.4</v>
      </c>
      <c r="F968">
        <v>3.2</v>
      </c>
    </row>
    <row r="969" spans="1:6" hidden="1">
      <c r="A969" t="s">
        <v>12</v>
      </c>
      <c r="B969">
        <v>2005</v>
      </c>
      <c r="C969" t="s">
        <v>20</v>
      </c>
      <c r="D969" s="5">
        <v>38565</v>
      </c>
      <c r="E969">
        <v>196.4</v>
      </c>
      <c r="F969">
        <v>3.6</v>
      </c>
    </row>
    <row r="970" spans="1:6" hidden="1">
      <c r="A970" t="s">
        <v>12</v>
      </c>
      <c r="B970">
        <v>2005</v>
      </c>
      <c r="C970" t="s">
        <v>21</v>
      </c>
      <c r="D970" s="5">
        <v>38596</v>
      </c>
      <c r="E970">
        <v>198.8</v>
      </c>
      <c r="F970">
        <v>4.7</v>
      </c>
    </row>
    <row r="971" spans="1:6" hidden="1">
      <c r="A971" t="s">
        <v>12</v>
      </c>
      <c r="B971">
        <v>2005</v>
      </c>
      <c r="C971" t="s">
        <v>22</v>
      </c>
      <c r="D971" s="5">
        <v>38626</v>
      </c>
      <c r="E971">
        <v>199.2</v>
      </c>
      <c r="F971">
        <v>4.3</v>
      </c>
    </row>
    <row r="972" spans="1:6" hidden="1">
      <c r="A972" t="s">
        <v>12</v>
      </c>
      <c r="B972">
        <v>2005</v>
      </c>
      <c r="C972" t="s">
        <v>23</v>
      </c>
      <c r="D972" s="5">
        <v>38657</v>
      </c>
      <c r="E972">
        <v>197.6</v>
      </c>
      <c r="F972">
        <v>3.5</v>
      </c>
    </row>
    <row r="973" spans="1:6" hidden="1">
      <c r="A973" t="s">
        <v>12</v>
      </c>
      <c r="B973">
        <v>2005</v>
      </c>
      <c r="C973" t="s">
        <v>24</v>
      </c>
      <c r="D973" s="5">
        <v>38687</v>
      </c>
      <c r="E973">
        <v>196.8</v>
      </c>
      <c r="F973">
        <v>3.4</v>
      </c>
    </row>
    <row r="974" spans="1:6">
      <c r="A974" t="s">
        <v>12</v>
      </c>
      <c r="B974">
        <v>2006</v>
      </c>
      <c r="C974" t="s">
        <v>13</v>
      </c>
      <c r="D974" s="5">
        <v>38718</v>
      </c>
      <c r="E974">
        <v>198.3</v>
      </c>
      <c r="F974">
        <v>4</v>
      </c>
    </row>
    <row r="975" spans="1:6" hidden="1">
      <c r="A975" t="s">
        <v>12</v>
      </c>
      <c r="B975">
        <v>2006</v>
      </c>
      <c r="C975" t="s">
        <v>14</v>
      </c>
      <c r="D975" s="5">
        <v>38749</v>
      </c>
      <c r="E975">
        <v>198.7</v>
      </c>
      <c r="F975">
        <v>3.6</v>
      </c>
    </row>
    <row r="976" spans="1:6" hidden="1">
      <c r="A976" t="s">
        <v>12</v>
      </c>
      <c r="B976">
        <v>2006</v>
      </c>
      <c r="C976" t="s">
        <v>15</v>
      </c>
      <c r="D976" s="5">
        <v>38777</v>
      </c>
      <c r="E976">
        <v>199.8</v>
      </c>
      <c r="F976">
        <v>3.4</v>
      </c>
    </row>
    <row r="977" spans="1:6" hidden="1">
      <c r="A977" t="s">
        <v>12</v>
      </c>
      <c r="B977">
        <v>2006</v>
      </c>
      <c r="C977" t="s">
        <v>16</v>
      </c>
      <c r="D977" s="5">
        <v>38808</v>
      </c>
      <c r="E977">
        <v>201.5</v>
      </c>
      <c r="F977">
        <v>3.5</v>
      </c>
    </row>
    <row r="978" spans="1:6" hidden="1">
      <c r="A978" t="s">
        <v>12</v>
      </c>
      <c r="B978">
        <v>2006</v>
      </c>
      <c r="C978" t="s">
        <v>17</v>
      </c>
      <c r="D978" s="5">
        <v>38838</v>
      </c>
      <c r="E978">
        <v>202.5</v>
      </c>
      <c r="F978">
        <v>4.2</v>
      </c>
    </row>
    <row r="979" spans="1:6" hidden="1">
      <c r="A979" t="s">
        <v>12</v>
      </c>
      <c r="B979">
        <v>2006</v>
      </c>
      <c r="C979" t="s">
        <v>18</v>
      </c>
      <c r="D979" s="5">
        <v>38869</v>
      </c>
      <c r="E979">
        <v>202.9</v>
      </c>
      <c r="F979">
        <v>4.3</v>
      </c>
    </row>
    <row r="980" spans="1:6" hidden="1">
      <c r="A980" t="s">
        <v>12</v>
      </c>
      <c r="B980">
        <v>2006</v>
      </c>
      <c r="C980" t="s">
        <v>19</v>
      </c>
      <c r="D980" s="5">
        <v>38899</v>
      </c>
      <c r="E980">
        <v>203.5</v>
      </c>
      <c r="F980">
        <v>4.0999999999999996</v>
      </c>
    </row>
    <row r="981" spans="1:6" hidden="1">
      <c r="A981" t="s">
        <v>12</v>
      </c>
      <c r="B981">
        <v>2006</v>
      </c>
      <c r="C981" t="s">
        <v>20</v>
      </c>
      <c r="D981" s="5">
        <v>38930</v>
      </c>
      <c r="E981">
        <v>203.9</v>
      </c>
      <c r="F981">
        <v>3.8</v>
      </c>
    </row>
    <row r="982" spans="1:6" hidden="1">
      <c r="A982" t="s">
        <v>12</v>
      </c>
      <c r="B982">
        <v>2006</v>
      </c>
      <c r="C982" t="s">
        <v>21</v>
      </c>
      <c r="D982" s="5">
        <v>38961</v>
      </c>
      <c r="E982">
        <v>202.9</v>
      </c>
      <c r="F982">
        <v>2.1</v>
      </c>
    </row>
    <row r="983" spans="1:6" hidden="1">
      <c r="A983" t="s">
        <v>12</v>
      </c>
      <c r="B983">
        <v>2006</v>
      </c>
      <c r="C983" t="s">
        <v>22</v>
      </c>
      <c r="D983" s="5">
        <v>38991</v>
      </c>
      <c r="E983">
        <v>201.8</v>
      </c>
      <c r="F983">
        <v>1.3</v>
      </c>
    </row>
    <row r="984" spans="1:6" hidden="1">
      <c r="A984" t="s">
        <v>12</v>
      </c>
      <c r="B984">
        <v>2006</v>
      </c>
      <c r="C984" t="s">
        <v>23</v>
      </c>
      <c r="D984" s="5">
        <v>39022</v>
      </c>
      <c r="E984">
        <v>201.5</v>
      </c>
      <c r="F984">
        <v>2</v>
      </c>
    </row>
    <row r="985" spans="1:6" hidden="1">
      <c r="A985" t="s">
        <v>12</v>
      </c>
      <c r="B985">
        <v>2006</v>
      </c>
      <c r="C985" t="s">
        <v>24</v>
      </c>
      <c r="D985" s="5">
        <v>39052</v>
      </c>
      <c r="E985">
        <v>201.8</v>
      </c>
      <c r="F985">
        <v>2.5</v>
      </c>
    </row>
    <row r="986" spans="1:6">
      <c r="A986" t="s">
        <v>12</v>
      </c>
      <c r="B986">
        <v>2007</v>
      </c>
      <c r="C986" t="s">
        <v>13</v>
      </c>
      <c r="D986" s="5">
        <v>39083</v>
      </c>
      <c r="E986">
        <v>202.416</v>
      </c>
      <c r="F986">
        <v>2.1</v>
      </c>
    </row>
    <row r="987" spans="1:6" hidden="1">
      <c r="A987" t="s">
        <v>12</v>
      </c>
      <c r="B987">
        <v>2007</v>
      </c>
      <c r="C987" t="s">
        <v>14</v>
      </c>
      <c r="D987" s="5">
        <v>39114</v>
      </c>
      <c r="E987">
        <v>203.499</v>
      </c>
      <c r="F987">
        <v>2.4</v>
      </c>
    </row>
    <row r="988" spans="1:6" hidden="1">
      <c r="A988" t="s">
        <v>12</v>
      </c>
      <c r="B988">
        <v>2007</v>
      </c>
      <c r="C988" t="s">
        <v>15</v>
      </c>
      <c r="D988" s="5">
        <v>39142</v>
      </c>
      <c r="E988">
        <v>205.352</v>
      </c>
      <c r="F988">
        <v>2.8</v>
      </c>
    </row>
    <row r="989" spans="1:6" hidden="1">
      <c r="A989" t="s">
        <v>12</v>
      </c>
      <c r="B989">
        <v>2007</v>
      </c>
      <c r="C989" t="s">
        <v>16</v>
      </c>
      <c r="D989" s="5">
        <v>39173</v>
      </c>
      <c r="E989">
        <v>206.68600000000001</v>
      </c>
      <c r="F989">
        <v>2.6</v>
      </c>
    </row>
    <row r="990" spans="1:6" hidden="1">
      <c r="A990" t="s">
        <v>12</v>
      </c>
      <c r="B990">
        <v>2007</v>
      </c>
      <c r="C990" t="s">
        <v>17</v>
      </c>
      <c r="D990" s="5">
        <v>39203</v>
      </c>
      <c r="E990">
        <v>207.94900000000001</v>
      </c>
      <c r="F990">
        <v>2.7</v>
      </c>
    </row>
    <row r="991" spans="1:6" hidden="1">
      <c r="A991" t="s">
        <v>12</v>
      </c>
      <c r="B991">
        <v>2007</v>
      </c>
      <c r="C991" t="s">
        <v>18</v>
      </c>
      <c r="D991" s="5">
        <v>39234</v>
      </c>
      <c r="E991">
        <v>208.352</v>
      </c>
      <c r="F991">
        <v>2.7</v>
      </c>
    </row>
    <row r="992" spans="1:6" hidden="1">
      <c r="A992" t="s">
        <v>12</v>
      </c>
      <c r="B992">
        <v>2007</v>
      </c>
      <c r="C992" t="s">
        <v>19</v>
      </c>
      <c r="D992" s="5">
        <v>39264</v>
      </c>
      <c r="E992">
        <v>208.29900000000001</v>
      </c>
      <c r="F992">
        <v>2.4</v>
      </c>
    </row>
    <row r="993" spans="1:6" hidden="1">
      <c r="A993" t="s">
        <v>12</v>
      </c>
      <c r="B993">
        <v>2007</v>
      </c>
      <c r="C993" t="s">
        <v>20</v>
      </c>
      <c r="D993" s="5">
        <v>39295</v>
      </c>
      <c r="E993">
        <v>207.917</v>
      </c>
      <c r="F993">
        <v>2</v>
      </c>
    </row>
    <row r="994" spans="1:6" hidden="1">
      <c r="A994" t="s">
        <v>12</v>
      </c>
      <c r="B994">
        <v>2007</v>
      </c>
      <c r="C994" t="s">
        <v>21</v>
      </c>
      <c r="D994" s="5">
        <v>39326</v>
      </c>
      <c r="E994">
        <v>208.49</v>
      </c>
      <c r="F994">
        <v>2.8</v>
      </c>
    </row>
    <row r="995" spans="1:6" hidden="1">
      <c r="A995" t="s">
        <v>12</v>
      </c>
      <c r="B995">
        <v>2007</v>
      </c>
      <c r="C995" t="s">
        <v>22</v>
      </c>
      <c r="D995" s="5">
        <v>39356</v>
      </c>
      <c r="E995">
        <v>208.93600000000001</v>
      </c>
      <c r="F995">
        <v>3.5</v>
      </c>
    </row>
    <row r="996" spans="1:6" hidden="1">
      <c r="A996" t="s">
        <v>12</v>
      </c>
      <c r="B996">
        <v>2007</v>
      </c>
      <c r="C996" t="s">
        <v>23</v>
      </c>
      <c r="D996" s="5">
        <v>39387</v>
      </c>
      <c r="E996">
        <v>210.17699999999999</v>
      </c>
      <c r="F996">
        <v>4.3</v>
      </c>
    </row>
    <row r="997" spans="1:6" hidden="1">
      <c r="A997" t="s">
        <v>12</v>
      </c>
      <c r="B997">
        <v>2007</v>
      </c>
      <c r="C997" t="s">
        <v>24</v>
      </c>
      <c r="D997" s="5">
        <v>39417</v>
      </c>
      <c r="E997">
        <v>210.036</v>
      </c>
      <c r="F997">
        <v>4.0999999999999996</v>
      </c>
    </row>
    <row r="998" spans="1:6">
      <c r="A998" t="s">
        <v>12</v>
      </c>
      <c r="B998">
        <v>2008</v>
      </c>
      <c r="C998" t="s">
        <v>13</v>
      </c>
      <c r="D998" s="5">
        <v>39448</v>
      </c>
      <c r="E998">
        <v>211.08</v>
      </c>
      <c r="F998">
        <v>4.3</v>
      </c>
    </row>
    <row r="999" spans="1:6" hidden="1">
      <c r="A999" t="s">
        <v>12</v>
      </c>
      <c r="B999">
        <v>2008</v>
      </c>
      <c r="C999" t="s">
        <v>14</v>
      </c>
      <c r="D999" s="5">
        <v>39479</v>
      </c>
      <c r="E999">
        <v>211.69300000000001</v>
      </c>
      <c r="F999">
        <v>4</v>
      </c>
    </row>
    <row r="1000" spans="1:6" hidden="1">
      <c r="A1000" t="s">
        <v>12</v>
      </c>
      <c r="B1000">
        <v>2008</v>
      </c>
      <c r="C1000" t="s">
        <v>15</v>
      </c>
      <c r="D1000" s="5">
        <v>39508</v>
      </c>
      <c r="E1000">
        <v>213.52799999999999</v>
      </c>
      <c r="F1000">
        <v>4</v>
      </c>
    </row>
    <row r="1001" spans="1:6" hidden="1">
      <c r="A1001" t="s">
        <v>12</v>
      </c>
      <c r="B1001">
        <v>2008</v>
      </c>
      <c r="C1001" t="s">
        <v>16</v>
      </c>
      <c r="D1001" s="5">
        <v>39539</v>
      </c>
      <c r="E1001">
        <v>214.82300000000001</v>
      </c>
      <c r="F1001">
        <v>3.9</v>
      </c>
    </row>
    <row r="1002" spans="1:6" hidden="1">
      <c r="A1002" t="s">
        <v>12</v>
      </c>
      <c r="B1002">
        <v>2008</v>
      </c>
      <c r="C1002" t="s">
        <v>17</v>
      </c>
      <c r="D1002" s="5">
        <v>39569</v>
      </c>
      <c r="E1002">
        <v>216.63200000000001</v>
      </c>
      <c r="F1002">
        <v>4.2</v>
      </c>
    </row>
    <row r="1003" spans="1:6" hidden="1">
      <c r="A1003" t="s">
        <v>12</v>
      </c>
      <c r="B1003">
        <v>2008</v>
      </c>
      <c r="C1003" t="s">
        <v>18</v>
      </c>
      <c r="D1003" s="5">
        <v>39600</v>
      </c>
      <c r="E1003">
        <v>218.815</v>
      </c>
      <c r="F1003">
        <v>5</v>
      </c>
    </row>
    <row r="1004" spans="1:6" hidden="1">
      <c r="A1004" t="s">
        <v>12</v>
      </c>
      <c r="B1004">
        <v>2008</v>
      </c>
      <c r="C1004" t="s">
        <v>19</v>
      </c>
      <c r="D1004" s="5">
        <v>39630</v>
      </c>
      <c r="E1004">
        <v>219.964</v>
      </c>
      <c r="F1004">
        <v>5.6</v>
      </c>
    </row>
    <row r="1005" spans="1:6" hidden="1">
      <c r="A1005" t="s">
        <v>12</v>
      </c>
      <c r="B1005">
        <v>2008</v>
      </c>
      <c r="C1005" t="s">
        <v>20</v>
      </c>
      <c r="D1005" s="5">
        <v>39661</v>
      </c>
      <c r="E1005">
        <v>219.08600000000001</v>
      </c>
      <c r="F1005">
        <v>5.4</v>
      </c>
    </row>
    <row r="1006" spans="1:6" hidden="1">
      <c r="A1006" t="s">
        <v>12</v>
      </c>
      <c r="B1006">
        <v>2008</v>
      </c>
      <c r="C1006" t="s">
        <v>21</v>
      </c>
      <c r="D1006" s="5">
        <v>39692</v>
      </c>
      <c r="E1006">
        <v>218.78299999999999</v>
      </c>
      <c r="F1006">
        <v>4.9000000000000004</v>
      </c>
    </row>
    <row r="1007" spans="1:6" hidden="1">
      <c r="A1007" t="s">
        <v>12</v>
      </c>
      <c r="B1007">
        <v>2008</v>
      </c>
      <c r="C1007" t="s">
        <v>22</v>
      </c>
      <c r="D1007" s="5">
        <v>39722</v>
      </c>
      <c r="E1007">
        <v>216.57300000000001</v>
      </c>
      <c r="F1007">
        <v>3.7</v>
      </c>
    </row>
    <row r="1008" spans="1:6" hidden="1">
      <c r="A1008" t="s">
        <v>12</v>
      </c>
      <c r="B1008">
        <v>2008</v>
      </c>
      <c r="C1008" t="s">
        <v>23</v>
      </c>
      <c r="D1008" s="5">
        <v>39753</v>
      </c>
      <c r="E1008">
        <v>212.42500000000001</v>
      </c>
      <c r="F1008">
        <v>1.1000000000000001</v>
      </c>
    </row>
    <row r="1009" spans="1:6" hidden="1">
      <c r="A1009" t="s">
        <v>12</v>
      </c>
      <c r="B1009">
        <v>2008</v>
      </c>
      <c r="C1009" t="s">
        <v>24</v>
      </c>
      <c r="D1009" s="5">
        <v>39783</v>
      </c>
      <c r="E1009">
        <v>210.22800000000001</v>
      </c>
      <c r="F1009">
        <v>0.1</v>
      </c>
    </row>
    <row r="1010" spans="1:6">
      <c r="A1010" t="s">
        <v>12</v>
      </c>
      <c r="B1010">
        <v>2009</v>
      </c>
      <c r="C1010" t="s">
        <v>13</v>
      </c>
      <c r="D1010" s="5">
        <v>39814</v>
      </c>
      <c r="E1010">
        <v>211.143</v>
      </c>
    </row>
    <row r="1011" spans="1:6" hidden="1">
      <c r="A1011" t="s">
        <v>12</v>
      </c>
      <c r="B1011">
        <v>2009</v>
      </c>
      <c r="C1011" t="s">
        <v>14</v>
      </c>
      <c r="D1011" s="5">
        <v>39845</v>
      </c>
      <c r="E1011">
        <v>212.19300000000001</v>
      </c>
    </row>
    <row r="1012" spans="1:6" hidden="1">
      <c r="A1012" t="s">
        <v>12</v>
      </c>
      <c r="B1012">
        <v>2009</v>
      </c>
      <c r="C1012" t="s">
        <v>15</v>
      </c>
      <c r="D1012" s="5">
        <v>39873</v>
      </c>
      <c r="E1012">
        <v>212.709</v>
      </c>
    </row>
    <row r="1013" spans="1:6" hidden="1">
      <c r="A1013" t="s">
        <v>12</v>
      </c>
      <c r="B1013">
        <v>2009</v>
      </c>
      <c r="C1013" t="s">
        <v>16</v>
      </c>
      <c r="D1013" s="5">
        <v>39904</v>
      </c>
      <c r="E1013">
        <v>213.24</v>
      </c>
    </row>
    <row r="1014" spans="1:6" hidden="1">
      <c r="A1014" t="s">
        <v>12</v>
      </c>
      <c r="B1014">
        <v>2009</v>
      </c>
      <c r="C1014" t="s">
        <v>17</v>
      </c>
      <c r="D1014" s="5">
        <v>39934</v>
      </c>
      <c r="E1014">
        <v>213.85599999999999</v>
      </c>
    </row>
    <row r="1015" spans="1:6" hidden="1">
      <c r="A1015" t="s">
        <v>12</v>
      </c>
      <c r="B1015">
        <v>2009</v>
      </c>
      <c r="C1015" t="s">
        <v>18</v>
      </c>
      <c r="D1015" s="5">
        <v>39965</v>
      </c>
      <c r="E1015">
        <v>215.69300000000001</v>
      </c>
    </row>
    <row r="1016" spans="1:6" hidden="1">
      <c r="A1016" t="s">
        <v>12</v>
      </c>
      <c r="B1016">
        <v>2009</v>
      </c>
      <c r="C1016" t="s">
        <v>19</v>
      </c>
      <c r="D1016" s="5">
        <v>39995</v>
      </c>
      <c r="E1016">
        <v>215.351</v>
      </c>
    </row>
    <row r="1017" spans="1:6" hidden="1">
      <c r="A1017" t="s">
        <v>12</v>
      </c>
      <c r="B1017">
        <v>2009</v>
      </c>
      <c r="C1017" t="s">
        <v>20</v>
      </c>
      <c r="D1017" s="5">
        <v>40026</v>
      </c>
      <c r="E1017">
        <v>215.834</v>
      </c>
    </row>
    <row r="1018" spans="1:6" hidden="1">
      <c r="A1018" t="s">
        <v>12</v>
      </c>
      <c r="B1018">
        <v>2009</v>
      </c>
      <c r="C1018" t="s">
        <v>21</v>
      </c>
      <c r="D1018" s="5">
        <v>40057</v>
      </c>
      <c r="E1018">
        <v>215.96899999999999</v>
      </c>
    </row>
    <row r="1019" spans="1:6" hidden="1">
      <c r="A1019" t="s">
        <v>12</v>
      </c>
      <c r="B1019">
        <v>2009</v>
      </c>
      <c r="C1019" t="s">
        <v>22</v>
      </c>
      <c r="D1019" s="5">
        <v>40087</v>
      </c>
      <c r="E1019">
        <v>216.17699999999999</v>
      </c>
    </row>
    <row r="1020" spans="1:6" hidden="1">
      <c r="A1020" t="s">
        <v>12</v>
      </c>
      <c r="B1020">
        <v>2009</v>
      </c>
      <c r="C1020" t="s">
        <v>23</v>
      </c>
      <c r="D1020" s="5">
        <v>40118</v>
      </c>
      <c r="E1020">
        <v>216.33</v>
      </c>
    </row>
    <row r="1021" spans="1:6" hidden="1">
      <c r="A1021" t="s">
        <v>12</v>
      </c>
      <c r="B1021">
        <v>2009</v>
      </c>
      <c r="C1021" t="s">
        <v>24</v>
      </c>
      <c r="D1021" s="5">
        <v>40148</v>
      </c>
      <c r="E1021">
        <v>215.94900000000001</v>
      </c>
    </row>
    <row r="1022" spans="1:6">
      <c r="A1022" t="s">
        <v>12</v>
      </c>
      <c r="B1022">
        <v>2010</v>
      </c>
      <c r="C1022" t="s">
        <v>13</v>
      </c>
      <c r="D1022" s="5">
        <v>40179</v>
      </c>
      <c r="E1022">
        <v>216.68700000000001</v>
      </c>
      <c r="F1022">
        <v>2.6</v>
      </c>
    </row>
    <row r="1023" spans="1:6" hidden="1">
      <c r="A1023" t="s">
        <v>12</v>
      </c>
      <c r="B1023">
        <v>2010</v>
      </c>
      <c r="C1023" t="s">
        <v>14</v>
      </c>
      <c r="D1023" s="5">
        <v>40210</v>
      </c>
      <c r="E1023">
        <v>216.74100000000001</v>
      </c>
      <c r="F1023">
        <v>2.1</v>
      </c>
    </row>
    <row r="1024" spans="1:6" hidden="1">
      <c r="A1024" t="s">
        <v>12</v>
      </c>
      <c r="B1024">
        <v>2010</v>
      </c>
      <c r="C1024" t="s">
        <v>15</v>
      </c>
      <c r="D1024" s="5">
        <v>40238</v>
      </c>
      <c r="E1024">
        <v>217.631</v>
      </c>
      <c r="F1024">
        <v>2.2999999999999998</v>
      </c>
    </row>
    <row r="1025" spans="1:6" hidden="1">
      <c r="A1025" t="s">
        <v>12</v>
      </c>
      <c r="B1025">
        <v>2010</v>
      </c>
      <c r="C1025" t="s">
        <v>16</v>
      </c>
      <c r="D1025" s="5">
        <v>40269</v>
      </c>
      <c r="E1025">
        <v>218.00899999999999</v>
      </c>
      <c r="F1025">
        <v>2.2000000000000002</v>
      </c>
    </row>
    <row r="1026" spans="1:6" hidden="1">
      <c r="A1026" t="s">
        <v>12</v>
      </c>
      <c r="B1026">
        <v>2010</v>
      </c>
      <c r="C1026" t="s">
        <v>17</v>
      </c>
      <c r="D1026" s="5">
        <v>40299</v>
      </c>
      <c r="E1026">
        <v>218.178</v>
      </c>
      <c r="F1026">
        <v>2</v>
      </c>
    </row>
    <row r="1027" spans="1:6" hidden="1">
      <c r="A1027" t="s">
        <v>12</v>
      </c>
      <c r="B1027">
        <v>2010</v>
      </c>
      <c r="C1027" t="s">
        <v>18</v>
      </c>
      <c r="D1027" s="5">
        <v>40330</v>
      </c>
      <c r="E1027">
        <v>217.965</v>
      </c>
      <c r="F1027">
        <v>1.1000000000000001</v>
      </c>
    </row>
    <row r="1028" spans="1:6" hidden="1">
      <c r="A1028" t="s">
        <v>12</v>
      </c>
      <c r="B1028">
        <v>2010</v>
      </c>
      <c r="C1028" t="s">
        <v>19</v>
      </c>
      <c r="D1028" s="5">
        <v>40360</v>
      </c>
      <c r="E1028">
        <v>218.011</v>
      </c>
      <c r="F1028">
        <v>1.2</v>
      </c>
    </row>
    <row r="1029" spans="1:6" hidden="1">
      <c r="A1029" t="s">
        <v>12</v>
      </c>
      <c r="B1029">
        <v>2010</v>
      </c>
      <c r="C1029" t="s">
        <v>20</v>
      </c>
      <c r="D1029" s="5">
        <v>40391</v>
      </c>
      <c r="E1029">
        <v>218.31200000000001</v>
      </c>
      <c r="F1029">
        <v>1.1000000000000001</v>
      </c>
    </row>
    <row r="1030" spans="1:6" hidden="1">
      <c r="A1030" t="s">
        <v>12</v>
      </c>
      <c r="B1030">
        <v>2010</v>
      </c>
      <c r="C1030" t="s">
        <v>21</v>
      </c>
      <c r="D1030" s="5">
        <v>40422</v>
      </c>
      <c r="E1030">
        <v>218.43899999999999</v>
      </c>
      <c r="F1030">
        <v>1.1000000000000001</v>
      </c>
    </row>
    <row r="1031" spans="1:6" hidden="1">
      <c r="A1031" t="s">
        <v>12</v>
      </c>
      <c r="B1031">
        <v>2010</v>
      </c>
      <c r="C1031" t="s">
        <v>22</v>
      </c>
      <c r="D1031" s="5">
        <v>40452</v>
      </c>
      <c r="E1031">
        <v>218.71100000000001</v>
      </c>
      <c r="F1031">
        <v>1.2</v>
      </c>
    </row>
    <row r="1032" spans="1:6" hidden="1">
      <c r="A1032" t="s">
        <v>12</v>
      </c>
      <c r="B1032">
        <v>2010</v>
      </c>
      <c r="C1032" t="s">
        <v>23</v>
      </c>
      <c r="D1032" s="5">
        <v>40483</v>
      </c>
      <c r="E1032">
        <v>218.803</v>
      </c>
      <c r="F1032">
        <v>1.1000000000000001</v>
      </c>
    </row>
    <row r="1033" spans="1:6" hidden="1">
      <c r="A1033" t="s">
        <v>12</v>
      </c>
      <c r="B1033">
        <v>2010</v>
      </c>
      <c r="C1033" t="s">
        <v>24</v>
      </c>
      <c r="D1033" s="5">
        <v>40513</v>
      </c>
      <c r="E1033">
        <v>219.179</v>
      </c>
      <c r="F1033">
        <v>1.5</v>
      </c>
    </row>
    <row r="1034" spans="1:6">
      <c r="A1034" t="s">
        <v>12</v>
      </c>
      <c r="B1034">
        <v>2011</v>
      </c>
      <c r="C1034" t="s">
        <v>13</v>
      </c>
      <c r="D1034" s="5">
        <v>40544</v>
      </c>
      <c r="E1034">
        <v>220.22300000000001</v>
      </c>
    </row>
    <row r="1035" spans="1:6" hidden="1">
      <c r="A1035" t="s">
        <v>12</v>
      </c>
      <c r="B1035">
        <v>2011</v>
      </c>
      <c r="C1035" t="s">
        <v>14</v>
      </c>
      <c r="D1035" s="5">
        <v>40575</v>
      </c>
      <c r="E1035">
        <v>221.309</v>
      </c>
    </row>
    <row r="1036" spans="1:6" hidden="1">
      <c r="A1036" t="s">
        <v>12</v>
      </c>
      <c r="B1036">
        <v>2011</v>
      </c>
      <c r="C1036" t="s">
        <v>15</v>
      </c>
      <c r="D1036" s="5">
        <v>40603</v>
      </c>
      <c r="E1036">
        <v>223.46700000000001</v>
      </c>
    </row>
    <row r="1037" spans="1:6" hidden="1">
      <c r="A1037" t="s">
        <v>12</v>
      </c>
      <c r="B1037">
        <v>2011</v>
      </c>
      <c r="C1037" t="s">
        <v>16</v>
      </c>
      <c r="D1037" s="5">
        <v>40634</v>
      </c>
      <c r="E1037">
        <v>224.90600000000001</v>
      </c>
    </row>
    <row r="1038" spans="1:6" hidden="1">
      <c r="A1038" t="s">
        <v>12</v>
      </c>
      <c r="B1038">
        <v>2011</v>
      </c>
      <c r="C1038" t="s">
        <v>17</v>
      </c>
      <c r="D1038" s="5">
        <v>40664</v>
      </c>
      <c r="E1038">
        <v>225.964</v>
      </c>
    </row>
    <row r="1039" spans="1:6" hidden="1">
      <c r="A1039" t="s">
        <v>12</v>
      </c>
      <c r="B1039">
        <v>2011</v>
      </c>
      <c r="C1039" t="s">
        <v>18</v>
      </c>
      <c r="D1039" s="5">
        <v>40695</v>
      </c>
      <c r="E1039">
        <v>225.72200000000001</v>
      </c>
    </row>
    <row r="1040" spans="1:6" hidden="1">
      <c r="A1040" t="s">
        <v>12</v>
      </c>
      <c r="B1040">
        <v>2011</v>
      </c>
      <c r="C1040" t="s">
        <v>19</v>
      </c>
      <c r="D1040" s="5">
        <v>40725</v>
      </c>
      <c r="E1040">
        <v>225.922</v>
      </c>
    </row>
    <row r="1041" spans="1:6" hidden="1">
      <c r="A1041" t="s">
        <v>12</v>
      </c>
      <c r="B1041">
        <v>2011</v>
      </c>
      <c r="C1041" t="s">
        <v>20</v>
      </c>
      <c r="D1041" s="5">
        <v>40756</v>
      </c>
      <c r="E1041">
        <v>226.54499999999999</v>
      </c>
    </row>
    <row r="1042" spans="1:6" hidden="1">
      <c r="A1042" t="s">
        <v>12</v>
      </c>
      <c r="B1042">
        <v>2011</v>
      </c>
      <c r="C1042" t="s">
        <v>21</v>
      </c>
      <c r="D1042" s="5">
        <v>40787</v>
      </c>
      <c r="E1042">
        <v>226.88900000000001</v>
      </c>
    </row>
    <row r="1043" spans="1:6" hidden="1">
      <c r="A1043" t="s">
        <v>12</v>
      </c>
      <c r="B1043">
        <v>2011</v>
      </c>
      <c r="C1043" t="s">
        <v>22</v>
      </c>
      <c r="D1043" s="5">
        <v>40817</v>
      </c>
      <c r="E1043">
        <v>226.42099999999999</v>
      </c>
    </row>
    <row r="1044" spans="1:6" hidden="1">
      <c r="A1044" t="s">
        <v>12</v>
      </c>
      <c r="B1044">
        <v>2011</v>
      </c>
      <c r="C1044" t="s">
        <v>23</v>
      </c>
      <c r="D1044" s="5">
        <v>40848</v>
      </c>
      <c r="E1044">
        <v>226.23</v>
      </c>
    </row>
    <row r="1045" spans="1:6" hidden="1">
      <c r="A1045" t="s">
        <v>12</v>
      </c>
      <c r="B1045">
        <v>2011</v>
      </c>
      <c r="C1045" t="s">
        <v>24</v>
      </c>
      <c r="D1045" s="5">
        <v>40878</v>
      </c>
      <c r="E1045">
        <v>225.672</v>
      </c>
    </row>
    <row r="1046" spans="1:6">
      <c r="A1046" t="s">
        <v>12</v>
      </c>
      <c r="B1046">
        <v>2012</v>
      </c>
      <c r="C1046" t="s">
        <v>13</v>
      </c>
      <c r="D1046" s="5">
        <v>40909</v>
      </c>
      <c r="E1046">
        <v>226.66499999999999</v>
      </c>
      <c r="F1046">
        <v>2.9</v>
      </c>
    </row>
    <row r="1047" spans="1:6" hidden="1">
      <c r="A1047" t="s">
        <v>12</v>
      </c>
      <c r="B1047">
        <v>2012</v>
      </c>
      <c r="C1047" t="s">
        <v>14</v>
      </c>
      <c r="D1047" s="5">
        <v>40940</v>
      </c>
      <c r="E1047">
        <v>227.66300000000001</v>
      </c>
      <c r="F1047">
        <v>2.9</v>
      </c>
    </row>
    <row r="1048" spans="1:6" hidden="1">
      <c r="A1048" t="s">
        <v>12</v>
      </c>
      <c r="B1048">
        <v>2012</v>
      </c>
      <c r="C1048" t="s">
        <v>15</v>
      </c>
      <c r="D1048" s="5">
        <v>40969</v>
      </c>
      <c r="E1048">
        <v>229.392</v>
      </c>
      <c r="F1048">
        <v>2.7</v>
      </c>
    </row>
    <row r="1049" spans="1:6" hidden="1">
      <c r="A1049" t="s">
        <v>12</v>
      </c>
      <c r="B1049">
        <v>2012</v>
      </c>
      <c r="C1049" t="s">
        <v>16</v>
      </c>
      <c r="D1049" s="5">
        <v>41000</v>
      </c>
      <c r="E1049">
        <v>230.08500000000001</v>
      </c>
      <c r="F1049">
        <v>2.2999999999999998</v>
      </c>
    </row>
    <row r="1050" spans="1:6" hidden="1">
      <c r="A1050" t="s">
        <v>12</v>
      </c>
      <c r="B1050">
        <v>2012</v>
      </c>
      <c r="C1050" t="s">
        <v>17</v>
      </c>
      <c r="D1050" s="5">
        <v>41030</v>
      </c>
      <c r="E1050">
        <v>229.815</v>
      </c>
      <c r="F1050">
        <v>1.7</v>
      </c>
    </row>
    <row r="1051" spans="1:6" hidden="1">
      <c r="A1051" t="s">
        <v>12</v>
      </c>
      <c r="B1051">
        <v>2012</v>
      </c>
      <c r="C1051" t="s">
        <v>18</v>
      </c>
      <c r="D1051" s="5">
        <v>41061</v>
      </c>
      <c r="E1051">
        <v>229.47800000000001</v>
      </c>
      <c r="F1051">
        <v>1.7</v>
      </c>
    </row>
    <row r="1052" spans="1:6" hidden="1">
      <c r="A1052" t="s">
        <v>12</v>
      </c>
      <c r="B1052">
        <v>2012</v>
      </c>
      <c r="C1052" t="s">
        <v>19</v>
      </c>
      <c r="D1052" s="5">
        <v>41091</v>
      </c>
      <c r="E1052">
        <v>229.10400000000001</v>
      </c>
      <c r="F1052">
        <v>1.4</v>
      </c>
    </row>
    <row r="1053" spans="1:6" hidden="1">
      <c r="A1053" t="s">
        <v>12</v>
      </c>
      <c r="B1053">
        <v>2012</v>
      </c>
      <c r="C1053" t="s">
        <v>20</v>
      </c>
      <c r="D1053" s="5">
        <v>41122</v>
      </c>
      <c r="E1053">
        <v>230.37899999999999</v>
      </c>
      <c r="F1053">
        <v>1.7</v>
      </c>
    </row>
    <row r="1054" spans="1:6" hidden="1">
      <c r="A1054" t="s">
        <v>12</v>
      </c>
      <c r="B1054">
        <v>2012</v>
      </c>
      <c r="C1054" t="s">
        <v>21</v>
      </c>
      <c r="D1054" s="5">
        <v>41153</v>
      </c>
      <c r="E1054">
        <v>231.40700000000001</v>
      </c>
      <c r="F1054">
        <v>2</v>
      </c>
    </row>
    <row r="1055" spans="1:6" hidden="1">
      <c r="A1055" t="s">
        <v>12</v>
      </c>
      <c r="B1055">
        <v>2012</v>
      </c>
      <c r="C1055" t="s">
        <v>22</v>
      </c>
      <c r="D1055" s="5">
        <v>41183</v>
      </c>
      <c r="E1055">
        <v>231.31700000000001</v>
      </c>
      <c r="F1055">
        <v>2.2000000000000002</v>
      </c>
    </row>
    <row r="1056" spans="1:6" hidden="1">
      <c r="A1056" t="s">
        <v>12</v>
      </c>
      <c r="B1056">
        <v>2012</v>
      </c>
      <c r="C1056" t="s">
        <v>23</v>
      </c>
      <c r="D1056" s="5">
        <v>41214</v>
      </c>
      <c r="E1056">
        <v>230.221</v>
      </c>
      <c r="F1056">
        <v>1.8</v>
      </c>
    </row>
    <row r="1057" spans="1:6" hidden="1">
      <c r="A1057" t="s">
        <v>12</v>
      </c>
      <c r="B1057">
        <v>2012</v>
      </c>
      <c r="C1057" t="s">
        <v>24</v>
      </c>
      <c r="D1057" s="5">
        <v>41244</v>
      </c>
      <c r="E1057">
        <v>229.601</v>
      </c>
      <c r="F1057">
        <v>1.7</v>
      </c>
    </row>
    <row r="1058" spans="1:6">
      <c r="A1058" t="s">
        <v>12</v>
      </c>
      <c r="B1058">
        <v>2013</v>
      </c>
      <c r="C1058" t="s">
        <v>13</v>
      </c>
      <c r="D1058" s="5">
        <v>41275</v>
      </c>
      <c r="E1058">
        <v>230.28</v>
      </c>
    </row>
    <row r="1059" spans="1:6" hidden="1">
      <c r="A1059" t="s">
        <v>12</v>
      </c>
      <c r="B1059">
        <v>2013</v>
      </c>
      <c r="C1059" t="s">
        <v>14</v>
      </c>
      <c r="D1059" s="5">
        <v>41306</v>
      </c>
      <c r="E1059">
        <v>232.166</v>
      </c>
    </row>
    <row r="1060" spans="1:6" hidden="1">
      <c r="A1060" t="s">
        <v>12</v>
      </c>
      <c r="B1060">
        <v>2013</v>
      </c>
      <c r="C1060" t="s">
        <v>15</v>
      </c>
      <c r="D1060" s="5">
        <v>41334</v>
      </c>
      <c r="E1060">
        <v>232.773</v>
      </c>
    </row>
    <row r="1061" spans="1:6" hidden="1">
      <c r="A1061" t="s">
        <v>12</v>
      </c>
      <c r="B1061">
        <v>2013</v>
      </c>
      <c r="C1061" t="s">
        <v>16</v>
      </c>
      <c r="D1061" s="5">
        <v>41365</v>
      </c>
      <c r="E1061">
        <v>232.53100000000001</v>
      </c>
    </row>
    <row r="1062" spans="1:6" hidden="1">
      <c r="A1062" t="s">
        <v>12</v>
      </c>
      <c r="B1062">
        <v>2013</v>
      </c>
      <c r="C1062" t="s">
        <v>17</v>
      </c>
      <c r="D1062" s="5">
        <v>41395</v>
      </c>
      <c r="E1062">
        <v>232.94499999999999</v>
      </c>
    </row>
    <row r="1063" spans="1:6" hidden="1">
      <c r="A1063" t="s">
        <v>12</v>
      </c>
      <c r="B1063">
        <v>2013</v>
      </c>
      <c r="C1063" t="s">
        <v>18</v>
      </c>
      <c r="D1063" s="5">
        <v>41426</v>
      </c>
      <c r="E1063">
        <v>233.50399999999999</v>
      </c>
    </row>
    <row r="1064" spans="1:6" hidden="1">
      <c r="A1064" t="s">
        <v>12</v>
      </c>
      <c r="B1064">
        <v>2013</v>
      </c>
      <c r="C1064" t="s">
        <v>19</v>
      </c>
      <c r="D1064" s="5">
        <v>41456</v>
      </c>
      <c r="E1064">
        <v>233.596</v>
      </c>
    </row>
    <row r="1065" spans="1:6" hidden="1">
      <c r="A1065" t="s">
        <v>12</v>
      </c>
      <c r="B1065">
        <v>2013</v>
      </c>
      <c r="C1065" t="s">
        <v>20</v>
      </c>
      <c r="D1065" s="5">
        <v>41487</v>
      </c>
      <c r="E1065">
        <v>233.87700000000001</v>
      </c>
    </row>
    <row r="1066" spans="1:6" hidden="1">
      <c r="A1066" t="s">
        <v>12</v>
      </c>
      <c r="B1066">
        <v>2013</v>
      </c>
      <c r="C1066" t="s">
        <v>21</v>
      </c>
      <c r="D1066" s="5">
        <v>41518</v>
      </c>
      <c r="E1066">
        <v>234.149</v>
      </c>
    </row>
    <row r="1067" spans="1:6" hidden="1">
      <c r="A1067" t="s">
        <v>12</v>
      </c>
      <c r="B1067">
        <v>2013</v>
      </c>
      <c r="C1067" t="s">
        <v>22</v>
      </c>
      <c r="D1067" s="5">
        <v>41548</v>
      </c>
      <c r="E1067">
        <v>233.54599999999999</v>
      </c>
    </row>
    <row r="1068" spans="1:6" hidden="1">
      <c r="A1068" t="s">
        <v>12</v>
      </c>
      <c r="B1068">
        <v>2013</v>
      </c>
      <c r="C1068" t="s">
        <v>23</v>
      </c>
      <c r="D1068" s="5">
        <v>41579</v>
      </c>
      <c r="E1068">
        <v>233.06899999999999</v>
      </c>
    </row>
    <row r="1069" spans="1:6" hidden="1">
      <c r="A1069" t="s">
        <v>12</v>
      </c>
      <c r="B1069">
        <v>2013</v>
      </c>
      <c r="C1069" t="s">
        <v>24</v>
      </c>
      <c r="D1069" s="5">
        <v>41609</v>
      </c>
      <c r="E1069">
        <v>233.04900000000001</v>
      </c>
    </row>
    <row r="1070" spans="1:6">
      <c r="A1070" t="s">
        <v>12</v>
      </c>
      <c r="B1070">
        <v>2014</v>
      </c>
      <c r="C1070" t="s">
        <v>13</v>
      </c>
      <c r="D1070" s="5">
        <v>41640</v>
      </c>
      <c r="E1070">
        <v>233.916</v>
      </c>
      <c r="F1070">
        <v>1.6</v>
      </c>
    </row>
    <row r="1071" spans="1:6" hidden="1">
      <c r="A1071" t="s">
        <v>12</v>
      </c>
      <c r="B1071">
        <v>2014</v>
      </c>
      <c r="C1071" t="s">
        <v>14</v>
      </c>
      <c r="D1071" s="5">
        <v>41671</v>
      </c>
      <c r="E1071">
        <v>234.78100000000001</v>
      </c>
      <c r="F1071">
        <v>1.1000000000000001</v>
      </c>
    </row>
    <row r="1072" spans="1:6" hidden="1">
      <c r="A1072" t="s">
        <v>12</v>
      </c>
      <c r="B1072">
        <v>2014</v>
      </c>
      <c r="C1072" t="s">
        <v>15</v>
      </c>
      <c r="D1072" s="5">
        <v>41699</v>
      </c>
      <c r="E1072">
        <v>236.29300000000001</v>
      </c>
      <c r="F1072">
        <v>1.5</v>
      </c>
    </row>
    <row r="1073" spans="1:6" hidden="1">
      <c r="A1073" t="s">
        <v>12</v>
      </c>
      <c r="B1073">
        <v>2014</v>
      </c>
      <c r="C1073" t="s">
        <v>16</v>
      </c>
      <c r="D1073" s="5">
        <v>41730</v>
      </c>
      <c r="E1073">
        <v>237.072</v>
      </c>
      <c r="F1073">
        <v>2</v>
      </c>
    </row>
    <row r="1074" spans="1:6" hidden="1">
      <c r="A1074" t="s">
        <v>12</v>
      </c>
      <c r="B1074">
        <v>2014</v>
      </c>
      <c r="C1074" t="s">
        <v>17</v>
      </c>
      <c r="D1074" s="5">
        <v>41760</v>
      </c>
      <c r="E1074">
        <v>237.9</v>
      </c>
      <c r="F1074">
        <v>2.1</v>
      </c>
    </row>
    <row r="1075" spans="1:6" hidden="1">
      <c r="A1075" t="s">
        <v>12</v>
      </c>
      <c r="B1075">
        <v>2014</v>
      </c>
      <c r="C1075" t="s">
        <v>18</v>
      </c>
      <c r="D1075" s="5">
        <v>41791</v>
      </c>
      <c r="E1075">
        <v>238.34299999999999</v>
      </c>
      <c r="F1075">
        <v>2.1</v>
      </c>
    </row>
    <row r="1076" spans="1:6" hidden="1">
      <c r="A1076" t="s">
        <v>12</v>
      </c>
      <c r="B1076">
        <v>2014</v>
      </c>
      <c r="C1076" t="s">
        <v>19</v>
      </c>
      <c r="D1076" s="5">
        <v>41821</v>
      </c>
      <c r="E1076">
        <v>238.25</v>
      </c>
      <c r="F1076">
        <v>2</v>
      </c>
    </row>
    <row r="1077" spans="1:6" hidden="1">
      <c r="A1077" t="s">
        <v>12</v>
      </c>
      <c r="B1077">
        <v>2014</v>
      </c>
      <c r="C1077" t="s">
        <v>20</v>
      </c>
      <c r="D1077" s="5">
        <v>41852</v>
      </c>
      <c r="E1077">
        <v>237.852</v>
      </c>
      <c r="F1077">
        <v>1.7</v>
      </c>
    </row>
    <row r="1078" spans="1:6" hidden="1">
      <c r="A1078" t="s">
        <v>12</v>
      </c>
      <c r="B1078">
        <v>2014</v>
      </c>
      <c r="C1078" t="s">
        <v>21</v>
      </c>
      <c r="D1078" s="5">
        <v>41883</v>
      </c>
      <c r="E1078">
        <v>238.03100000000001</v>
      </c>
      <c r="F1078">
        <v>1.7</v>
      </c>
    </row>
    <row r="1079" spans="1:6" hidden="1">
      <c r="A1079" t="s">
        <v>12</v>
      </c>
      <c r="B1079">
        <v>2014</v>
      </c>
      <c r="C1079" t="s">
        <v>22</v>
      </c>
      <c r="D1079" s="5">
        <v>41913</v>
      </c>
      <c r="E1079">
        <v>237.43299999999999</v>
      </c>
      <c r="F1079">
        <v>1.7</v>
      </c>
    </row>
    <row r="1080" spans="1:6" hidden="1">
      <c r="A1080" t="s">
        <v>12</v>
      </c>
      <c r="B1080">
        <v>2014</v>
      </c>
      <c r="C1080" t="s">
        <v>23</v>
      </c>
      <c r="D1080" s="5">
        <v>41944</v>
      </c>
      <c r="E1080">
        <v>236.15100000000001</v>
      </c>
      <c r="F1080">
        <v>1.3</v>
      </c>
    </row>
    <row r="1081" spans="1:6" hidden="1">
      <c r="A1081" t="s">
        <v>12</v>
      </c>
      <c r="B1081">
        <v>2014</v>
      </c>
      <c r="C1081" t="s">
        <v>24</v>
      </c>
      <c r="D1081" s="5">
        <v>41974</v>
      </c>
      <c r="E1081">
        <v>234.81200000000001</v>
      </c>
      <c r="F1081">
        <v>0.8</v>
      </c>
    </row>
    <row r="1082" spans="1:6">
      <c r="A1082" t="s">
        <v>12</v>
      </c>
      <c r="B1082">
        <v>2015</v>
      </c>
      <c r="C1082" t="s">
        <v>13</v>
      </c>
      <c r="D1082" s="5">
        <v>42005</v>
      </c>
      <c r="E1082">
        <v>233.70699999999999</v>
      </c>
    </row>
    <row r="1083" spans="1:6" hidden="1">
      <c r="A1083" t="s">
        <v>12</v>
      </c>
      <c r="B1083">
        <v>2015</v>
      </c>
      <c r="C1083" t="s">
        <v>14</v>
      </c>
      <c r="D1083" s="5">
        <v>42036</v>
      </c>
      <c r="E1083">
        <v>234.72200000000001</v>
      </c>
    </row>
    <row r="1084" spans="1:6" hidden="1">
      <c r="A1084" t="s">
        <v>12</v>
      </c>
      <c r="B1084">
        <v>2015</v>
      </c>
      <c r="C1084" t="s">
        <v>15</v>
      </c>
      <c r="D1084" s="5">
        <v>42064</v>
      </c>
      <c r="E1084">
        <v>236.119</v>
      </c>
    </row>
    <row r="1085" spans="1:6" hidden="1">
      <c r="A1085" t="s">
        <v>12</v>
      </c>
      <c r="B1085">
        <v>2015</v>
      </c>
      <c r="C1085" t="s">
        <v>16</v>
      </c>
      <c r="D1085" s="5">
        <v>42095</v>
      </c>
      <c r="E1085">
        <v>236.59899999999999</v>
      </c>
    </row>
    <row r="1086" spans="1:6" hidden="1">
      <c r="A1086" t="s">
        <v>12</v>
      </c>
      <c r="B1086">
        <v>2015</v>
      </c>
      <c r="C1086" t="s">
        <v>17</v>
      </c>
      <c r="D1086" s="5">
        <v>42125</v>
      </c>
      <c r="E1086">
        <v>237.80500000000001</v>
      </c>
    </row>
    <row r="1087" spans="1:6" hidden="1">
      <c r="A1087" t="s">
        <v>12</v>
      </c>
      <c r="B1087">
        <v>2015</v>
      </c>
      <c r="C1087" t="s">
        <v>18</v>
      </c>
      <c r="D1087" s="5">
        <v>42156</v>
      </c>
      <c r="E1087">
        <v>238.63800000000001</v>
      </c>
    </row>
    <row r="1088" spans="1:6" hidden="1">
      <c r="A1088" t="s">
        <v>12</v>
      </c>
      <c r="B1088">
        <v>2015</v>
      </c>
      <c r="C1088" t="s">
        <v>19</v>
      </c>
      <c r="D1088" s="5">
        <v>42186</v>
      </c>
      <c r="E1088">
        <v>238.654</v>
      </c>
    </row>
    <row r="1089" spans="1:6" hidden="1">
      <c r="A1089" t="s">
        <v>12</v>
      </c>
      <c r="B1089">
        <v>2015</v>
      </c>
      <c r="C1089" t="s">
        <v>20</v>
      </c>
      <c r="D1089" s="5">
        <v>42217</v>
      </c>
      <c r="E1089">
        <v>238.316</v>
      </c>
    </row>
    <row r="1090" spans="1:6" hidden="1">
      <c r="A1090" t="s">
        <v>12</v>
      </c>
      <c r="B1090">
        <v>2015</v>
      </c>
      <c r="C1090" t="s">
        <v>21</v>
      </c>
      <c r="D1090" s="5">
        <v>42248</v>
      </c>
      <c r="E1090">
        <v>237.94499999999999</v>
      </c>
    </row>
    <row r="1091" spans="1:6" hidden="1">
      <c r="A1091" t="s">
        <v>12</v>
      </c>
      <c r="B1091">
        <v>2015</v>
      </c>
      <c r="C1091" t="s">
        <v>22</v>
      </c>
      <c r="D1091" s="5">
        <v>42278</v>
      </c>
      <c r="E1091">
        <v>237.83799999999999</v>
      </c>
    </row>
    <row r="1092" spans="1:6" hidden="1">
      <c r="A1092" t="s">
        <v>12</v>
      </c>
      <c r="B1092">
        <v>2015</v>
      </c>
      <c r="C1092" t="s">
        <v>23</v>
      </c>
      <c r="D1092" s="5">
        <v>42309</v>
      </c>
      <c r="E1092">
        <v>237.33600000000001</v>
      </c>
    </row>
    <row r="1093" spans="1:6" hidden="1">
      <c r="A1093" t="s">
        <v>12</v>
      </c>
      <c r="B1093">
        <v>2015</v>
      </c>
      <c r="C1093" t="s">
        <v>24</v>
      </c>
      <c r="D1093" s="5">
        <v>42339</v>
      </c>
      <c r="E1093">
        <v>236.52500000000001</v>
      </c>
    </row>
    <row r="1094" spans="1:6">
      <c r="A1094" t="s">
        <v>12</v>
      </c>
      <c r="B1094">
        <v>2016</v>
      </c>
      <c r="C1094" t="s">
        <v>13</v>
      </c>
      <c r="D1094" s="5">
        <v>42370</v>
      </c>
      <c r="E1094">
        <v>236.916</v>
      </c>
      <c r="F1094">
        <v>1.4</v>
      </c>
    </row>
    <row r="1095" spans="1:6" hidden="1">
      <c r="A1095" t="s">
        <v>12</v>
      </c>
      <c r="B1095">
        <v>2016</v>
      </c>
      <c r="C1095" t="s">
        <v>14</v>
      </c>
      <c r="D1095" s="5">
        <v>42401</v>
      </c>
      <c r="E1095">
        <v>237.11099999999999</v>
      </c>
      <c r="F1095">
        <v>1</v>
      </c>
    </row>
    <row r="1096" spans="1:6" hidden="1">
      <c r="A1096" t="s">
        <v>12</v>
      </c>
      <c r="B1096">
        <v>2016</v>
      </c>
      <c r="C1096" t="s">
        <v>15</v>
      </c>
      <c r="D1096" s="5">
        <v>42430</v>
      </c>
      <c r="E1096">
        <v>238.13200000000001</v>
      </c>
      <c r="F1096">
        <v>0.9</v>
      </c>
    </row>
    <row r="1097" spans="1:6" hidden="1">
      <c r="A1097" t="s">
        <v>12</v>
      </c>
      <c r="B1097">
        <v>2016</v>
      </c>
      <c r="C1097" t="s">
        <v>16</v>
      </c>
      <c r="D1097" s="5">
        <v>42461</v>
      </c>
      <c r="E1097">
        <v>239.261</v>
      </c>
      <c r="F1097">
        <v>1.1000000000000001</v>
      </c>
    </row>
    <row r="1098" spans="1:6" hidden="1">
      <c r="A1098" t="s">
        <v>12</v>
      </c>
      <c r="B1098">
        <v>2016</v>
      </c>
      <c r="C1098" t="s">
        <v>17</v>
      </c>
      <c r="D1098" s="5">
        <v>42491</v>
      </c>
      <c r="E1098">
        <v>240.22900000000001</v>
      </c>
      <c r="F1098">
        <v>1</v>
      </c>
    </row>
    <row r="1099" spans="1:6" hidden="1">
      <c r="A1099" t="s">
        <v>12</v>
      </c>
      <c r="B1099">
        <v>2016</v>
      </c>
      <c r="C1099" t="s">
        <v>18</v>
      </c>
      <c r="D1099" s="5">
        <v>42522</v>
      </c>
      <c r="E1099">
        <v>241.018</v>
      </c>
      <c r="F1099">
        <v>1</v>
      </c>
    </row>
    <row r="1100" spans="1:6" hidden="1">
      <c r="A1100" t="s">
        <v>12</v>
      </c>
      <c r="B1100">
        <v>2016</v>
      </c>
      <c r="C1100" t="s">
        <v>19</v>
      </c>
      <c r="D1100" s="5">
        <v>42552</v>
      </c>
      <c r="E1100">
        <v>240.62799999999999</v>
      </c>
      <c r="F1100">
        <v>0.8</v>
      </c>
    </row>
    <row r="1101" spans="1:6" hidden="1">
      <c r="A1101" t="s">
        <v>12</v>
      </c>
      <c r="B1101">
        <v>2016</v>
      </c>
      <c r="C1101" t="s">
        <v>20</v>
      </c>
      <c r="D1101" s="5">
        <v>42583</v>
      </c>
      <c r="E1101">
        <v>240.84899999999999</v>
      </c>
      <c r="F1101">
        <v>1.1000000000000001</v>
      </c>
    </row>
    <row r="1102" spans="1:6" hidden="1">
      <c r="A1102" t="s">
        <v>12</v>
      </c>
      <c r="B1102">
        <v>2016</v>
      </c>
      <c r="C1102" t="s">
        <v>21</v>
      </c>
      <c r="D1102" s="5">
        <v>42614</v>
      </c>
      <c r="E1102">
        <v>241.428</v>
      </c>
      <c r="F1102">
        <v>1.5</v>
      </c>
    </row>
    <row r="1103" spans="1:6" hidden="1">
      <c r="A1103" t="s">
        <v>12</v>
      </c>
      <c r="B1103">
        <v>2016</v>
      </c>
      <c r="C1103" t="s">
        <v>22</v>
      </c>
      <c r="D1103" s="5">
        <v>42644</v>
      </c>
      <c r="E1103">
        <v>241.72900000000001</v>
      </c>
      <c r="F1103">
        <v>1.6</v>
      </c>
    </row>
    <row r="1104" spans="1:6" hidden="1">
      <c r="A1104" t="s">
        <v>12</v>
      </c>
      <c r="B1104">
        <v>2016</v>
      </c>
      <c r="C1104" t="s">
        <v>23</v>
      </c>
      <c r="D1104" s="5">
        <v>42675</v>
      </c>
      <c r="E1104">
        <v>241.35300000000001</v>
      </c>
      <c r="F1104">
        <v>1.7</v>
      </c>
    </row>
    <row r="1105" spans="1:6" hidden="1">
      <c r="A1105" t="s">
        <v>12</v>
      </c>
      <c r="B1105">
        <v>2016</v>
      </c>
      <c r="C1105" t="s">
        <v>24</v>
      </c>
      <c r="D1105" s="5">
        <v>42705</v>
      </c>
      <c r="E1105">
        <v>241.43199999999999</v>
      </c>
      <c r="F1105">
        <v>2.1</v>
      </c>
    </row>
    <row r="1106" spans="1:6">
      <c r="A1106" t="s">
        <v>12</v>
      </c>
      <c r="B1106">
        <v>2017</v>
      </c>
      <c r="C1106" t="s">
        <v>13</v>
      </c>
      <c r="D1106" s="5">
        <v>42736</v>
      </c>
      <c r="E1106">
        <v>242.839</v>
      </c>
      <c r="F1106">
        <v>2.5</v>
      </c>
    </row>
    <row r="1107" spans="1:6" hidden="1">
      <c r="A1107" t="s">
        <v>12</v>
      </c>
      <c r="B1107">
        <v>2017</v>
      </c>
      <c r="C1107" t="s">
        <v>14</v>
      </c>
      <c r="D1107" s="5">
        <v>42767</v>
      </c>
      <c r="E1107">
        <v>243.60300000000001</v>
      </c>
      <c r="F1107">
        <v>2.7</v>
      </c>
    </row>
    <row r="1108" spans="1:6" hidden="1">
      <c r="A1108" t="s">
        <v>12</v>
      </c>
      <c r="B1108">
        <v>2017</v>
      </c>
      <c r="C1108" t="s">
        <v>15</v>
      </c>
      <c r="D1108" s="5">
        <v>42795</v>
      </c>
      <c r="E1108">
        <v>243.80099999999999</v>
      </c>
      <c r="F1108">
        <v>2.4</v>
      </c>
    </row>
    <row r="1109" spans="1:6" hidden="1">
      <c r="A1109" t="s">
        <v>12</v>
      </c>
      <c r="B1109">
        <v>2017</v>
      </c>
      <c r="C1109" t="s">
        <v>16</v>
      </c>
      <c r="D1109" s="5">
        <v>42826</v>
      </c>
      <c r="E1109">
        <v>244.524</v>
      </c>
      <c r="F1109">
        <v>2.2000000000000002</v>
      </c>
    </row>
    <row r="1110" spans="1:6" hidden="1">
      <c r="A1110" t="s">
        <v>12</v>
      </c>
      <c r="B1110">
        <v>2017</v>
      </c>
      <c r="C1110" t="s">
        <v>17</v>
      </c>
      <c r="D1110" s="5">
        <v>42856</v>
      </c>
      <c r="E1110">
        <v>244.733</v>
      </c>
      <c r="F1110">
        <v>1.9</v>
      </c>
    </row>
    <row r="1111" spans="1:6" hidden="1">
      <c r="A1111" t="s">
        <v>12</v>
      </c>
      <c r="B1111">
        <v>2017</v>
      </c>
      <c r="C1111" t="s">
        <v>18</v>
      </c>
      <c r="D1111" s="5">
        <v>42887</v>
      </c>
      <c r="E1111">
        <v>244.95500000000001</v>
      </c>
      <c r="F1111">
        <v>1.6</v>
      </c>
    </row>
    <row r="1112" spans="1:6" hidden="1">
      <c r="A1112" t="s">
        <v>12</v>
      </c>
      <c r="B1112">
        <v>2017</v>
      </c>
      <c r="C1112" t="s">
        <v>19</v>
      </c>
      <c r="D1112" s="5">
        <v>42917</v>
      </c>
      <c r="E1112">
        <v>244.786</v>
      </c>
      <c r="F1112">
        <v>1.7</v>
      </c>
    </row>
    <row r="1113" spans="1:6" hidden="1">
      <c r="A1113" t="s">
        <v>12</v>
      </c>
      <c r="B1113">
        <v>2017</v>
      </c>
      <c r="C1113" t="s">
        <v>20</v>
      </c>
      <c r="D1113" s="5">
        <v>42948</v>
      </c>
      <c r="E1113">
        <v>245.51900000000001</v>
      </c>
      <c r="F1113">
        <v>1.9</v>
      </c>
    </row>
    <row r="1114" spans="1:6" hidden="1">
      <c r="A1114" t="s">
        <v>12</v>
      </c>
      <c r="B1114">
        <v>2017</v>
      </c>
      <c r="C1114" t="s">
        <v>21</v>
      </c>
      <c r="D1114" s="5">
        <v>42979</v>
      </c>
      <c r="E1114">
        <v>246.81899999999999</v>
      </c>
      <c r="F1114">
        <v>2.2000000000000002</v>
      </c>
    </row>
    <row r="1115" spans="1:6" hidden="1">
      <c r="A1115" t="s">
        <v>12</v>
      </c>
      <c r="B1115">
        <v>2017</v>
      </c>
      <c r="C1115" t="s">
        <v>22</v>
      </c>
      <c r="D1115" s="5">
        <v>43009</v>
      </c>
      <c r="E1115">
        <v>246.66300000000001</v>
      </c>
      <c r="F1115">
        <v>2</v>
      </c>
    </row>
    <row r="1116" spans="1:6" hidden="1">
      <c r="A1116" t="s">
        <v>12</v>
      </c>
      <c r="B1116">
        <v>2017</v>
      </c>
      <c r="C1116" t="s">
        <v>23</v>
      </c>
      <c r="D1116" s="5">
        <v>43040</v>
      </c>
      <c r="E1116">
        <v>246.66900000000001</v>
      </c>
      <c r="F1116">
        <v>2.2000000000000002</v>
      </c>
    </row>
    <row r="1117" spans="1:6" hidden="1">
      <c r="A1117" t="s">
        <v>12</v>
      </c>
      <c r="B1117">
        <v>2017</v>
      </c>
      <c r="C1117" t="s">
        <v>24</v>
      </c>
      <c r="D1117" s="5">
        <v>43070</v>
      </c>
      <c r="E1117">
        <v>246.524</v>
      </c>
      <c r="F1117">
        <v>2.1</v>
      </c>
    </row>
    <row r="1118" spans="1:6">
      <c r="A1118" t="s">
        <v>12</v>
      </c>
      <c r="B1118">
        <v>2018</v>
      </c>
      <c r="C1118" t="s">
        <v>13</v>
      </c>
      <c r="D1118" s="5">
        <v>43101</v>
      </c>
      <c r="E1118">
        <v>247.86699999999999</v>
      </c>
      <c r="F1118">
        <v>2.1</v>
      </c>
    </row>
    <row r="1119" spans="1:6" hidden="1">
      <c r="A1119" t="s">
        <v>12</v>
      </c>
      <c r="B1119">
        <v>2018</v>
      </c>
      <c r="C1119" t="s">
        <v>14</v>
      </c>
      <c r="D1119" s="5">
        <v>43132</v>
      </c>
      <c r="E1119">
        <v>248.99100000000001</v>
      </c>
      <c r="F1119">
        <v>2.2000000000000002</v>
      </c>
    </row>
    <row r="1120" spans="1:6" hidden="1">
      <c r="A1120" t="s">
        <v>12</v>
      </c>
      <c r="B1120">
        <v>2018</v>
      </c>
      <c r="C1120" t="s">
        <v>15</v>
      </c>
      <c r="D1120" s="5">
        <v>43160</v>
      </c>
      <c r="E1120">
        <v>249.554</v>
      </c>
      <c r="F1120">
        <v>2.4</v>
      </c>
    </row>
    <row r="1121" spans="1:6" hidden="1">
      <c r="A1121" t="s">
        <v>12</v>
      </c>
      <c r="B1121">
        <v>2018</v>
      </c>
      <c r="C1121" t="s">
        <v>16</v>
      </c>
      <c r="D1121" s="5">
        <v>43191</v>
      </c>
      <c r="E1121">
        <v>250.54599999999999</v>
      </c>
      <c r="F1121">
        <v>2.5</v>
      </c>
    </row>
    <row r="1122" spans="1:6" hidden="1">
      <c r="A1122" t="s">
        <v>12</v>
      </c>
      <c r="B1122">
        <v>2018</v>
      </c>
      <c r="C1122" t="s">
        <v>17</v>
      </c>
      <c r="D1122" s="5">
        <v>43221</v>
      </c>
      <c r="E1122">
        <v>251.58799999999999</v>
      </c>
      <c r="F1122">
        <v>2.8</v>
      </c>
    </row>
    <row r="1123" spans="1:6" hidden="1">
      <c r="A1123" t="s">
        <v>12</v>
      </c>
      <c r="B1123">
        <v>2018</v>
      </c>
      <c r="C1123" t="s">
        <v>18</v>
      </c>
      <c r="D1123" s="5">
        <v>43252</v>
      </c>
      <c r="E1123">
        <v>251.989</v>
      </c>
      <c r="F1123">
        <v>2.9</v>
      </c>
    </row>
    <row r="1124" spans="1:6" hidden="1">
      <c r="A1124" t="s">
        <v>12</v>
      </c>
      <c r="B1124">
        <v>2018</v>
      </c>
      <c r="C1124" t="s">
        <v>19</v>
      </c>
      <c r="D1124" s="5">
        <v>43282</v>
      </c>
      <c r="E1124">
        <v>252.006</v>
      </c>
      <c r="F1124">
        <v>2.9</v>
      </c>
    </row>
    <row r="1125" spans="1:6" hidden="1">
      <c r="A1125" t="s">
        <v>12</v>
      </c>
      <c r="B1125">
        <v>2018</v>
      </c>
      <c r="C1125" t="s">
        <v>20</v>
      </c>
      <c r="D1125" s="5">
        <v>43313</v>
      </c>
      <c r="E1125">
        <v>252.14599999999999</v>
      </c>
      <c r="F1125">
        <v>2.7</v>
      </c>
    </row>
    <row r="1126" spans="1:6" hidden="1">
      <c r="A1126" t="s">
        <v>12</v>
      </c>
      <c r="B1126">
        <v>2018</v>
      </c>
      <c r="C1126" t="s">
        <v>21</v>
      </c>
      <c r="D1126" s="5">
        <v>43344</v>
      </c>
      <c r="E1126">
        <v>252.43899999999999</v>
      </c>
      <c r="F1126">
        <v>2.2999999999999998</v>
      </c>
    </row>
    <row r="1127" spans="1:6" hidden="1">
      <c r="A1127" t="s">
        <v>12</v>
      </c>
      <c r="B1127">
        <v>2018</v>
      </c>
      <c r="C1127" t="s">
        <v>22</v>
      </c>
      <c r="D1127" s="5">
        <v>43374</v>
      </c>
      <c r="E1127">
        <v>252.88499999999999</v>
      </c>
      <c r="F1127">
        <v>2.5</v>
      </c>
    </row>
    <row r="1128" spans="1:6" hidden="1">
      <c r="A1128" t="s">
        <v>12</v>
      </c>
      <c r="B1128">
        <v>2018</v>
      </c>
      <c r="C1128" t="s">
        <v>23</v>
      </c>
      <c r="D1128" s="5">
        <v>43405</v>
      </c>
      <c r="E1128">
        <v>252.03800000000001</v>
      </c>
      <c r="F1128">
        <v>2.2000000000000002</v>
      </c>
    </row>
    <row r="1129" spans="1:6" hidden="1">
      <c r="A1129" t="s">
        <v>12</v>
      </c>
      <c r="B1129">
        <v>2018</v>
      </c>
      <c r="C1129" t="s">
        <v>24</v>
      </c>
      <c r="D1129" s="5">
        <v>43435</v>
      </c>
      <c r="E1129">
        <v>251.233</v>
      </c>
      <c r="F1129">
        <v>1.9</v>
      </c>
    </row>
    <row r="1130" spans="1:6">
      <c r="A1130" t="s">
        <v>12</v>
      </c>
      <c r="B1130">
        <v>2019</v>
      </c>
      <c r="C1130" t="s">
        <v>13</v>
      </c>
      <c r="D1130" s="5">
        <v>43466</v>
      </c>
      <c r="E1130">
        <v>251.71199999999999</v>
      </c>
      <c r="F1130">
        <v>1.6</v>
      </c>
    </row>
    <row r="1131" spans="1:6" hidden="1">
      <c r="A1131" t="s">
        <v>12</v>
      </c>
      <c r="B1131">
        <v>2019</v>
      </c>
      <c r="C1131" t="s">
        <v>14</v>
      </c>
      <c r="D1131" s="5">
        <v>43497</v>
      </c>
      <c r="E1131">
        <v>252.77600000000001</v>
      </c>
      <c r="F1131">
        <v>1.5</v>
      </c>
    </row>
    <row r="1132" spans="1:6" hidden="1">
      <c r="A1132" t="s">
        <v>12</v>
      </c>
      <c r="B1132">
        <v>2019</v>
      </c>
      <c r="C1132" t="s">
        <v>15</v>
      </c>
      <c r="D1132" s="5">
        <v>43525</v>
      </c>
      <c r="E1132">
        <v>254.202</v>
      </c>
      <c r="F1132">
        <v>1.9</v>
      </c>
    </row>
    <row r="1133" spans="1:6" hidden="1">
      <c r="A1133" t="s">
        <v>12</v>
      </c>
      <c r="B1133">
        <v>2019</v>
      </c>
      <c r="C1133" t="s">
        <v>16</v>
      </c>
      <c r="D1133" s="5">
        <v>43556</v>
      </c>
      <c r="E1133">
        <v>255.548</v>
      </c>
      <c r="F1133">
        <v>2</v>
      </c>
    </row>
    <row r="1134" spans="1:6" hidden="1">
      <c r="A1134" t="s">
        <v>12</v>
      </c>
      <c r="B1134">
        <v>2019</v>
      </c>
      <c r="C1134" t="s">
        <v>17</v>
      </c>
      <c r="D1134" s="5">
        <v>43586</v>
      </c>
      <c r="E1134">
        <v>256.09199999999998</v>
      </c>
      <c r="F1134">
        <v>1.8</v>
      </c>
    </row>
    <row r="1135" spans="1:6" hidden="1">
      <c r="A1135" t="s">
        <v>12</v>
      </c>
      <c r="B1135">
        <v>2019</v>
      </c>
      <c r="C1135" t="s">
        <v>18</v>
      </c>
      <c r="D1135" s="5">
        <v>43617</v>
      </c>
      <c r="E1135">
        <v>256.14299999999997</v>
      </c>
      <c r="F1135">
        <v>1.6</v>
      </c>
    </row>
    <row r="1136" spans="1:6" hidden="1">
      <c r="A1136" t="s">
        <v>12</v>
      </c>
      <c r="B1136">
        <v>2019</v>
      </c>
      <c r="C1136" t="s">
        <v>19</v>
      </c>
      <c r="D1136" s="5">
        <v>43647</v>
      </c>
      <c r="E1136">
        <v>256.57100000000003</v>
      </c>
      <c r="F1136">
        <v>1.8</v>
      </c>
    </row>
    <row r="1137" spans="1:6" hidden="1">
      <c r="A1137" t="s">
        <v>12</v>
      </c>
      <c r="B1137">
        <v>2019</v>
      </c>
      <c r="C1137" t="s">
        <v>20</v>
      </c>
      <c r="D1137" s="5">
        <v>43678</v>
      </c>
      <c r="E1137">
        <v>256.55799999999999</v>
      </c>
      <c r="F1137">
        <v>1.7</v>
      </c>
    </row>
    <row r="1138" spans="1:6" hidden="1">
      <c r="A1138" t="s">
        <v>12</v>
      </c>
      <c r="B1138">
        <v>2019</v>
      </c>
      <c r="C1138" t="s">
        <v>21</v>
      </c>
      <c r="D1138" s="5">
        <v>43709</v>
      </c>
      <c r="E1138">
        <v>256.75900000000001</v>
      </c>
      <c r="F1138">
        <v>1.7</v>
      </c>
    </row>
    <row r="1139" spans="1:6" hidden="1">
      <c r="A1139" t="s">
        <v>12</v>
      </c>
      <c r="B1139">
        <v>2019</v>
      </c>
      <c r="C1139" t="s">
        <v>22</v>
      </c>
      <c r="D1139" s="5">
        <v>43739</v>
      </c>
      <c r="E1139">
        <v>257.346</v>
      </c>
      <c r="F1139">
        <v>1.8</v>
      </c>
    </row>
    <row r="1140" spans="1:6" hidden="1">
      <c r="A1140" t="s">
        <v>12</v>
      </c>
      <c r="B1140">
        <v>2019</v>
      </c>
      <c r="C1140" t="s">
        <v>23</v>
      </c>
      <c r="D1140" s="5">
        <v>43770</v>
      </c>
      <c r="E1140">
        <v>257.20800000000003</v>
      </c>
      <c r="F1140">
        <v>2.1</v>
      </c>
    </row>
    <row r="1141" spans="1:6" hidden="1">
      <c r="A1141" t="s">
        <v>12</v>
      </c>
      <c r="B1141">
        <v>2019</v>
      </c>
      <c r="C1141" t="s">
        <v>24</v>
      </c>
      <c r="D1141" s="5">
        <v>43800</v>
      </c>
      <c r="E1141">
        <v>256.97399999999999</v>
      </c>
      <c r="F1141">
        <v>2.2999999999999998</v>
      </c>
    </row>
    <row r="1142" spans="1:6">
      <c r="A1142" t="s">
        <v>12</v>
      </c>
      <c r="B1142">
        <v>2020</v>
      </c>
      <c r="C1142" t="s">
        <v>13</v>
      </c>
      <c r="D1142" s="5">
        <v>43831</v>
      </c>
      <c r="E1142">
        <v>257.971</v>
      </c>
      <c r="F1142">
        <v>2.5</v>
      </c>
    </row>
    <row r="1143" spans="1:6" hidden="1">
      <c r="A1143" t="s">
        <v>12</v>
      </c>
      <c r="B1143">
        <v>2020</v>
      </c>
      <c r="C1143" t="s">
        <v>14</v>
      </c>
      <c r="D1143" s="5">
        <v>43862</v>
      </c>
      <c r="E1143">
        <v>258.678</v>
      </c>
      <c r="F1143">
        <v>2.2999999999999998</v>
      </c>
    </row>
    <row r="1144" spans="1:6" hidden="1">
      <c r="A1144" t="s">
        <v>12</v>
      </c>
      <c r="B1144">
        <v>2020</v>
      </c>
      <c r="C1144" t="s">
        <v>15</v>
      </c>
      <c r="D1144" s="5">
        <v>43891</v>
      </c>
      <c r="E1144">
        <v>258.11500000000001</v>
      </c>
      <c r="F1144">
        <v>1.5</v>
      </c>
    </row>
    <row r="1145" spans="1:6" hidden="1">
      <c r="A1145" t="s">
        <v>12</v>
      </c>
      <c r="B1145">
        <v>2020</v>
      </c>
      <c r="C1145" t="s">
        <v>16</v>
      </c>
      <c r="D1145" s="5">
        <v>43922</v>
      </c>
      <c r="E1145">
        <v>256.38900000000001</v>
      </c>
      <c r="F1145">
        <v>0.3</v>
      </c>
    </row>
    <row r="1146" spans="1:6" hidden="1">
      <c r="A1146" t="s">
        <v>12</v>
      </c>
      <c r="B1146">
        <v>2020</v>
      </c>
      <c r="C1146" t="s">
        <v>17</v>
      </c>
      <c r="D1146" s="5">
        <v>43952</v>
      </c>
      <c r="E1146">
        <v>256.39400000000001</v>
      </c>
      <c r="F1146">
        <v>0.1</v>
      </c>
    </row>
    <row r="1147" spans="1:6" hidden="1">
      <c r="A1147" t="s">
        <v>12</v>
      </c>
      <c r="B1147">
        <v>2020</v>
      </c>
      <c r="C1147" t="s">
        <v>18</v>
      </c>
      <c r="D1147" s="5">
        <v>43983</v>
      </c>
      <c r="E1147">
        <v>257.79700000000003</v>
      </c>
      <c r="F1147">
        <v>0.6</v>
      </c>
    </row>
    <row r="1148" spans="1:6" hidden="1">
      <c r="A1148" t="s">
        <v>12</v>
      </c>
      <c r="B1148">
        <v>2020</v>
      </c>
      <c r="C1148" t="s">
        <v>19</v>
      </c>
      <c r="D1148" s="5">
        <v>44013</v>
      </c>
      <c r="E1148">
        <v>259.101</v>
      </c>
      <c r="F1148">
        <v>1</v>
      </c>
    </row>
    <row r="1149" spans="1:6" hidden="1">
      <c r="A1149" t="s">
        <v>12</v>
      </c>
      <c r="B1149">
        <v>2020</v>
      </c>
      <c r="C1149" t="s">
        <v>20</v>
      </c>
      <c r="D1149" s="5">
        <v>44044</v>
      </c>
      <c r="E1149">
        <v>259.91800000000001</v>
      </c>
      <c r="F1149">
        <v>1.3</v>
      </c>
    </row>
    <row r="1150" spans="1:6" hidden="1">
      <c r="A1150" t="s">
        <v>12</v>
      </c>
      <c r="B1150">
        <v>2020</v>
      </c>
      <c r="C1150" t="s">
        <v>21</v>
      </c>
      <c r="D1150" s="5">
        <v>44075</v>
      </c>
      <c r="E1150">
        <v>260.27999999999997</v>
      </c>
      <c r="F1150">
        <v>1.4</v>
      </c>
    </row>
    <row r="1151" spans="1:6" hidden="1">
      <c r="A1151" t="s">
        <v>12</v>
      </c>
      <c r="B1151">
        <v>2020</v>
      </c>
      <c r="C1151" t="s">
        <v>22</v>
      </c>
      <c r="D1151" s="5">
        <v>44105</v>
      </c>
      <c r="E1151">
        <v>260.38799999999998</v>
      </c>
      <c r="F1151">
        <v>1.2</v>
      </c>
    </row>
    <row r="1152" spans="1:6" hidden="1">
      <c r="A1152" t="s">
        <v>12</v>
      </c>
      <c r="B1152">
        <v>2020</v>
      </c>
      <c r="C1152" t="s">
        <v>23</v>
      </c>
      <c r="D1152" s="5">
        <v>44136</v>
      </c>
      <c r="E1152">
        <v>260.22899999999998</v>
      </c>
      <c r="F1152">
        <v>1.2</v>
      </c>
    </row>
    <row r="1153" spans="1:6" hidden="1">
      <c r="A1153" t="s">
        <v>12</v>
      </c>
      <c r="B1153">
        <v>2020</v>
      </c>
      <c r="C1153" t="s">
        <v>24</v>
      </c>
      <c r="D1153" s="5">
        <v>44166</v>
      </c>
      <c r="E1153">
        <v>260.47399999999999</v>
      </c>
      <c r="F1153">
        <v>1.4</v>
      </c>
    </row>
    <row r="1154" spans="1:6">
      <c r="A1154" t="s">
        <v>12</v>
      </c>
      <c r="B1154">
        <v>2021</v>
      </c>
      <c r="C1154" t="s">
        <v>13</v>
      </c>
      <c r="D1154" s="5">
        <v>44197</v>
      </c>
      <c r="E1154">
        <v>261.58199999999999</v>
      </c>
    </row>
    <row r="1155" spans="1:6" hidden="1">
      <c r="A1155" t="s">
        <v>12</v>
      </c>
      <c r="B1155">
        <v>2021</v>
      </c>
      <c r="C1155" t="s">
        <v>14</v>
      </c>
      <c r="D1155" s="5">
        <v>44228</v>
      </c>
      <c r="E1155">
        <v>263.01400000000001</v>
      </c>
    </row>
    <row r="1156" spans="1:6" hidden="1">
      <c r="A1156" t="s">
        <v>12</v>
      </c>
      <c r="B1156">
        <v>2021</v>
      </c>
      <c r="C1156" t="s">
        <v>15</v>
      </c>
      <c r="D1156" s="5">
        <v>44256</v>
      </c>
      <c r="E1156">
        <v>264.87700000000001</v>
      </c>
    </row>
    <row r="1157" spans="1:6" hidden="1">
      <c r="A1157" t="s">
        <v>12</v>
      </c>
      <c r="B1157">
        <v>2021</v>
      </c>
      <c r="C1157" t="s">
        <v>16</v>
      </c>
      <c r="D1157" s="5">
        <v>44287</v>
      </c>
      <c r="E1157">
        <v>267.05399999999997</v>
      </c>
    </row>
    <row r="1158" spans="1:6" hidden="1">
      <c r="A1158" t="s">
        <v>12</v>
      </c>
      <c r="B1158">
        <v>2021</v>
      </c>
      <c r="C1158" t="s">
        <v>17</v>
      </c>
      <c r="D1158" s="5">
        <v>44317</v>
      </c>
      <c r="E1158">
        <v>269.19499999999999</v>
      </c>
    </row>
    <row r="1159" spans="1:6" hidden="1">
      <c r="A1159" t="s">
        <v>12</v>
      </c>
      <c r="B1159">
        <v>2021</v>
      </c>
      <c r="C1159" t="s">
        <v>18</v>
      </c>
      <c r="D1159" s="5">
        <v>44348</v>
      </c>
      <c r="E1159">
        <v>271.69600000000003</v>
      </c>
    </row>
    <row r="1160" spans="1:6" hidden="1">
      <c r="A1160" t="s">
        <v>12</v>
      </c>
      <c r="B1160">
        <v>2021</v>
      </c>
      <c r="C1160" t="s">
        <v>19</v>
      </c>
      <c r="D1160" s="5">
        <v>44378</v>
      </c>
      <c r="E1160">
        <v>273.00299999999999</v>
      </c>
    </row>
    <row r="1161" spans="1:6" hidden="1">
      <c r="A1161" t="s">
        <v>12</v>
      </c>
      <c r="B1161">
        <v>2021</v>
      </c>
      <c r="C1161" t="s">
        <v>20</v>
      </c>
      <c r="D1161" s="5">
        <v>44409</v>
      </c>
      <c r="E1161">
        <v>273.56700000000001</v>
      </c>
    </row>
    <row r="1162" spans="1:6" hidden="1">
      <c r="A1162" t="s">
        <v>12</v>
      </c>
      <c r="B1162">
        <v>2021</v>
      </c>
      <c r="C1162" t="s">
        <v>21</v>
      </c>
      <c r="D1162" s="5">
        <v>44440</v>
      </c>
      <c r="E1162">
        <v>274.31</v>
      </c>
    </row>
    <row r="1163" spans="1:6" hidden="1">
      <c r="A1163" t="s">
        <v>12</v>
      </c>
      <c r="B1163">
        <v>2021</v>
      </c>
      <c r="C1163" t="s">
        <v>22</v>
      </c>
      <c r="D1163" s="5">
        <v>44470</v>
      </c>
      <c r="E1163">
        <v>276.589</v>
      </c>
    </row>
    <row r="1164" spans="1:6" hidden="1">
      <c r="A1164" t="s">
        <v>12</v>
      </c>
      <c r="B1164">
        <v>2021</v>
      </c>
      <c r="C1164" t="s">
        <v>23</v>
      </c>
      <c r="D1164" s="5">
        <v>44501</v>
      </c>
      <c r="E1164">
        <v>277.94799999999998</v>
      </c>
    </row>
    <row r="1165" spans="1:6" hidden="1">
      <c r="A1165" t="s">
        <v>12</v>
      </c>
      <c r="B1165">
        <v>2021</v>
      </c>
      <c r="C1165" t="s">
        <v>24</v>
      </c>
      <c r="D1165" s="5">
        <v>44531</v>
      </c>
      <c r="E1165">
        <v>278.80200000000002</v>
      </c>
    </row>
    <row r="1166" spans="1:6">
      <c r="A1166" t="s">
        <v>12</v>
      </c>
      <c r="B1166">
        <v>2022</v>
      </c>
      <c r="C1166" t="s">
        <v>13</v>
      </c>
      <c r="D1166" s="5">
        <v>44562</v>
      </c>
      <c r="E1166">
        <v>281.14800000000002</v>
      </c>
      <c r="F1166">
        <v>7.5</v>
      </c>
    </row>
    <row r="1167" spans="1:6" hidden="1">
      <c r="A1167" t="s">
        <v>12</v>
      </c>
      <c r="B1167">
        <v>2022</v>
      </c>
      <c r="C1167" t="s">
        <v>14</v>
      </c>
      <c r="D1167" s="5">
        <v>44593</v>
      </c>
      <c r="E1167">
        <v>283.71600000000001</v>
      </c>
      <c r="F1167">
        <v>7.9</v>
      </c>
    </row>
    <row r="1168" spans="1:6" hidden="1">
      <c r="A1168" t="s">
        <v>12</v>
      </c>
      <c r="B1168">
        <v>2022</v>
      </c>
      <c r="C1168" t="s">
        <v>15</v>
      </c>
      <c r="D1168" s="5">
        <v>44621</v>
      </c>
      <c r="E1168">
        <v>287.50400000000002</v>
      </c>
      <c r="F1168">
        <v>8.5</v>
      </c>
    </row>
    <row r="1169" spans="1:6" hidden="1">
      <c r="A1169" t="s">
        <v>12</v>
      </c>
      <c r="B1169">
        <v>2022</v>
      </c>
      <c r="C1169" t="s">
        <v>16</v>
      </c>
      <c r="D1169" s="5">
        <v>44652</v>
      </c>
      <c r="E1169">
        <v>289.10899999999998</v>
      </c>
      <c r="F1169">
        <v>8.3000000000000007</v>
      </c>
    </row>
    <row r="1170" spans="1:6" hidden="1">
      <c r="A1170" t="s">
        <v>12</v>
      </c>
      <c r="B1170">
        <v>2022</v>
      </c>
      <c r="C1170" t="s">
        <v>17</v>
      </c>
      <c r="D1170" s="5">
        <v>44682</v>
      </c>
      <c r="E1170">
        <v>292.29599999999999</v>
      </c>
      <c r="F1170">
        <v>8.6</v>
      </c>
    </row>
    <row r="1171" spans="1:6" hidden="1">
      <c r="A1171" t="s">
        <v>12</v>
      </c>
      <c r="B1171">
        <v>2022</v>
      </c>
      <c r="C1171" t="s">
        <v>18</v>
      </c>
      <c r="D1171" s="5">
        <v>44713</v>
      </c>
      <c r="E1171">
        <v>296.31099999999998</v>
      </c>
      <c r="F1171">
        <v>9.1</v>
      </c>
    </row>
    <row r="1172" spans="1:6" hidden="1">
      <c r="A1172" t="s">
        <v>12</v>
      </c>
      <c r="B1172">
        <v>2022</v>
      </c>
      <c r="C1172" t="s">
        <v>19</v>
      </c>
      <c r="D1172" s="5">
        <v>44743</v>
      </c>
      <c r="E1172">
        <v>296.27600000000001</v>
      </c>
      <c r="F1172">
        <v>8.5</v>
      </c>
    </row>
    <row r="1173" spans="1:6" hidden="1">
      <c r="A1173" t="s">
        <v>12</v>
      </c>
      <c r="B1173">
        <v>2022</v>
      </c>
      <c r="C1173" t="s">
        <v>20</v>
      </c>
      <c r="D1173" s="5">
        <v>44774</v>
      </c>
      <c r="E1173">
        <v>296.17099999999999</v>
      </c>
      <c r="F1173">
        <v>8.3000000000000007</v>
      </c>
    </row>
    <row r="1174" spans="1:6" hidden="1">
      <c r="A1174" t="s">
        <v>12</v>
      </c>
      <c r="B1174">
        <v>2022</v>
      </c>
      <c r="C1174" t="s">
        <v>21</v>
      </c>
      <c r="D1174" s="5">
        <v>44805</v>
      </c>
      <c r="E1174">
        <v>296.80799999999999</v>
      </c>
      <c r="F1174">
        <v>8.1999999999999993</v>
      </c>
    </row>
    <row r="1175" spans="1:6" hidden="1">
      <c r="A1175" t="s">
        <v>12</v>
      </c>
      <c r="B1175">
        <v>2022</v>
      </c>
      <c r="C1175" t="s">
        <v>22</v>
      </c>
      <c r="D1175" s="5">
        <v>44835</v>
      </c>
      <c r="E1175">
        <v>298.012</v>
      </c>
      <c r="F1175">
        <v>7.7</v>
      </c>
    </row>
    <row r="1176" spans="1:6" hidden="1">
      <c r="A1176" t="s">
        <v>12</v>
      </c>
      <c r="B1176">
        <v>2022</v>
      </c>
      <c r="C1176" t="s">
        <v>23</v>
      </c>
      <c r="D1176" s="5">
        <v>44866</v>
      </c>
      <c r="E1176">
        <v>297.71100000000001</v>
      </c>
      <c r="F1176">
        <v>7.1</v>
      </c>
    </row>
    <row r="1177" spans="1:6" hidden="1">
      <c r="A1177" t="s">
        <v>12</v>
      </c>
      <c r="B1177">
        <v>2022</v>
      </c>
      <c r="C1177" t="s">
        <v>24</v>
      </c>
      <c r="D1177" s="5">
        <v>44896</v>
      </c>
      <c r="E1177">
        <v>296.79700000000003</v>
      </c>
      <c r="F1177">
        <v>6.5</v>
      </c>
    </row>
    <row r="1178" spans="1:6">
      <c r="A1178" t="s">
        <v>12</v>
      </c>
      <c r="B1178">
        <v>2023</v>
      </c>
      <c r="C1178" t="s">
        <v>13</v>
      </c>
      <c r="D1178" s="5">
        <v>44927</v>
      </c>
      <c r="E1178">
        <v>299.17</v>
      </c>
      <c r="F1178">
        <v>6.4</v>
      </c>
    </row>
    <row r="1179" spans="1:6" hidden="1">
      <c r="A1179" t="s">
        <v>12</v>
      </c>
      <c r="B1179">
        <v>2023</v>
      </c>
      <c r="C1179" t="s">
        <v>14</v>
      </c>
      <c r="D1179" s="5">
        <v>44958</v>
      </c>
      <c r="E1179">
        <v>300.83999999999997</v>
      </c>
      <c r="F1179">
        <v>6</v>
      </c>
    </row>
    <row r="1180" spans="1:6" hidden="1">
      <c r="A1180" t="s">
        <v>12</v>
      </c>
      <c r="B1180">
        <v>2023</v>
      </c>
      <c r="C1180" t="s">
        <v>15</v>
      </c>
      <c r="D1180" s="5">
        <v>44986</v>
      </c>
      <c r="E1180">
        <v>301.83600000000001</v>
      </c>
      <c r="F1180">
        <v>5</v>
      </c>
    </row>
    <row r="1181" spans="1:6" hidden="1">
      <c r="A1181" t="s">
        <v>12</v>
      </c>
      <c r="B1181">
        <v>2023</v>
      </c>
      <c r="C1181" t="s">
        <v>16</v>
      </c>
      <c r="D1181" s="5">
        <v>45017</v>
      </c>
      <c r="E1181">
        <v>303.363</v>
      </c>
      <c r="F1181">
        <v>4.9000000000000004</v>
      </c>
    </row>
    <row r="1182" spans="1:6" hidden="1">
      <c r="A1182" t="s">
        <v>12</v>
      </c>
      <c r="B1182">
        <v>2023</v>
      </c>
      <c r="C1182" t="s">
        <v>17</v>
      </c>
      <c r="D1182" s="5">
        <v>45047</v>
      </c>
      <c r="E1182">
        <v>304.12700000000001</v>
      </c>
      <c r="F1182">
        <v>4</v>
      </c>
    </row>
    <row r="1183" spans="1:6" hidden="1">
      <c r="A1183" t="s">
        <v>12</v>
      </c>
      <c r="B1183">
        <v>2023</v>
      </c>
      <c r="C1183" t="s">
        <v>18</v>
      </c>
      <c r="D1183" s="5">
        <v>45078</v>
      </c>
      <c r="E1183">
        <v>305.10899999999998</v>
      </c>
      <c r="F1183">
        <v>3</v>
      </c>
    </row>
    <row r="1184" spans="1:6" hidden="1">
      <c r="A1184" t="s">
        <v>12</v>
      </c>
      <c r="B1184">
        <v>2023</v>
      </c>
      <c r="C1184" t="s">
        <v>19</v>
      </c>
      <c r="D1184" s="5">
        <v>45108</v>
      </c>
      <c r="E1184">
        <v>305.69099999999997</v>
      </c>
      <c r="F1184">
        <v>3.2</v>
      </c>
    </row>
    <row r="1185" spans="1:6" hidden="1">
      <c r="A1185" t="s">
        <v>12</v>
      </c>
      <c r="B1185">
        <v>2023</v>
      </c>
      <c r="C1185" t="s">
        <v>20</v>
      </c>
      <c r="D1185" s="5">
        <v>45139</v>
      </c>
      <c r="E1185">
        <v>307.02600000000001</v>
      </c>
      <c r="F1185">
        <v>3.7</v>
      </c>
    </row>
    <row r="1186" spans="1:6" hidden="1">
      <c r="A1186" t="s">
        <v>12</v>
      </c>
      <c r="B1186">
        <v>2023</v>
      </c>
      <c r="C1186" t="s">
        <v>21</v>
      </c>
      <c r="D1186" s="5">
        <v>45170</v>
      </c>
      <c r="E1186">
        <v>307.78899999999999</v>
      </c>
      <c r="F1186">
        <v>3.7</v>
      </c>
    </row>
    <row r="1187" spans="1:6" hidden="1">
      <c r="A1187" t="s">
        <v>12</v>
      </c>
      <c r="B1187">
        <v>2023</v>
      </c>
      <c r="C1187" t="s">
        <v>22</v>
      </c>
      <c r="D1187" s="5">
        <v>45200</v>
      </c>
      <c r="E1187">
        <v>307.67099999999999</v>
      </c>
      <c r="F1187">
        <v>3.2</v>
      </c>
    </row>
    <row r="1188" spans="1:6" hidden="1">
      <c r="A1188" t="s">
        <v>12</v>
      </c>
      <c r="B1188">
        <v>2023</v>
      </c>
      <c r="C1188" t="s">
        <v>23</v>
      </c>
      <c r="D1188" s="5">
        <v>45231</v>
      </c>
      <c r="E1188">
        <v>307.05099999999999</v>
      </c>
      <c r="F1188">
        <v>3.1</v>
      </c>
    </row>
    <row r="1189" spans="1:6" hidden="1">
      <c r="A1189" t="s">
        <v>12</v>
      </c>
      <c r="B1189">
        <v>2023</v>
      </c>
      <c r="C1189" t="s">
        <v>24</v>
      </c>
      <c r="D1189" s="5">
        <v>45261</v>
      </c>
      <c r="E1189">
        <v>306.74599999999998</v>
      </c>
      <c r="F1189">
        <v>3.4</v>
      </c>
    </row>
    <row r="1190" spans="1:6">
      <c r="A1190" t="s">
        <v>12</v>
      </c>
      <c r="B1190">
        <v>2024</v>
      </c>
      <c r="C1190" t="s">
        <v>13</v>
      </c>
      <c r="D1190" s="5">
        <v>45292</v>
      </c>
      <c r="E1190">
        <v>308.41699999999997</v>
      </c>
      <c r="F1190">
        <v>3.1</v>
      </c>
    </row>
    <row r="1191" spans="1:6" hidden="1">
      <c r="A1191" t="s">
        <v>12</v>
      </c>
      <c r="B1191">
        <v>2024</v>
      </c>
      <c r="C1191" t="s">
        <v>14</v>
      </c>
      <c r="D1191" s="5">
        <v>45323</v>
      </c>
      <c r="E1191">
        <v>310.32600000000002</v>
      </c>
      <c r="F1191">
        <v>3.2</v>
      </c>
    </row>
    <row r="1192" spans="1:6" hidden="1">
      <c r="A1192" t="s">
        <v>12</v>
      </c>
      <c r="B1192">
        <v>2024</v>
      </c>
      <c r="C1192" t="s">
        <v>15</v>
      </c>
      <c r="D1192" s="5">
        <v>45352</v>
      </c>
      <c r="E1192">
        <v>312.33199999999999</v>
      </c>
      <c r="F1192">
        <v>3.5</v>
      </c>
    </row>
    <row r="1193" spans="1:6" hidden="1">
      <c r="A1193" t="s">
        <v>12</v>
      </c>
      <c r="B1193">
        <v>2024</v>
      </c>
      <c r="C1193" t="s">
        <v>16</v>
      </c>
      <c r="D1193" s="5">
        <v>45383</v>
      </c>
      <c r="E1193">
        <v>313.548</v>
      </c>
      <c r="F1193">
        <v>3.4</v>
      </c>
    </row>
    <row r="1194" spans="1:6" hidden="1">
      <c r="A1194" t="s">
        <v>12</v>
      </c>
      <c r="B1194">
        <v>2024</v>
      </c>
      <c r="C1194" t="s">
        <v>17</v>
      </c>
      <c r="D1194" s="5">
        <v>45413</v>
      </c>
      <c r="E1194">
        <v>314.06900000000002</v>
      </c>
      <c r="F1194">
        <v>3.3</v>
      </c>
    </row>
    <row r="1195" spans="1:6" hidden="1">
      <c r="A1195" t="s">
        <v>12</v>
      </c>
      <c r="B1195">
        <v>2024</v>
      </c>
      <c r="C1195" t="s">
        <v>18</v>
      </c>
      <c r="D1195" s="5">
        <v>45444</v>
      </c>
      <c r="E1195">
        <v>314.17500000000001</v>
      </c>
      <c r="F1195">
        <v>3</v>
      </c>
    </row>
    <row r="1196" spans="1:6" hidden="1">
      <c r="A1196" t="s">
        <v>12</v>
      </c>
      <c r="B1196">
        <v>2024</v>
      </c>
      <c r="C1196" t="s">
        <v>19</v>
      </c>
      <c r="D1196" s="5">
        <v>45474</v>
      </c>
      <c r="E1196">
        <v>314.54000000000002</v>
      </c>
      <c r="F1196">
        <v>2.9</v>
      </c>
    </row>
    <row r="1197" spans="1:6" hidden="1">
      <c r="A1197" t="s">
        <v>12</v>
      </c>
      <c r="B1197">
        <v>2024</v>
      </c>
      <c r="C1197" t="s">
        <v>20</v>
      </c>
      <c r="D1197" s="5">
        <v>45505</v>
      </c>
      <c r="E1197">
        <v>314.79599999999999</v>
      </c>
      <c r="F1197">
        <v>2.5</v>
      </c>
    </row>
    <row r="1198" spans="1:6" hidden="1">
      <c r="A1198" t="s">
        <v>12</v>
      </c>
      <c r="B1198">
        <v>2024</v>
      </c>
      <c r="C1198" t="s">
        <v>21</v>
      </c>
      <c r="D1198" s="5">
        <v>45536</v>
      </c>
      <c r="E1198">
        <v>315.30099999999999</v>
      </c>
      <c r="F1198">
        <v>2.4</v>
      </c>
    </row>
    <row r="1199" spans="1:6" hidden="1">
      <c r="A1199" t="s">
        <v>12</v>
      </c>
      <c r="B1199">
        <v>2024</v>
      </c>
      <c r="C1199" t="s">
        <v>22</v>
      </c>
      <c r="D1199" s="5">
        <v>45566</v>
      </c>
      <c r="E1199">
        <v>315.66399999999999</v>
      </c>
      <c r="F1199">
        <v>2.6</v>
      </c>
    </row>
    <row r="1200" spans="1:6" hidden="1">
      <c r="A1200" t="s">
        <v>12</v>
      </c>
      <c r="B1200">
        <v>2024</v>
      </c>
      <c r="C1200" t="s">
        <v>23</v>
      </c>
      <c r="D1200" s="5">
        <v>45597</v>
      </c>
      <c r="E1200">
        <v>315.49299999999999</v>
      </c>
      <c r="F1200">
        <v>2.7</v>
      </c>
    </row>
    <row r="1201" spans="1:6" hidden="1">
      <c r="A1201" t="s">
        <v>12</v>
      </c>
      <c r="B1201">
        <v>2024</v>
      </c>
      <c r="C1201" t="s">
        <v>24</v>
      </c>
      <c r="D1201" s="5">
        <v>45627</v>
      </c>
      <c r="E1201">
        <v>315.60500000000002</v>
      </c>
      <c r="F1201">
        <v>2.9</v>
      </c>
    </row>
    <row r="1202" spans="1:6">
      <c r="A1202" t="s">
        <v>12</v>
      </c>
      <c r="B1202">
        <v>2025</v>
      </c>
      <c r="C1202" t="s">
        <v>13</v>
      </c>
      <c r="D1202" s="5">
        <v>45658</v>
      </c>
      <c r="E1202">
        <v>317.67099999999999</v>
      </c>
      <c r="F1202">
        <v>3</v>
      </c>
    </row>
    <row r="1203" spans="1:6" hidden="1">
      <c r="A1203" t="s">
        <v>12</v>
      </c>
      <c r="B1203">
        <v>2025</v>
      </c>
      <c r="C1203" t="s">
        <v>14</v>
      </c>
      <c r="D1203" s="5">
        <v>45689</v>
      </c>
      <c r="E1203">
        <v>319.08199999999999</v>
      </c>
      <c r="F1203">
        <v>2.8</v>
      </c>
    </row>
    <row r="1204" spans="1:6" hidden="1">
      <c r="A1204" t="s">
        <v>12</v>
      </c>
      <c r="B1204">
        <v>2025</v>
      </c>
      <c r="C1204" t="s">
        <v>15</v>
      </c>
      <c r="D1204" s="5">
        <v>45717</v>
      </c>
      <c r="E1204">
        <v>319.79899999999998</v>
      </c>
      <c r="F1204">
        <v>2.4</v>
      </c>
    </row>
    <row r="1205" spans="1:6" hidden="1">
      <c r="A1205" t="s">
        <v>12</v>
      </c>
      <c r="B1205">
        <v>2025</v>
      </c>
      <c r="C1205" t="s">
        <v>16</v>
      </c>
      <c r="D1205" s="5">
        <v>45748</v>
      </c>
      <c r="E1205">
        <v>320.79500000000002</v>
      </c>
      <c r="F1205">
        <v>2.2999999999999998</v>
      </c>
    </row>
    <row r="1206" spans="1:6" hidden="1">
      <c r="A1206" t="s">
        <v>12</v>
      </c>
      <c r="B1206">
        <v>2025</v>
      </c>
      <c r="C1206" t="s">
        <v>17</v>
      </c>
      <c r="D1206" s="5">
        <v>45778</v>
      </c>
      <c r="E1206">
        <v>321.46499999999997</v>
      </c>
      <c r="F1206">
        <v>2.4</v>
      </c>
    </row>
    <row r="1207" spans="1:6" hidden="1">
      <c r="A1207" t="s">
        <v>12</v>
      </c>
      <c r="B1207">
        <v>2025</v>
      </c>
      <c r="C1207" t="s">
        <v>18</v>
      </c>
      <c r="D1207" s="5">
        <v>45809</v>
      </c>
      <c r="E1207">
        <v>322.56099999999998</v>
      </c>
      <c r="F1207">
        <v>2.7</v>
      </c>
    </row>
    <row r="1208" spans="1:6" hidden="1">
      <c r="A1208" t="s">
        <v>12</v>
      </c>
      <c r="B1208">
        <v>2025</v>
      </c>
      <c r="C1208" t="s">
        <v>19</v>
      </c>
      <c r="D1208" s="5">
        <v>45839</v>
      </c>
      <c r="E1208">
        <v>323.048</v>
      </c>
      <c r="F1208">
        <v>2.7</v>
      </c>
    </row>
    <row r="1209" spans="1:6" hidden="1">
      <c r="A1209" t="s">
        <v>12</v>
      </c>
      <c r="B1209">
        <v>2025</v>
      </c>
      <c r="C1209" t="s">
        <v>20</v>
      </c>
      <c r="D1209" s="5">
        <v>45870</v>
      </c>
      <c r="E1209">
        <v>323.976</v>
      </c>
      <c r="F1209">
        <v>2.9</v>
      </c>
    </row>
    <row r="1210" spans="1:6" hidden="1">
      <c r="A1210" t="s">
        <v>12</v>
      </c>
      <c r="B1210">
        <v>2025</v>
      </c>
      <c r="C1210" t="s">
        <v>21</v>
      </c>
      <c r="D1210" s="5">
        <v>45901</v>
      </c>
      <c r="E1210">
        <v>324.8</v>
      </c>
      <c r="F1210">
        <v>3</v>
      </c>
    </row>
    <row r="1212" spans="1:6" ht="60">
      <c r="A1212" s="112" t="s">
        <v>171</v>
      </c>
    </row>
    <row r="1213" spans="1:6">
      <c r="F1213">
        <f>SUM(F602:F1202)/51</f>
        <v>42.750980392156841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760FA-8BD9-4DC2-A088-553A1E35C5F2}">
  <dimension ref="C4:P123"/>
  <sheetViews>
    <sheetView topLeftCell="A96" workbookViewId="0">
      <selection activeCell="P124" sqref="P124"/>
    </sheetView>
  </sheetViews>
  <sheetFormatPr defaultRowHeight="15"/>
  <sheetData>
    <row r="4" spans="3:16">
      <c r="C4" t="s">
        <v>172</v>
      </c>
    </row>
    <row r="5" spans="3:16">
      <c r="C5" t="s">
        <v>173</v>
      </c>
    </row>
    <row r="7" spans="3:16">
      <c r="C7" t="s">
        <v>7</v>
      </c>
      <c r="D7" t="s">
        <v>174</v>
      </c>
      <c r="E7" t="s">
        <v>175</v>
      </c>
      <c r="F7" t="s">
        <v>176</v>
      </c>
      <c r="G7" t="s">
        <v>177</v>
      </c>
      <c r="H7" t="s">
        <v>178</v>
      </c>
      <c r="I7" t="s">
        <v>179</v>
      </c>
      <c r="J7" t="s">
        <v>180</v>
      </c>
      <c r="K7" t="s">
        <v>181</v>
      </c>
      <c r="L7" t="s">
        <v>182</v>
      </c>
      <c r="M7" t="s">
        <v>183</v>
      </c>
      <c r="N7" t="s">
        <v>184</v>
      </c>
      <c r="O7" t="s">
        <v>185</v>
      </c>
      <c r="P7" t="s">
        <v>186</v>
      </c>
    </row>
    <row r="8" spans="3:16">
      <c r="C8">
        <v>1914</v>
      </c>
      <c r="D8">
        <v>2</v>
      </c>
      <c r="E8">
        <v>1</v>
      </c>
      <c r="F8">
        <v>1</v>
      </c>
      <c r="G8">
        <v>0</v>
      </c>
      <c r="H8">
        <v>2.1</v>
      </c>
      <c r="I8">
        <v>1</v>
      </c>
      <c r="J8">
        <v>1</v>
      </c>
      <c r="K8">
        <v>3</v>
      </c>
      <c r="L8">
        <v>2</v>
      </c>
      <c r="M8">
        <v>1</v>
      </c>
      <c r="N8">
        <v>1</v>
      </c>
      <c r="O8">
        <v>1</v>
      </c>
      <c r="P8">
        <v>1</v>
      </c>
    </row>
    <row r="9" spans="3:16">
      <c r="C9">
        <v>1915</v>
      </c>
      <c r="D9">
        <v>1</v>
      </c>
      <c r="E9">
        <v>1</v>
      </c>
      <c r="F9">
        <v>0</v>
      </c>
      <c r="G9">
        <v>2</v>
      </c>
      <c r="H9">
        <v>2</v>
      </c>
      <c r="I9">
        <v>2</v>
      </c>
      <c r="J9">
        <v>1</v>
      </c>
      <c r="K9">
        <v>-1</v>
      </c>
      <c r="L9">
        <v>-1</v>
      </c>
      <c r="M9">
        <v>1</v>
      </c>
      <c r="N9">
        <v>1</v>
      </c>
      <c r="O9">
        <v>2</v>
      </c>
      <c r="P9">
        <v>1</v>
      </c>
    </row>
    <row r="10" spans="3:16">
      <c r="C10">
        <v>1916</v>
      </c>
      <c r="D10">
        <v>3</v>
      </c>
      <c r="E10">
        <v>4</v>
      </c>
      <c r="F10">
        <v>6.1</v>
      </c>
      <c r="G10">
        <v>6</v>
      </c>
      <c r="H10">
        <v>5.9</v>
      </c>
      <c r="I10">
        <v>6.9</v>
      </c>
      <c r="J10">
        <v>6.9</v>
      </c>
      <c r="K10">
        <v>7.9</v>
      </c>
      <c r="L10">
        <v>9.9</v>
      </c>
      <c r="M10">
        <v>10.8</v>
      </c>
      <c r="N10">
        <v>11.7</v>
      </c>
      <c r="O10">
        <v>12.6</v>
      </c>
      <c r="P10">
        <v>7.9</v>
      </c>
    </row>
    <row r="11" spans="3:16">
      <c r="C11">
        <v>1917</v>
      </c>
      <c r="D11">
        <v>12.5</v>
      </c>
      <c r="E11">
        <v>15.4</v>
      </c>
      <c r="F11">
        <v>14.3</v>
      </c>
      <c r="G11">
        <v>18.899999999999999</v>
      </c>
      <c r="H11">
        <v>19.600000000000001</v>
      </c>
      <c r="I11">
        <v>20.399999999999999</v>
      </c>
      <c r="J11">
        <v>18.5</v>
      </c>
      <c r="K11">
        <v>19.3</v>
      </c>
      <c r="L11">
        <v>19.8</v>
      </c>
      <c r="M11">
        <v>19.5</v>
      </c>
      <c r="N11">
        <v>17.399999999999999</v>
      </c>
      <c r="O11">
        <v>18.100000000000001</v>
      </c>
      <c r="P11">
        <v>17.399999999999999</v>
      </c>
    </row>
    <row r="12" spans="3:16">
      <c r="C12">
        <v>1918</v>
      </c>
      <c r="D12">
        <v>19.7</v>
      </c>
      <c r="E12">
        <v>17.5</v>
      </c>
      <c r="F12">
        <v>16.7</v>
      </c>
      <c r="G12">
        <v>12.7</v>
      </c>
      <c r="H12">
        <v>13.3</v>
      </c>
      <c r="I12">
        <v>13.1</v>
      </c>
      <c r="J12">
        <v>18</v>
      </c>
      <c r="K12">
        <v>18.5</v>
      </c>
      <c r="L12">
        <v>18</v>
      </c>
      <c r="M12">
        <v>18.5</v>
      </c>
      <c r="N12">
        <v>20.7</v>
      </c>
      <c r="O12">
        <v>20.399999999999999</v>
      </c>
      <c r="P12">
        <v>18</v>
      </c>
    </row>
    <row r="13" spans="3:16">
      <c r="C13">
        <v>1919</v>
      </c>
      <c r="D13">
        <v>17.899999999999999</v>
      </c>
      <c r="E13">
        <v>14.9</v>
      </c>
      <c r="F13">
        <v>17.100000000000001</v>
      </c>
      <c r="G13">
        <v>17.600000000000001</v>
      </c>
      <c r="H13">
        <v>16.600000000000001</v>
      </c>
      <c r="I13">
        <v>15</v>
      </c>
      <c r="J13">
        <v>15.2</v>
      </c>
      <c r="K13">
        <v>14.9</v>
      </c>
      <c r="L13">
        <v>13.4</v>
      </c>
      <c r="M13">
        <v>13.1</v>
      </c>
      <c r="N13">
        <v>13.5</v>
      </c>
      <c r="O13">
        <v>14.5</v>
      </c>
      <c r="P13">
        <v>14.6</v>
      </c>
    </row>
    <row r="14" spans="3:16">
      <c r="C14">
        <v>1920</v>
      </c>
      <c r="D14">
        <v>17</v>
      </c>
      <c r="E14">
        <v>20.399999999999999</v>
      </c>
      <c r="F14">
        <v>20.100000000000001</v>
      </c>
      <c r="G14">
        <v>21.6</v>
      </c>
      <c r="H14">
        <v>21.9</v>
      </c>
      <c r="I14">
        <v>23.7</v>
      </c>
      <c r="J14">
        <v>19.5</v>
      </c>
      <c r="K14">
        <v>14.7</v>
      </c>
      <c r="L14">
        <v>12.4</v>
      </c>
      <c r="M14">
        <v>9.9</v>
      </c>
      <c r="N14">
        <v>7</v>
      </c>
      <c r="O14">
        <v>2.6</v>
      </c>
      <c r="P14">
        <v>15.6</v>
      </c>
    </row>
    <row r="15" spans="3:16">
      <c r="C15">
        <v>1921</v>
      </c>
      <c r="D15">
        <v>-1.6</v>
      </c>
      <c r="E15">
        <v>-5.6</v>
      </c>
      <c r="F15">
        <v>-7.1</v>
      </c>
      <c r="G15">
        <v>-10.8</v>
      </c>
      <c r="H15">
        <v>-14.1</v>
      </c>
      <c r="I15">
        <v>-15.8</v>
      </c>
      <c r="J15">
        <v>-14.9</v>
      </c>
      <c r="K15">
        <v>-12.8</v>
      </c>
      <c r="L15">
        <v>-12.5</v>
      </c>
      <c r="M15">
        <v>-12.1</v>
      </c>
      <c r="N15">
        <v>-12.1</v>
      </c>
      <c r="O15">
        <v>-10.8</v>
      </c>
      <c r="P15">
        <v>-10.5</v>
      </c>
    </row>
    <row r="16" spans="3:16">
      <c r="C16">
        <v>1922</v>
      </c>
      <c r="D16">
        <v>-11.1</v>
      </c>
      <c r="E16">
        <v>-8.1999999999999993</v>
      </c>
      <c r="F16">
        <v>-8.6999999999999993</v>
      </c>
      <c r="G16">
        <v>-7.7</v>
      </c>
      <c r="H16">
        <v>-5.6</v>
      </c>
      <c r="I16">
        <v>-5.0999999999999996</v>
      </c>
      <c r="J16">
        <v>-5.0999999999999996</v>
      </c>
      <c r="K16">
        <v>-6.2</v>
      </c>
      <c r="L16">
        <v>-5.0999999999999996</v>
      </c>
      <c r="M16">
        <v>-4.5999999999999996</v>
      </c>
      <c r="N16">
        <v>-3.4</v>
      </c>
      <c r="O16">
        <v>-2.2999999999999998</v>
      </c>
      <c r="P16">
        <v>-6.1</v>
      </c>
    </row>
    <row r="17" spans="3:16">
      <c r="C17">
        <v>1923</v>
      </c>
      <c r="D17">
        <v>-0.6</v>
      </c>
      <c r="E17">
        <v>-0.6</v>
      </c>
      <c r="F17">
        <v>0.6</v>
      </c>
      <c r="G17">
        <v>1.2</v>
      </c>
      <c r="H17">
        <v>1.2</v>
      </c>
      <c r="I17">
        <v>1.8</v>
      </c>
      <c r="J17">
        <v>2.4</v>
      </c>
      <c r="K17">
        <v>3</v>
      </c>
      <c r="L17">
        <v>3.6</v>
      </c>
      <c r="M17">
        <v>3.6</v>
      </c>
      <c r="N17">
        <v>3</v>
      </c>
      <c r="O17">
        <v>2.4</v>
      </c>
      <c r="P17">
        <v>1.8</v>
      </c>
    </row>
    <row r="18" spans="3:16">
      <c r="C18">
        <v>1924</v>
      </c>
      <c r="D18">
        <v>3</v>
      </c>
      <c r="E18">
        <v>2.4</v>
      </c>
      <c r="F18">
        <v>1.8</v>
      </c>
      <c r="G18">
        <v>0.6</v>
      </c>
      <c r="H18">
        <v>0.6</v>
      </c>
      <c r="I18">
        <v>0</v>
      </c>
      <c r="J18">
        <v>-0.6</v>
      </c>
      <c r="K18">
        <v>-0.6</v>
      </c>
      <c r="L18">
        <v>-0.6</v>
      </c>
      <c r="M18">
        <v>-0.6</v>
      </c>
      <c r="N18">
        <v>-0.6</v>
      </c>
      <c r="O18">
        <v>0</v>
      </c>
      <c r="P18">
        <v>0</v>
      </c>
    </row>
    <row r="19" spans="3:16">
      <c r="C19">
        <v>1925</v>
      </c>
      <c r="D19">
        <v>0</v>
      </c>
      <c r="E19">
        <v>0</v>
      </c>
      <c r="F19">
        <v>1.2</v>
      </c>
      <c r="G19">
        <v>1.2</v>
      </c>
      <c r="H19">
        <v>1.8</v>
      </c>
      <c r="I19">
        <v>2.9</v>
      </c>
      <c r="J19">
        <v>3.5</v>
      </c>
      <c r="K19">
        <v>4.0999999999999996</v>
      </c>
      <c r="L19">
        <v>3.5</v>
      </c>
      <c r="M19">
        <v>2.9</v>
      </c>
      <c r="N19">
        <v>4.7</v>
      </c>
      <c r="O19">
        <v>3.5</v>
      </c>
      <c r="P19">
        <v>2.2999999999999998</v>
      </c>
    </row>
    <row r="20" spans="3:16">
      <c r="C20">
        <v>1926</v>
      </c>
      <c r="D20">
        <v>3.5</v>
      </c>
      <c r="E20">
        <v>4.0999999999999996</v>
      </c>
      <c r="F20">
        <v>2.9</v>
      </c>
      <c r="G20">
        <v>4.0999999999999996</v>
      </c>
      <c r="H20">
        <v>2.9</v>
      </c>
      <c r="I20">
        <v>1.1000000000000001</v>
      </c>
      <c r="J20">
        <v>-1.1000000000000001</v>
      </c>
      <c r="K20">
        <v>-1.7</v>
      </c>
      <c r="L20">
        <v>-1.1000000000000001</v>
      </c>
      <c r="M20">
        <v>-0.6</v>
      </c>
      <c r="N20">
        <v>-1.7</v>
      </c>
      <c r="O20">
        <v>-1.1000000000000001</v>
      </c>
      <c r="P20">
        <v>1.1000000000000001</v>
      </c>
    </row>
    <row r="21" spans="3:16">
      <c r="C21">
        <v>1927</v>
      </c>
      <c r="D21">
        <v>-2.2000000000000002</v>
      </c>
      <c r="E21">
        <v>-2.8</v>
      </c>
      <c r="F21">
        <v>-2.8</v>
      </c>
      <c r="G21">
        <v>-3.4</v>
      </c>
      <c r="H21">
        <v>-2.2000000000000002</v>
      </c>
      <c r="I21">
        <v>-0.6</v>
      </c>
      <c r="J21">
        <v>-1.1000000000000001</v>
      </c>
      <c r="K21">
        <v>-1.1000000000000001</v>
      </c>
      <c r="L21">
        <v>-1.1000000000000001</v>
      </c>
      <c r="M21">
        <v>-1.1000000000000001</v>
      </c>
      <c r="N21">
        <v>-2.2999999999999998</v>
      </c>
      <c r="O21">
        <v>-2.2999999999999998</v>
      </c>
      <c r="P21">
        <v>-1.7</v>
      </c>
    </row>
    <row r="22" spans="3:16">
      <c r="C22">
        <v>1928</v>
      </c>
      <c r="D22">
        <v>-1.1000000000000001</v>
      </c>
      <c r="E22">
        <v>-1.7</v>
      </c>
      <c r="F22">
        <v>-1.2</v>
      </c>
      <c r="G22">
        <v>-1.2</v>
      </c>
      <c r="H22">
        <v>-1.1000000000000001</v>
      </c>
      <c r="I22">
        <v>-2.8</v>
      </c>
      <c r="J22">
        <v>-1.2</v>
      </c>
      <c r="K22">
        <v>-0.6</v>
      </c>
      <c r="L22">
        <v>0</v>
      </c>
      <c r="M22">
        <v>-1.1000000000000001</v>
      </c>
      <c r="N22">
        <v>-0.6</v>
      </c>
      <c r="O22">
        <v>-1.2</v>
      </c>
      <c r="P22">
        <v>-1.7</v>
      </c>
    </row>
    <row r="23" spans="3:16">
      <c r="C23">
        <v>1929</v>
      </c>
      <c r="D23">
        <v>-1.2</v>
      </c>
      <c r="E23">
        <v>0</v>
      </c>
      <c r="F23">
        <v>-0.6</v>
      </c>
      <c r="G23">
        <v>-1.2</v>
      </c>
      <c r="H23">
        <v>-1.2</v>
      </c>
      <c r="I23">
        <v>0</v>
      </c>
      <c r="J23">
        <v>1.2</v>
      </c>
      <c r="K23">
        <v>1.2</v>
      </c>
      <c r="L23">
        <v>0</v>
      </c>
      <c r="M23">
        <v>0.6</v>
      </c>
      <c r="N23">
        <v>0.6</v>
      </c>
      <c r="O23">
        <v>0.6</v>
      </c>
      <c r="P23">
        <v>0</v>
      </c>
    </row>
    <row r="24" spans="3:16">
      <c r="C24">
        <v>1930</v>
      </c>
      <c r="D24">
        <v>0</v>
      </c>
      <c r="E24">
        <v>-0.6</v>
      </c>
      <c r="F24">
        <v>-0.6</v>
      </c>
      <c r="G24">
        <v>0.6</v>
      </c>
      <c r="H24">
        <v>-0.6</v>
      </c>
      <c r="I24">
        <v>-1.8</v>
      </c>
      <c r="J24">
        <v>-4</v>
      </c>
      <c r="K24">
        <v>-4.5999999999999996</v>
      </c>
      <c r="L24">
        <v>-4</v>
      </c>
      <c r="M24">
        <v>-4.5999999999999996</v>
      </c>
      <c r="N24">
        <v>-5.2</v>
      </c>
      <c r="O24">
        <v>-6.4</v>
      </c>
      <c r="P24">
        <v>-2.2999999999999998</v>
      </c>
    </row>
    <row r="25" spans="3:16">
      <c r="C25">
        <v>1931</v>
      </c>
      <c r="D25">
        <v>-7</v>
      </c>
      <c r="E25">
        <v>-7.6</v>
      </c>
      <c r="F25">
        <v>-7.7</v>
      </c>
      <c r="G25">
        <v>-8.8000000000000007</v>
      </c>
      <c r="H25">
        <v>-9.5</v>
      </c>
      <c r="I25">
        <v>-10.1</v>
      </c>
      <c r="J25">
        <v>-9</v>
      </c>
      <c r="K25">
        <v>-8.5</v>
      </c>
      <c r="L25">
        <v>-9.6</v>
      </c>
      <c r="M25">
        <v>-9.6999999999999993</v>
      </c>
      <c r="N25">
        <v>-10.4</v>
      </c>
      <c r="O25">
        <v>-9.3000000000000007</v>
      </c>
      <c r="P25">
        <v>-9</v>
      </c>
    </row>
    <row r="26" spans="3:16">
      <c r="C26">
        <v>1932</v>
      </c>
      <c r="D26">
        <v>-10.1</v>
      </c>
      <c r="E26">
        <v>-10.199999999999999</v>
      </c>
      <c r="F26">
        <v>-10.3</v>
      </c>
      <c r="G26">
        <v>-10.3</v>
      </c>
      <c r="H26">
        <v>-10.5</v>
      </c>
      <c r="I26">
        <v>-9.9</v>
      </c>
      <c r="J26">
        <v>-9.9</v>
      </c>
      <c r="K26">
        <v>-10.6</v>
      </c>
      <c r="L26">
        <v>-10.7</v>
      </c>
      <c r="M26">
        <v>-10.7</v>
      </c>
      <c r="N26">
        <v>-10.199999999999999</v>
      </c>
      <c r="O26">
        <v>-10.3</v>
      </c>
      <c r="P26">
        <v>-9.9</v>
      </c>
    </row>
    <row r="27" spans="3:16">
      <c r="C27">
        <v>1933</v>
      </c>
      <c r="D27">
        <v>-9.8000000000000007</v>
      </c>
      <c r="E27">
        <v>-9.9</v>
      </c>
      <c r="F27">
        <v>-10</v>
      </c>
      <c r="G27">
        <v>-9.4</v>
      </c>
      <c r="H27">
        <v>-8</v>
      </c>
      <c r="I27">
        <v>-6.6</v>
      </c>
      <c r="J27">
        <v>-3.7</v>
      </c>
      <c r="K27">
        <v>-2.2000000000000002</v>
      </c>
      <c r="L27">
        <v>-1.5</v>
      </c>
      <c r="M27">
        <v>-0.8</v>
      </c>
      <c r="N27">
        <v>0</v>
      </c>
      <c r="O27">
        <v>0.8</v>
      </c>
      <c r="P27">
        <v>-5.0999999999999996</v>
      </c>
    </row>
    <row r="28" spans="3:16">
      <c r="C28">
        <v>1934</v>
      </c>
      <c r="D28">
        <v>2.2999999999999998</v>
      </c>
      <c r="E28">
        <v>4.7</v>
      </c>
      <c r="F28">
        <v>5.6</v>
      </c>
      <c r="G28">
        <v>5.6</v>
      </c>
      <c r="H28">
        <v>5.6</v>
      </c>
      <c r="I28">
        <v>5.5</v>
      </c>
      <c r="J28">
        <v>2.2999999999999998</v>
      </c>
      <c r="K28">
        <v>1.5</v>
      </c>
      <c r="L28">
        <v>3</v>
      </c>
      <c r="M28">
        <v>2.2999999999999998</v>
      </c>
      <c r="N28">
        <v>2.2999999999999998</v>
      </c>
      <c r="O28">
        <v>1.5</v>
      </c>
      <c r="P28">
        <v>3.1</v>
      </c>
    </row>
    <row r="29" spans="3:16">
      <c r="C29">
        <v>1935</v>
      </c>
      <c r="D29">
        <v>3</v>
      </c>
      <c r="E29">
        <v>3</v>
      </c>
      <c r="F29">
        <v>3</v>
      </c>
      <c r="G29">
        <v>3.8</v>
      </c>
      <c r="H29">
        <v>3.8</v>
      </c>
      <c r="I29">
        <v>2.2000000000000002</v>
      </c>
      <c r="J29">
        <v>2.2000000000000002</v>
      </c>
      <c r="K29">
        <v>2.2000000000000002</v>
      </c>
      <c r="L29">
        <v>0.7</v>
      </c>
      <c r="M29">
        <v>1.5</v>
      </c>
      <c r="N29">
        <v>2.2000000000000002</v>
      </c>
      <c r="O29">
        <v>3</v>
      </c>
      <c r="P29">
        <v>2.2000000000000002</v>
      </c>
    </row>
    <row r="30" spans="3:16">
      <c r="C30">
        <v>1936</v>
      </c>
      <c r="D30">
        <v>1.5</v>
      </c>
      <c r="E30">
        <v>0.7</v>
      </c>
      <c r="F30">
        <v>0</v>
      </c>
      <c r="G30">
        <v>-0.7</v>
      </c>
      <c r="H30">
        <v>-0.7</v>
      </c>
      <c r="I30">
        <v>0.7</v>
      </c>
      <c r="J30">
        <v>1.5</v>
      </c>
      <c r="K30">
        <v>2.2000000000000002</v>
      </c>
      <c r="L30">
        <v>2.2000000000000002</v>
      </c>
      <c r="M30">
        <v>2.2000000000000002</v>
      </c>
      <c r="N30">
        <v>1.4</v>
      </c>
      <c r="O30">
        <v>1.4</v>
      </c>
      <c r="P30">
        <v>1.5</v>
      </c>
    </row>
    <row r="31" spans="3:16">
      <c r="C31">
        <v>1937</v>
      </c>
      <c r="D31">
        <v>2.2000000000000002</v>
      </c>
      <c r="E31">
        <v>2.2000000000000002</v>
      </c>
      <c r="F31">
        <v>3.6</v>
      </c>
      <c r="G31">
        <v>4.4000000000000004</v>
      </c>
      <c r="H31">
        <v>5.0999999999999996</v>
      </c>
      <c r="I31">
        <v>4.3</v>
      </c>
      <c r="J31">
        <v>4.3</v>
      </c>
      <c r="K31">
        <v>3.6</v>
      </c>
      <c r="L31">
        <v>4.3</v>
      </c>
      <c r="M31">
        <v>4.3</v>
      </c>
      <c r="N31">
        <v>3.6</v>
      </c>
      <c r="O31">
        <v>2.9</v>
      </c>
      <c r="P31">
        <v>3.6</v>
      </c>
    </row>
    <row r="32" spans="3:16">
      <c r="C32">
        <v>1938</v>
      </c>
      <c r="D32">
        <v>0.7</v>
      </c>
      <c r="E32">
        <v>0</v>
      </c>
      <c r="F32">
        <v>-0.7</v>
      </c>
      <c r="G32">
        <v>-0.7</v>
      </c>
      <c r="H32">
        <v>-2.1</v>
      </c>
      <c r="I32">
        <v>-2.1</v>
      </c>
      <c r="J32">
        <v>-2.8</v>
      </c>
      <c r="K32">
        <v>-2.8</v>
      </c>
      <c r="L32">
        <v>-3.4</v>
      </c>
      <c r="M32">
        <v>-4.0999999999999996</v>
      </c>
      <c r="N32">
        <v>-3.4</v>
      </c>
      <c r="O32">
        <v>-2.8</v>
      </c>
      <c r="P32">
        <v>-2.1</v>
      </c>
    </row>
    <row r="33" spans="3:16">
      <c r="C33">
        <v>1939</v>
      </c>
      <c r="D33">
        <v>-1.4</v>
      </c>
      <c r="E33">
        <v>-1.4</v>
      </c>
      <c r="F33">
        <v>-1.4</v>
      </c>
      <c r="G33">
        <v>-2.8</v>
      </c>
      <c r="H33">
        <v>-2.1</v>
      </c>
      <c r="I33">
        <v>-2.1</v>
      </c>
      <c r="J33">
        <v>-2.1</v>
      </c>
      <c r="K33">
        <v>-2.1</v>
      </c>
      <c r="L33">
        <v>0</v>
      </c>
      <c r="M33">
        <v>0</v>
      </c>
      <c r="N33">
        <v>0</v>
      </c>
      <c r="O33">
        <v>0</v>
      </c>
      <c r="P33">
        <v>-1.4</v>
      </c>
    </row>
    <row r="34" spans="3:16">
      <c r="C34">
        <v>1940</v>
      </c>
      <c r="D34">
        <v>-0.7</v>
      </c>
      <c r="E34">
        <v>0.7</v>
      </c>
      <c r="F34">
        <v>0.7</v>
      </c>
      <c r="G34">
        <v>1.4</v>
      </c>
      <c r="H34">
        <v>1.4</v>
      </c>
      <c r="I34">
        <v>2.2000000000000002</v>
      </c>
      <c r="J34">
        <v>1.4</v>
      </c>
      <c r="K34">
        <v>1.4</v>
      </c>
      <c r="L34">
        <v>-0.7</v>
      </c>
      <c r="M34">
        <v>0</v>
      </c>
      <c r="N34">
        <v>0</v>
      </c>
      <c r="O34">
        <v>0.7</v>
      </c>
      <c r="P34">
        <v>0.7</v>
      </c>
    </row>
    <row r="35" spans="3:16">
      <c r="C35">
        <v>1941</v>
      </c>
      <c r="D35">
        <v>1.4</v>
      </c>
      <c r="E35">
        <v>0.7</v>
      </c>
      <c r="F35">
        <v>1.4</v>
      </c>
      <c r="G35">
        <v>2.1</v>
      </c>
      <c r="H35">
        <v>2.9</v>
      </c>
      <c r="I35">
        <v>4.3</v>
      </c>
      <c r="J35">
        <v>5</v>
      </c>
      <c r="K35">
        <v>6.4</v>
      </c>
      <c r="L35">
        <v>7.9</v>
      </c>
      <c r="M35">
        <v>9.3000000000000007</v>
      </c>
      <c r="N35">
        <v>10</v>
      </c>
      <c r="O35">
        <v>9.9</v>
      </c>
      <c r="P35">
        <v>5</v>
      </c>
    </row>
    <row r="36" spans="3:16">
      <c r="C36">
        <v>1942</v>
      </c>
      <c r="D36">
        <v>11.3</v>
      </c>
      <c r="E36">
        <v>12.1</v>
      </c>
      <c r="F36">
        <v>12.7</v>
      </c>
      <c r="G36">
        <v>12.6</v>
      </c>
      <c r="H36">
        <v>13.2</v>
      </c>
      <c r="I36">
        <v>10.9</v>
      </c>
      <c r="J36">
        <v>11.6</v>
      </c>
      <c r="K36">
        <v>10.7</v>
      </c>
      <c r="L36">
        <v>9.3000000000000007</v>
      </c>
      <c r="M36">
        <v>9.1999999999999993</v>
      </c>
      <c r="N36">
        <v>9.1</v>
      </c>
      <c r="O36">
        <v>9</v>
      </c>
      <c r="P36">
        <v>10.9</v>
      </c>
    </row>
    <row r="37" spans="3:16">
      <c r="C37">
        <v>1943</v>
      </c>
      <c r="D37">
        <v>7.6</v>
      </c>
      <c r="E37">
        <v>7</v>
      </c>
      <c r="F37">
        <v>7.5</v>
      </c>
      <c r="G37">
        <v>8.1</v>
      </c>
      <c r="H37">
        <v>7.4</v>
      </c>
      <c r="I37">
        <v>7.4</v>
      </c>
      <c r="J37">
        <v>6.1</v>
      </c>
      <c r="K37">
        <v>4.8</v>
      </c>
      <c r="L37">
        <v>5.5</v>
      </c>
      <c r="M37">
        <v>4.2</v>
      </c>
      <c r="N37">
        <v>3.6</v>
      </c>
      <c r="O37">
        <v>3</v>
      </c>
      <c r="P37">
        <v>6.1</v>
      </c>
    </row>
    <row r="38" spans="3:16">
      <c r="C38">
        <v>1944</v>
      </c>
      <c r="D38">
        <v>3</v>
      </c>
      <c r="E38">
        <v>3</v>
      </c>
      <c r="F38">
        <v>1.2</v>
      </c>
      <c r="G38">
        <v>0.6</v>
      </c>
      <c r="H38">
        <v>0</v>
      </c>
      <c r="I38">
        <v>0.6</v>
      </c>
      <c r="J38">
        <v>1.7</v>
      </c>
      <c r="K38">
        <v>2.2999999999999998</v>
      </c>
      <c r="L38">
        <v>1.7</v>
      </c>
      <c r="M38">
        <v>1.7</v>
      </c>
      <c r="N38">
        <v>1.7</v>
      </c>
      <c r="O38">
        <v>2.2999999999999998</v>
      </c>
      <c r="P38">
        <v>1.7</v>
      </c>
    </row>
    <row r="39" spans="3:16">
      <c r="C39">
        <v>1945</v>
      </c>
      <c r="D39">
        <v>2.2999999999999998</v>
      </c>
      <c r="E39">
        <v>2.2999999999999998</v>
      </c>
      <c r="F39">
        <v>2.2999999999999998</v>
      </c>
      <c r="G39">
        <v>1.7</v>
      </c>
      <c r="H39">
        <v>2.2999999999999998</v>
      </c>
      <c r="I39">
        <v>2.8</v>
      </c>
      <c r="J39">
        <v>2.2999999999999998</v>
      </c>
      <c r="K39">
        <v>2.2999999999999998</v>
      </c>
      <c r="L39">
        <v>2.2999999999999998</v>
      </c>
      <c r="M39">
        <v>2.2999999999999998</v>
      </c>
      <c r="N39">
        <v>2.2999999999999998</v>
      </c>
      <c r="O39">
        <v>2.2000000000000002</v>
      </c>
      <c r="P39">
        <v>2.2999999999999998</v>
      </c>
    </row>
    <row r="40" spans="3:16">
      <c r="C40">
        <v>1946</v>
      </c>
      <c r="D40">
        <v>2.2000000000000002</v>
      </c>
      <c r="E40">
        <v>1.7</v>
      </c>
      <c r="F40">
        <v>2.8</v>
      </c>
      <c r="G40">
        <v>3.4</v>
      </c>
      <c r="H40">
        <v>3.4</v>
      </c>
      <c r="I40">
        <v>3.3</v>
      </c>
      <c r="J40">
        <v>9.4</v>
      </c>
      <c r="K40">
        <v>11.6</v>
      </c>
      <c r="L40">
        <v>12.7</v>
      </c>
      <c r="M40">
        <v>14.9</v>
      </c>
      <c r="N40">
        <v>17.7</v>
      </c>
      <c r="O40">
        <v>18.100000000000001</v>
      </c>
      <c r="P40">
        <v>8.3000000000000007</v>
      </c>
    </row>
    <row r="41" spans="3:16">
      <c r="C41">
        <v>1947</v>
      </c>
      <c r="D41">
        <v>18.100000000000001</v>
      </c>
      <c r="E41">
        <v>18.8</v>
      </c>
      <c r="F41">
        <v>19.7</v>
      </c>
      <c r="G41">
        <v>19</v>
      </c>
      <c r="H41">
        <v>18.399999999999999</v>
      </c>
      <c r="I41">
        <v>17.600000000000001</v>
      </c>
      <c r="J41">
        <v>12.1</v>
      </c>
      <c r="K41">
        <v>11.4</v>
      </c>
      <c r="L41">
        <v>12.7</v>
      </c>
      <c r="M41">
        <v>10.6</v>
      </c>
      <c r="N41">
        <v>8.5</v>
      </c>
      <c r="O41">
        <v>8.8000000000000007</v>
      </c>
      <c r="P41">
        <v>14.4</v>
      </c>
    </row>
    <row r="42" spans="3:16">
      <c r="C42">
        <v>1948</v>
      </c>
      <c r="D42">
        <v>10.199999999999999</v>
      </c>
      <c r="E42">
        <v>9.3000000000000007</v>
      </c>
      <c r="F42">
        <v>6.8</v>
      </c>
      <c r="G42">
        <v>8.6999999999999993</v>
      </c>
      <c r="H42">
        <v>9.1</v>
      </c>
      <c r="I42">
        <v>9.5</v>
      </c>
      <c r="J42">
        <v>9.9</v>
      </c>
      <c r="K42">
        <v>8.9</v>
      </c>
      <c r="L42">
        <v>6.5</v>
      </c>
      <c r="M42">
        <v>6.1</v>
      </c>
      <c r="N42">
        <v>4.8</v>
      </c>
      <c r="O42">
        <v>3</v>
      </c>
      <c r="P42">
        <v>8.1</v>
      </c>
    </row>
    <row r="43" spans="3:16">
      <c r="C43">
        <v>1949</v>
      </c>
      <c r="D43">
        <v>1.3</v>
      </c>
      <c r="E43">
        <v>1.3</v>
      </c>
      <c r="F43">
        <v>1.7</v>
      </c>
      <c r="G43">
        <v>0.4</v>
      </c>
      <c r="H43">
        <v>-0.4</v>
      </c>
      <c r="I43">
        <v>-0.8</v>
      </c>
      <c r="J43">
        <v>-2.9</v>
      </c>
      <c r="K43">
        <v>-2.9</v>
      </c>
      <c r="L43">
        <v>-2.4</v>
      </c>
      <c r="M43">
        <v>-2.9</v>
      </c>
      <c r="N43">
        <v>-1.7</v>
      </c>
      <c r="O43">
        <v>-2.1</v>
      </c>
      <c r="P43">
        <v>-1.2</v>
      </c>
    </row>
    <row r="44" spans="3:16">
      <c r="C44">
        <v>1950</v>
      </c>
      <c r="D44">
        <v>-2.1</v>
      </c>
      <c r="E44">
        <v>-1.3</v>
      </c>
      <c r="F44">
        <v>-0.8</v>
      </c>
      <c r="G44">
        <v>-1.3</v>
      </c>
      <c r="H44">
        <v>-0.4</v>
      </c>
      <c r="I44">
        <v>-0.4</v>
      </c>
      <c r="J44">
        <v>1.7</v>
      </c>
      <c r="K44">
        <v>2.1</v>
      </c>
      <c r="L44">
        <v>2.1</v>
      </c>
      <c r="M44">
        <v>3.8</v>
      </c>
      <c r="N44">
        <v>3.8</v>
      </c>
      <c r="O44">
        <v>5.9</v>
      </c>
      <c r="P44">
        <v>1.3</v>
      </c>
    </row>
    <row r="45" spans="3:16">
      <c r="C45">
        <v>1951</v>
      </c>
      <c r="D45">
        <v>8.1</v>
      </c>
      <c r="E45">
        <v>9.4</v>
      </c>
      <c r="F45">
        <v>9.3000000000000007</v>
      </c>
      <c r="G45">
        <v>9.3000000000000007</v>
      </c>
      <c r="H45">
        <v>9.3000000000000007</v>
      </c>
      <c r="I45">
        <v>8.8000000000000007</v>
      </c>
      <c r="J45">
        <v>7.5</v>
      </c>
      <c r="K45">
        <v>6.6</v>
      </c>
      <c r="L45">
        <v>7</v>
      </c>
      <c r="M45">
        <v>6.5</v>
      </c>
      <c r="N45">
        <v>6.9</v>
      </c>
      <c r="O45">
        <v>6</v>
      </c>
      <c r="P45">
        <v>7.9</v>
      </c>
    </row>
    <row r="46" spans="3:16">
      <c r="C46">
        <v>1952</v>
      </c>
      <c r="D46">
        <v>4.3</v>
      </c>
      <c r="E46">
        <v>2.2999999999999998</v>
      </c>
      <c r="F46">
        <v>1.9</v>
      </c>
      <c r="G46">
        <v>2.2999999999999998</v>
      </c>
      <c r="H46">
        <v>1.9</v>
      </c>
      <c r="I46">
        <v>2.2999999999999998</v>
      </c>
      <c r="J46">
        <v>3.1</v>
      </c>
      <c r="K46">
        <v>3.1</v>
      </c>
      <c r="L46">
        <v>2.2999999999999998</v>
      </c>
      <c r="M46">
        <v>1.9</v>
      </c>
      <c r="N46">
        <v>1.1000000000000001</v>
      </c>
      <c r="O46">
        <v>0.8</v>
      </c>
      <c r="P46">
        <v>1.9</v>
      </c>
    </row>
    <row r="47" spans="3:16">
      <c r="C47">
        <v>1953</v>
      </c>
      <c r="D47">
        <v>0.4</v>
      </c>
      <c r="E47">
        <v>0.8</v>
      </c>
      <c r="F47">
        <v>1.1000000000000001</v>
      </c>
      <c r="G47">
        <v>0.8</v>
      </c>
      <c r="H47">
        <v>1.1000000000000001</v>
      </c>
      <c r="I47">
        <v>1.1000000000000001</v>
      </c>
      <c r="J47">
        <v>0.4</v>
      </c>
      <c r="K47">
        <v>0.7</v>
      </c>
      <c r="L47">
        <v>0.7</v>
      </c>
      <c r="M47">
        <v>1.1000000000000001</v>
      </c>
      <c r="N47">
        <v>0.7</v>
      </c>
      <c r="O47">
        <v>0.7</v>
      </c>
      <c r="P47">
        <v>0.8</v>
      </c>
    </row>
    <row r="48" spans="3:16">
      <c r="C48">
        <v>1954</v>
      </c>
      <c r="D48">
        <v>1.1000000000000001</v>
      </c>
      <c r="E48">
        <v>1.5</v>
      </c>
      <c r="F48">
        <v>1.1000000000000001</v>
      </c>
      <c r="G48">
        <v>0.8</v>
      </c>
      <c r="H48">
        <v>0.7</v>
      </c>
      <c r="I48">
        <v>0.4</v>
      </c>
      <c r="J48">
        <v>0.4</v>
      </c>
      <c r="K48">
        <v>0</v>
      </c>
      <c r="L48">
        <v>-0.4</v>
      </c>
      <c r="M48">
        <v>-0.7</v>
      </c>
      <c r="N48">
        <v>-0.4</v>
      </c>
      <c r="O48">
        <v>-0.7</v>
      </c>
      <c r="P48">
        <v>0.7</v>
      </c>
    </row>
    <row r="49" spans="3:16">
      <c r="C49">
        <v>1955</v>
      </c>
      <c r="D49">
        <v>-0.7</v>
      </c>
      <c r="E49">
        <v>-0.7</v>
      </c>
      <c r="F49">
        <v>-0.7</v>
      </c>
      <c r="G49">
        <v>-0.4</v>
      </c>
      <c r="H49">
        <v>-0.7</v>
      </c>
      <c r="I49">
        <v>-0.7</v>
      </c>
      <c r="J49">
        <v>-0.4</v>
      </c>
      <c r="K49">
        <v>-0.4</v>
      </c>
      <c r="L49">
        <v>0.4</v>
      </c>
      <c r="M49">
        <v>0.4</v>
      </c>
      <c r="N49">
        <v>0.4</v>
      </c>
      <c r="O49">
        <v>0.4</v>
      </c>
      <c r="P49">
        <v>-0.4</v>
      </c>
    </row>
    <row r="50" spans="3:16">
      <c r="C50">
        <v>1956</v>
      </c>
      <c r="D50">
        <v>0.4</v>
      </c>
      <c r="E50">
        <v>0.4</v>
      </c>
      <c r="F50">
        <v>0.4</v>
      </c>
      <c r="G50">
        <v>0.7</v>
      </c>
      <c r="H50">
        <v>1.1000000000000001</v>
      </c>
      <c r="I50">
        <v>1.9</v>
      </c>
      <c r="J50">
        <v>2.2000000000000002</v>
      </c>
      <c r="K50">
        <v>1.9</v>
      </c>
      <c r="L50">
        <v>1.9</v>
      </c>
      <c r="M50">
        <v>2.2000000000000002</v>
      </c>
      <c r="N50">
        <v>2.2000000000000002</v>
      </c>
      <c r="O50">
        <v>3</v>
      </c>
      <c r="P50">
        <v>1.5</v>
      </c>
    </row>
    <row r="51" spans="3:16">
      <c r="C51">
        <v>1957</v>
      </c>
      <c r="D51">
        <v>3</v>
      </c>
      <c r="E51">
        <v>3.4</v>
      </c>
      <c r="F51">
        <v>3.7</v>
      </c>
      <c r="G51">
        <v>3.7</v>
      </c>
      <c r="H51">
        <v>3.7</v>
      </c>
      <c r="I51">
        <v>3.3</v>
      </c>
      <c r="J51">
        <v>3.3</v>
      </c>
      <c r="K51">
        <v>3.7</v>
      </c>
      <c r="L51">
        <v>3.3</v>
      </c>
      <c r="M51">
        <v>2.9</v>
      </c>
      <c r="N51">
        <v>3.3</v>
      </c>
      <c r="O51">
        <v>2.9</v>
      </c>
      <c r="P51">
        <v>3.3</v>
      </c>
    </row>
    <row r="52" spans="3:16">
      <c r="C52">
        <v>1958</v>
      </c>
      <c r="D52">
        <v>3.6</v>
      </c>
      <c r="E52">
        <v>3.2</v>
      </c>
      <c r="F52">
        <v>3.6</v>
      </c>
      <c r="G52">
        <v>3.6</v>
      </c>
      <c r="H52">
        <v>3.2</v>
      </c>
      <c r="I52">
        <v>2.8</v>
      </c>
      <c r="J52">
        <v>2.5</v>
      </c>
      <c r="K52">
        <v>2.1</v>
      </c>
      <c r="L52">
        <v>2.1</v>
      </c>
      <c r="M52">
        <v>2.1</v>
      </c>
      <c r="N52">
        <v>2.1</v>
      </c>
      <c r="O52">
        <v>1.8</v>
      </c>
      <c r="P52">
        <v>2.8</v>
      </c>
    </row>
    <row r="53" spans="3:16">
      <c r="C53">
        <v>1959</v>
      </c>
      <c r="D53">
        <v>1.4</v>
      </c>
      <c r="E53">
        <v>1</v>
      </c>
      <c r="F53">
        <v>0.3</v>
      </c>
      <c r="G53">
        <v>0.3</v>
      </c>
      <c r="H53">
        <v>0.3</v>
      </c>
      <c r="I53">
        <v>0.7</v>
      </c>
      <c r="J53">
        <v>0.7</v>
      </c>
      <c r="K53">
        <v>1</v>
      </c>
      <c r="L53">
        <v>1.4</v>
      </c>
      <c r="M53">
        <v>1.7</v>
      </c>
      <c r="N53">
        <v>1.4</v>
      </c>
      <c r="O53">
        <v>1.7</v>
      </c>
      <c r="P53">
        <v>0.7</v>
      </c>
    </row>
    <row r="54" spans="3:16">
      <c r="C54">
        <v>1960</v>
      </c>
      <c r="D54">
        <v>1</v>
      </c>
      <c r="E54">
        <v>1.7</v>
      </c>
      <c r="F54">
        <v>1.7</v>
      </c>
      <c r="G54">
        <v>1.7</v>
      </c>
      <c r="H54">
        <v>1.7</v>
      </c>
      <c r="I54">
        <v>1.7</v>
      </c>
      <c r="J54">
        <v>1.4</v>
      </c>
      <c r="K54">
        <v>1.4</v>
      </c>
      <c r="L54">
        <v>1</v>
      </c>
      <c r="M54">
        <v>1.4</v>
      </c>
      <c r="N54">
        <v>1.4</v>
      </c>
      <c r="O54">
        <v>1.4</v>
      </c>
      <c r="P54">
        <v>1.7</v>
      </c>
    </row>
    <row r="55" spans="3:16">
      <c r="C55">
        <v>1961</v>
      </c>
      <c r="D55">
        <v>1.7</v>
      </c>
      <c r="E55">
        <v>1.4</v>
      </c>
      <c r="F55">
        <v>1.4</v>
      </c>
      <c r="G55">
        <v>1</v>
      </c>
      <c r="H55">
        <v>1</v>
      </c>
      <c r="I55">
        <v>0.7</v>
      </c>
      <c r="J55">
        <v>1.4</v>
      </c>
      <c r="K55">
        <v>1</v>
      </c>
      <c r="L55">
        <v>1.4</v>
      </c>
      <c r="M55">
        <v>0.7</v>
      </c>
      <c r="N55">
        <v>0.7</v>
      </c>
      <c r="O55">
        <v>0.7</v>
      </c>
      <c r="P55">
        <v>1</v>
      </c>
    </row>
    <row r="56" spans="3:16">
      <c r="C56">
        <v>1962</v>
      </c>
      <c r="D56">
        <v>0.7</v>
      </c>
      <c r="E56">
        <v>1</v>
      </c>
      <c r="F56">
        <v>1</v>
      </c>
      <c r="G56">
        <v>1.3</v>
      </c>
      <c r="H56">
        <v>1.3</v>
      </c>
      <c r="I56">
        <v>1.3</v>
      </c>
      <c r="J56">
        <v>1</v>
      </c>
      <c r="K56">
        <v>1.3</v>
      </c>
      <c r="L56">
        <v>1.3</v>
      </c>
      <c r="M56">
        <v>1.3</v>
      </c>
      <c r="N56">
        <v>1.3</v>
      </c>
      <c r="O56">
        <v>1.3</v>
      </c>
      <c r="P56">
        <v>1</v>
      </c>
    </row>
    <row r="57" spans="3:16">
      <c r="C57">
        <v>1963</v>
      </c>
      <c r="D57">
        <v>1.3</v>
      </c>
      <c r="E57">
        <v>1</v>
      </c>
      <c r="F57">
        <v>1.3</v>
      </c>
      <c r="G57">
        <v>1</v>
      </c>
      <c r="H57">
        <v>1</v>
      </c>
      <c r="I57">
        <v>1.3</v>
      </c>
      <c r="J57">
        <v>1.3</v>
      </c>
      <c r="K57">
        <v>1.3</v>
      </c>
      <c r="L57">
        <v>1</v>
      </c>
      <c r="M57">
        <v>1.3</v>
      </c>
      <c r="N57">
        <v>1.3</v>
      </c>
      <c r="O57">
        <v>1.6</v>
      </c>
      <c r="P57">
        <v>1.3</v>
      </c>
    </row>
    <row r="58" spans="3:16">
      <c r="C58">
        <v>1964</v>
      </c>
      <c r="D58">
        <v>1.6</v>
      </c>
      <c r="E58">
        <v>1.6</v>
      </c>
      <c r="F58">
        <v>1.3</v>
      </c>
      <c r="G58">
        <v>1.3</v>
      </c>
      <c r="H58">
        <v>1.3</v>
      </c>
      <c r="I58">
        <v>1.3</v>
      </c>
      <c r="J58">
        <v>1.3</v>
      </c>
      <c r="K58">
        <v>1</v>
      </c>
      <c r="L58">
        <v>1.3</v>
      </c>
      <c r="M58">
        <v>1</v>
      </c>
      <c r="N58">
        <v>1.3</v>
      </c>
      <c r="O58">
        <v>1</v>
      </c>
      <c r="P58">
        <v>1.3</v>
      </c>
    </row>
    <row r="59" spans="3:16">
      <c r="C59">
        <v>1965</v>
      </c>
      <c r="D59">
        <v>1</v>
      </c>
      <c r="E59">
        <v>1</v>
      </c>
      <c r="F59">
        <v>1.3</v>
      </c>
      <c r="G59">
        <v>1.6</v>
      </c>
      <c r="H59">
        <v>1.6</v>
      </c>
      <c r="I59">
        <v>1.9</v>
      </c>
      <c r="J59">
        <v>1.6</v>
      </c>
      <c r="K59">
        <v>1.9</v>
      </c>
      <c r="L59">
        <v>1.6</v>
      </c>
      <c r="M59">
        <v>1.9</v>
      </c>
      <c r="N59">
        <v>1.6</v>
      </c>
      <c r="O59">
        <v>1.9</v>
      </c>
      <c r="P59">
        <v>1.6</v>
      </c>
    </row>
    <row r="60" spans="3:16">
      <c r="C60">
        <v>1966</v>
      </c>
      <c r="D60">
        <v>1.9</v>
      </c>
      <c r="E60">
        <v>2.6</v>
      </c>
      <c r="F60">
        <v>2.6</v>
      </c>
      <c r="G60">
        <v>2.9</v>
      </c>
      <c r="H60">
        <v>2.9</v>
      </c>
      <c r="I60">
        <v>2.5</v>
      </c>
      <c r="J60">
        <v>2.8</v>
      </c>
      <c r="K60">
        <v>3.5</v>
      </c>
      <c r="L60">
        <v>3.5</v>
      </c>
      <c r="M60">
        <v>3.8</v>
      </c>
      <c r="N60">
        <v>3.8</v>
      </c>
      <c r="O60">
        <v>3.5</v>
      </c>
      <c r="P60">
        <v>2.9</v>
      </c>
    </row>
    <row r="61" spans="3:16">
      <c r="C61">
        <v>1967</v>
      </c>
      <c r="D61">
        <v>3.5</v>
      </c>
      <c r="E61">
        <v>2.8</v>
      </c>
      <c r="F61">
        <v>2.8</v>
      </c>
      <c r="G61">
        <v>2.5</v>
      </c>
      <c r="H61">
        <v>2.8</v>
      </c>
      <c r="I61">
        <v>2.8</v>
      </c>
      <c r="J61">
        <v>2.8</v>
      </c>
      <c r="K61">
        <v>2.4</v>
      </c>
      <c r="L61">
        <v>2.8</v>
      </c>
      <c r="M61">
        <v>2.4</v>
      </c>
      <c r="N61">
        <v>2.7</v>
      </c>
      <c r="O61">
        <v>3</v>
      </c>
      <c r="P61">
        <v>3.1</v>
      </c>
    </row>
    <row r="62" spans="3:16">
      <c r="C62">
        <v>1968</v>
      </c>
      <c r="D62">
        <v>3.6</v>
      </c>
      <c r="E62">
        <v>4</v>
      </c>
      <c r="F62">
        <v>3.9</v>
      </c>
      <c r="G62">
        <v>3.9</v>
      </c>
      <c r="H62">
        <v>3.9</v>
      </c>
      <c r="I62">
        <v>4.2</v>
      </c>
      <c r="J62">
        <v>4.5</v>
      </c>
      <c r="K62">
        <v>4.5</v>
      </c>
      <c r="L62">
        <v>4.5</v>
      </c>
      <c r="M62">
        <v>4.7</v>
      </c>
      <c r="N62">
        <v>4.7</v>
      </c>
      <c r="O62">
        <v>4.7</v>
      </c>
      <c r="P62">
        <v>4.2</v>
      </c>
    </row>
    <row r="63" spans="3:16">
      <c r="C63">
        <v>1969</v>
      </c>
      <c r="D63">
        <v>4.4000000000000004</v>
      </c>
      <c r="E63">
        <v>4.7</v>
      </c>
      <c r="F63">
        <v>5.2</v>
      </c>
      <c r="G63">
        <v>5.5</v>
      </c>
      <c r="H63">
        <v>5.5</v>
      </c>
      <c r="I63">
        <v>5.5</v>
      </c>
      <c r="J63">
        <v>5.4</v>
      </c>
      <c r="K63">
        <v>5.7</v>
      </c>
      <c r="L63">
        <v>5.7</v>
      </c>
      <c r="M63">
        <v>5.7</v>
      </c>
      <c r="N63">
        <v>5.9</v>
      </c>
      <c r="O63">
        <v>6.2</v>
      </c>
      <c r="P63">
        <v>5.5</v>
      </c>
    </row>
    <row r="64" spans="3:16">
      <c r="C64">
        <v>1970</v>
      </c>
      <c r="D64">
        <v>6.2</v>
      </c>
      <c r="E64">
        <v>6.1</v>
      </c>
      <c r="F64">
        <v>5.8</v>
      </c>
      <c r="G64">
        <v>6.1</v>
      </c>
      <c r="H64">
        <v>6</v>
      </c>
      <c r="I64">
        <v>6</v>
      </c>
      <c r="J64">
        <v>6</v>
      </c>
      <c r="K64">
        <v>5.4</v>
      </c>
      <c r="L64">
        <v>5.7</v>
      </c>
      <c r="M64">
        <v>5.6</v>
      </c>
      <c r="N64">
        <v>5.6</v>
      </c>
      <c r="O64">
        <v>5.6</v>
      </c>
      <c r="P64">
        <v>5.7</v>
      </c>
    </row>
    <row r="65" spans="3:16">
      <c r="C65">
        <v>1971</v>
      </c>
      <c r="D65">
        <v>5.3</v>
      </c>
      <c r="E65">
        <v>5</v>
      </c>
      <c r="F65">
        <v>4.7</v>
      </c>
      <c r="G65">
        <v>4.2</v>
      </c>
      <c r="H65">
        <v>4.4000000000000004</v>
      </c>
      <c r="I65">
        <v>4.5999999999999996</v>
      </c>
      <c r="J65">
        <v>4.4000000000000004</v>
      </c>
      <c r="K65">
        <v>4.5999999999999996</v>
      </c>
      <c r="L65">
        <v>4.0999999999999996</v>
      </c>
      <c r="M65">
        <v>3.8</v>
      </c>
      <c r="N65">
        <v>3.3</v>
      </c>
      <c r="O65">
        <v>3.3</v>
      </c>
      <c r="P65">
        <v>4.4000000000000004</v>
      </c>
    </row>
    <row r="66" spans="3:16">
      <c r="C66">
        <v>1972</v>
      </c>
      <c r="D66">
        <v>3.3</v>
      </c>
      <c r="E66">
        <v>3.5</v>
      </c>
      <c r="F66">
        <v>3.5</v>
      </c>
      <c r="G66">
        <v>3.5</v>
      </c>
      <c r="H66">
        <v>3.2</v>
      </c>
      <c r="I66">
        <v>2.7</v>
      </c>
      <c r="J66">
        <v>2.9</v>
      </c>
      <c r="K66">
        <v>2.9</v>
      </c>
      <c r="L66">
        <v>3.2</v>
      </c>
      <c r="M66">
        <v>3.4</v>
      </c>
      <c r="N66">
        <v>3.7</v>
      </c>
      <c r="O66">
        <v>3.4</v>
      </c>
      <c r="P66">
        <v>3.2</v>
      </c>
    </row>
    <row r="67" spans="3:16">
      <c r="C67">
        <v>1973</v>
      </c>
      <c r="D67">
        <v>3.6</v>
      </c>
      <c r="E67">
        <v>3.9</v>
      </c>
      <c r="F67">
        <v>4.5999999999999996</v>
      </c>
      <c r="G67">
        <v>5.0999999999999996</v>
      </c>
      <c r="H67">
        <v>5.5</v>
      </c>
      <c r="I67">
        <v>6</v>
      </c>
      <c r="J67">
        <v>5.7</v>
      </c>
      <c r="K67">
        <v>7.4</v>
      </c>
      <c r="L67">
        <v>7.4</v>
      </c>
      <c r="M67">
        <v>7.8</v>
      </c>
      <c r="N67">
        <v>8.3000000000000007</v>
      </c>
      <c r="O67">
        <v>8.6999999999999993</v>
      </c>
      <c r="P67">
        <v>6.2</v>
      </c>
    </row>
    <row r="68" spans="3:16">
      <c r="C68">
        <v>1974</v>
      </c>
      <c r="D68">
        <v>9.4</v>
      </c>
      <c r="E68">
        <v>10</v>
      </c>
      <c r="F68">
        <v>10.4</v>
      </c>
      <c r="G68">
        <v>10.1</v>
      </c>
      <c r="H68">
        <v>10.7</v>
      </c>
      <c r="I68">
        <v>10.9</v>
      </c>
      <c r="J68">
        <v>11.5</v>
      </c>
      <c r="K68">
        <v>10.9</v>
      </c>
      <c r="L68">
        <v>11.9</v>
      </c>
      <c r="M68">
        <v>12.1</v>
      </c>
      <c r="N68">
        <v>12.2</v>
      </c>
      <c r="O68">
        <v>12.3</v>
      </c>
      <c r="P68">
        <v>11</v>
      </c>
    </row>
    <row r="69" spans="3:16">
      <c r="C69">
        <v>1975</v>
      </c>
      <c r="D69">
        <v>11.8</v>
      </c>
      <c r="E69">
        <v>11.2</v>
      </c>
      <c r="F69">
        <v>10.3</v>
      </c>
      <c r="G69">
        <v>10.199999999999999</v>
      </c>
      <c r="H69">
        <v>9.5</v>
      </c>
      <c r="I69">
        <v>9.4</v>
      </c>
      <c r="J69">
        <v>9.6999999999999993</v>
      </c>
      <c r="K69">
        <v>8.6</v>
      </c>
      <c r="L69">
        <v>7.9</v>
      </c>
      <c r="M69">
        <v>7.4</v>
      </c>
      <c r="N69">
        <v>7.4</v>
      </c>
      <c r="O69">
        <v>6.9</v>
      </c>
      <c r="P69">
        <v>9.1</v>
      </c>
    </row>
    <row r="70" spans="3:16">
      <c r="C70">
        <v>1976</v>
      </c>
      <c r="D70">
        <v>6.7</v>
      </c>
      <c r="E70">
        <v>6.3</v>
      </c>
      <c r="F70">
        <v>6.1</v>
      </c>
      <c r="G70">
        <v>6</v>
      </c>
      <c r="H70">
        <v>6.2</v>
      </c>
      <c r="I70">
        <v>6</v>
      </c>
      <c r="J70">
        <v>5.4</v>
      </c>
      <c r="K70">
        <v>5.7</v>
      </c>
      <c r="L70">
        <v>5.5</v>
      </c>
      <c r="M70">
        <v>5.5</v>
      </c>
      <c r="N70">
        <v>4.9000000000000004</v>
      </c>
      <c r="O70">
        <v>4.9000000000000004</v>
      </c>
      <c r="P70">
        <v>5.8</v>
      </c>
    </row>
    <row r="71" spans="3:16">
      <c r="C71">
        <v>1977</v>
      </c>
      <c r="D71">
        <v>5.2</v>
      </c>
      <c r="E71">
        <v>5.9</v>
      </c>
      <c r="F71">
        <v>6.4</v>
      </c>
      <c r="G71">
        <v>7</v>
      </c>
      <c r="H71">
        <v>6.7</v>
      </c>
      <c r="I71">
        <v>6.9</v>
      </c>
      <c r="J71">
        <v>6.8</v>
      </c>
      <c r="K71">
        <v>6.6</v>
      </c>
      <c r="L71">
        <v>6.6</v>
      </c>
      <c r="M71">
        <v>6.4</v>
      </c>
      <c r="N71">
        <v>6.7</v>
      </c>
      <c r="O71">
        <v>6.7</v>
      </c>
      <c r="P71">
        <v>6.5</v>
      </c>
    </row>
    <row r="72" spans="3:16">
      <c r="C72">
        <v>1978</v>
      </c>
      <c r="D72">
        <v>6.8</v>
      </c>
      <c r="E72">
        <v>6.4</v>
      </c>
      <c r="F72">
        <v>6.6</v>
      </c>
      <c r="G72">
        <v>6.5</v>
      </c>
      <c r="H72">
        <v>7</v>
      </c>
      <c r="I72">
        <v>7.4</v>
      </c>
      <c r="J72">
        <v>7.7</v>
      </c>
      <c r="K72">
        <v>7.8</v>
      </c>
      <c r="L72">
        <v>8.3000000000000007</v>
      </c>
      <c r="M72">
        <v>8.9</v>
      </c>
      <c r="N72">
        <v>8.9</v>
      </c>
      <c r="O72">
        <v>9</v>
      </c>
      <c r="P72">
        <v>7.6</v>
      </c>
    </row>
    <row r="73" spans="3:16">
      <c r="C73">
        <v>1979</v>
      </c>
      <c r="D73">
        <v>9.3000000000000007</v>
      </c>
      <c r="E73">
        <v>9.9</v>
      </c>
      <c r="F73">
        <v>10.1</v>
      </c>
      <c r="G73">
        <v>10.5</v>
      </c>
      <c r="H73">
        <v>10.9</v>
      </c>
      <c r="I73">
        <v>10.9</v>
      </c>
      <c r="J73">
        <v>11.3</v>
      </c>
      <c r="K73">
        <v>11.8</v>
      </c>
      <c r="L73">
        <v>12.2</v>
      </c>
      <c r="M73">
        <v>12.1</v>
      </c>
      <c r="N73">
        <v>12.6</v>
      </c>
      <c r="O73">
        <v>13.3</v>
      </c>
      <c r="P73">
        <v>11.3</v>
      </c>
    </row>
    <row r="74" spans="3:16">
      <c r="C74">
        <v>1980</v>
      </c>
      <c r="D74">
        <v>13.9</v>
      </c>
      <c r="E74">
        <v>14.2</v>
      </c>
      <c r="F74">
        <v>14.8</v>
      </c>
      <c r="G74">
        <v>14.7</v>
      </c>
      <c r="H74">
        <v>14.4</v>
      </c>
      <c r="I74">
        <v>14.4</v>
      </c>
      <c r="J74">
        <v>13.1</v>
      </c>
      <c r="K74">
        <v>12.9</v>
      </c>
      <c r="L74">
        <v>12.6</v>
      </c>
      <c r="M74">
        <v>12.8</v>
      </c>
      <c r="N74">
        <v>12.6</v>
      </c>
      <c r="O74">
        <v>12.5</v>
      </c>
      <c r="P74">
        <v>13.5</v>
      </c>
    </row>
    <row r="75" spans="3:16">
      <c r="C75">
        <v>1981</v>
      </c>
      <c r="D75">
        <v>11.8</v>
      </c>
      <c r="E75">
        <v>11.4</v>
      </c>
      <c r="F75">
        <v>10.5</v>
      </c>
      <c r="G75">
        <v>10</v>
      </c>
      <c r="H75">
        <v>9.8000000000000007</v>
      </c>
      <c r="I75">
        <v>9.6</v>
      </c>
      <c r="J75">
        <v>10.8</v>
      </c>
      <c r="K75">
        <v>10.8</v>
      </c>
      <c r="L75">
        <v>11</v>
      </c>
      <c r="M75">
        <v>10.1</v>
      </c>
      <c r="N75">
        <v>9.6</v>
      </c>
      <c r="O75">
        <v>8.9</v>
      </c>
      <c r="P75">
        <v>10.3</v>
      </c>
    </row>
    <row r="76" spans="3:16">
      <c r="C76">
        <v>1982</v>
      </c>
      <c r="D76">
        <v>8.4</v>
      </c>
      <c r="E76">
        <v>7.6</v>
      </c>
      <c r="F76">
        <v>6.8</v>
      </c>
      <c r="G76">
        <v>6.5</v>
      </c>
      <c r="H76">
        <v>6.7</v>
      </c>
      <c r="I76">
        <v>7.1</v>
      </c>
      <c r="J76">
        <v>6.4</v>
      </c>
      <c r="K76">
        <v>5.9</v>
      </c>
      <c r="L76">
        <v>5</v>
      </c>
      <c r="M76">
        <v>5.0999999999999996</v>
      </c>
      <c r="N76">
        <v>4.5999999999999996</v>
      </c>
      <c r="O76">
        <v>3.8</v>
      </c>
      <c r="P76">
        <v>6.2</v>
      </c>
    </row>
    <row r="77" spans="3:16">
      <c r="C77">
        <v>1983</v>
      </c>
      <c r="D77">
        <v>3.7</v>
      </c>
      <c r="E77">
        <v>3.5</v>
      </c>
      <c r="F77">
        <v>3.6</v>
      </c>
      <c r="G77">
        <v>3.9</v>
      </c>
      <c r="H77">
        <v>3.5</v>
      </c>
      <c r="I77">
        <v>2.6</v>
      </c>
      <c r="J77">
        <v>2.5</v>
      </c>
      <c r="K77">
        <v>2.6</v>
      </c>
      <c r="L77">
        <v>2.9</v>
      </c>
      <c r="M77">
        <v>2.9</v>
      </c>
      <c r="N77">
        <v>3.3</v>
      </c>
      <c r="O77">
        <v>3.8</v>
      </c>
      <c r="P77">
        <v>3.2</v>
      </c>
    </row>
    <row r="78" spans="3:16">
      <c r="C78">
        <v>1984</v>
      </c>
      <c r="D78">
        <v>4.2</v>
      </c>
      <c r="E78">
        <v>4.5999999999999996</v>
      </c>
      <c r="F78">
        <v>4.8</v>
      </c>
      <c r="G78">
        <v>4.5999999999999996</v>
      </c>
      <c r="H78">
        <v>4.2</v>
      </c>
      <c r="I78">
        <v>4.2</v>
      </c>
      <c r="J78">
        <v>4.2</v>
      </c>
      <c r="K78">
        <v>4.3</v>
      </c>
      <c r="L78">
        <v>4.3</v>
      </c>
      <c r="M78">
        <v>4.3</v>
      </c>
      <c r="N78">
        <v>4.0999999999999996</v>
      </c>
      <c r="O78">
        <v>3.9</v>
      </c>
      <c r="P78">
        <v>4.3</v>
      </c>
    </row>
    <row r="79" spans="3:16">
      <c r="C79">
        <v>1985</v>
      </c>
      <c r="D79">
        <v>3.5</v>
      </c>
      <c r="E79">
        <v>3.5</v>
      </c>
      <c r="F79">
        <v>3.7</v>
      </c>
      <c r="G79">
        <v>3.7</v>
      </c>
      <c r="H79">
        <v>3.8</v>
      </c>
      <c r="I79">
        <v>3.8</v>
      </c>
      <c r="J79">
        <v>3.6</v>
      </c>
      <c r="K79">
        <v>3.3</v>
      </c>
      <c r="L79">
        <v>3.1</v>
      </c>
      <c r="M79">
        <v>3.2</v>
      </c>
      <c r="N79">
        <v>3.5</v>
      </c>
      <c r="O79">
        <v>3.8</v>
      </c>
      <c r="P79">
        <v>3.6</v>
      </c>
    </row>
    <row r="80" spans="3:16">
      <c r="C80">
        <v>1986</v>
      </c>
      <c r="D80">
        <v>3.9</v>
      </c>
      <c r="E80">
        <v>3.1</v>
      </c>
      <c r="F80">
        <v>2.2999999999999998</v>
      </c>
      <c r="G80">
        <v>1.6</v>
      </c>
      <c r="H80">
        <v>1.5</v>
      </c>
      <c r="I80">
        <v>1.8</v>
      </c>
      <c r="J80">
        <v>1.6</v>
      </c>
      <c r="K80">
        <v>1.6</v>
      </c>
      <c r="L80">
        <v>1.8</v>
      </c>
      <c r="M80">
        <v>1.5</v>
      </c>
      <c r="N80">
        <v>1.3</v>
      </c>
      <c r="O80">
        <v>1.1000000000000001</v>
      </c>
      <c r="P80">
        <v>1.9</v>
      </c>
    </row>
    <row r="81" spans="3:16">
      <c r="C81">
        <v>1987</v>
      </c>
      <c r="D81">
        <v>1.5</v>
      </c>
      <c r="E81">
        <v>2.1</v>
      </c>
      <c r="F81">
        <v>3</v>
      </c>
      <c r="G81">
        <v>3.8</v>
      </c>
      <c r="H81">
        <v>3.9</v>
      </c>
      <c r="I81">
        <v>3.7</v>
      </c>
      <c r="J81">
        <v>3.9</v>
      </c>
      <c r="K81">
        <v>4.3</v>
      </c>
      <c r="L81">
        <v>4.4000000000000004</v>
      </c>
      <c r="M81">
        <v>4.5</v>
      </c>
      <c r="N81">
        <v>4.5</v>
      </c>
      <c r="O81">
        <v>4.4000000000000004</v>
      </c>
      <c r="P81">
        <v>3.6</v>
      </c>
    </row>
    <row r="82" spans="3:16">
      <c r="C82">
        <v>1988</v>
      </c>
      <c r="D82">
        <v>4</v>
      </c>
      <c r="E82">
        <v>3.9</v>
      </c>
      <c r="F82">
        <v>3.9</v>
      </c>
      <c r="G82">
        <v>3.9</v>
      </c>
      <c r="H82">
        <v>3.9</v>
      </c>
      <c r="I82">
        <v>4</v>
      </c>
      <c r="J82">
        <v>4.0999999999999996</v>
      </c>
      <c r="K82">
        <v>4</v>
      </c>
      <c r="L82">
        <v>4.2</v>
      </c>
      <c r="M82">
        <v>4.2</v>
      </c>
      <c r="N82">
        <v>4.2</v>
      </c>
      <c r="O82">
        <v>4.4000000000000004</v>
      </c>
      <c r="P82">
        <v>4.0999999999999996</v>
      </c>
    </row>
    <row r="83" spans="3:16">
      <c r="C83">
        <v>1989</v>
      </c>
      <c r="D83">
        <v>4.7</v>
      </c>
      <c r="E83">
        <v>4.8</v>
      </c>
      <c r="F83">
        <v>5</v>
      </c>
      <c r="G83">
        <v>5.0999999999999996</v>
      </c>
      <c r="H83">
        <v>5.4</v>
      </c>
      <c r="I83">
        <v>5.2</v>
      </c>
      <c r="J83">
        <v>5</v>
      </c>
      <c r="K83">
        <v>4.7</v>
      </c>
      <c r="L83">
        <v>4.3</v>
      </c>
      <c r="M83">
        <v>4.5</v>
      </c>
      <c r="N83">
        <v>4.7</v>
      </c>
      <c r="O83">
        <v>4.5999999999999996</v>
      </c>
      <c r="P83">
        <v>4.8</v>
      </c>
    </row>
    <row r="84" spans="3:16">
      <c r="C84">
        <v>1990</v>
      </c>
      <c r="D84">
        <v>5.2</v>
      </c>
      <c r="E84">
        <v>5.3</v>
      </c>
      <c r="F84">
        <v>5.2</v>
      </c>
      <c r="G84">
        <v>4.7</v>
      </c>
      <c r="H84">
        <v>4.4000000000000004</v>
      </c>
      <c r="I84">
        <v>4.7</v>
      </c>
      <c r="J84">
        <v>4.8</v>
      </c>
      <c r="K84">
        <v>5.6</v>
      </c>
      <c r="L84">
        <v>6.2</v>
      </c>
      <c r="M84">
        <v>6.3</v>
      </c>
      <c r="N84">
        <v>6.3</v>
      </c>
      <c r="O84">
        <v>6.1</v>
      </c>
      <c r="P84">
        <v>5.4</v>
      </c>
    </row>
    <row r="85" spans="3:16">
      <c r="C85">
        <v>1991</v>
      </c>
      <c r="D85">
        <v>5.7</v>
      </c>
      <c r="E85">
        <v>5.3</v>
      </c>
      <c r="F85">
        <v>4.9000000000000004</v>
      </c>
      <c r="G85">
        <v>4.9000000000000004</v>
      </c>
      <c r="H85">
        <v>5</v>
      </c>
      <c r="I85">
        <v>4.7</v>
      </c>
      <c r="J85">
        <v>4.4000000000000004</v>
      </c>
      <c r="K85">
        <v>3.8</v>
      </c>
      <c r="L85">
        <v>3.4</v>
      </c>
      <c r="M85">
        <v>2.9</v>
      </c>
      <c r="N85">
        <v>3</v>
      </c>
      <c r="O85">
        <v>3.1</v>
      </c>
      <c r="P85">
        <v>4.2</v>
      </c>
    </row>
    <row r="86" spans="3:16">
      <c r="C86">
        <v>1992</v>
      </c>
      <c r="D86">
        <v>2.6</v>
      </c>
      <c r="E86">
        <v>2.8</v>
      </c>
      <c r="F86">
        <v>3.2</v>
      </c>
      <c r="G86">
        <v>3.2</v>
      </c>
      <c r="H86">
        <v>3</v>
      </c>
      <c r="I86">
        <v>3.1</v>
      </c>
      <c r="J86">
        <v>3.2</v>
      </c>
      <c r="K86">
        <v>3.1</v>
      </c>
      <c r="L86">
        <v>3</v>
      </c>
      <c r="M86">
        <v>3.2</v>
      </c>
      <c r="N86">
        <v>3</v>
      </c>
      <c r="O86">
        <v>2.9</v>
      </c>
      <c r="P86">
        <v>3</v>
      </c>
    </row>
    <row r="87" spans="3:16">
      <c r="C87">
        <v>1993</v>
      </c>
      <c r="D87">
        <v>3.3</v>
      </c>
      <c r="E87">
        <v>3.2</v>
      </c>
      <c r="F87">
        <v>3.1</v>
      </c>
      <c r="G87">
        <v>3.2</v>
      </c>
      <c r="H87">
        <v>3.2</v>
      </c>
      <c r="I87">
        <v>3</v>
      </c>
      <c r="J87">
        <v>2.8</v>
      </c>
      <c r="K87">
        <v>2.8</v>
      </c>
      <c r="L87">
        <v>2.7</v>
      </c>
      <c r="M87">
        <v>2.8</v>
      </c>
      <c r="N87">
        <v>2.7</v>
      </c>
      <c r="O87">
        <v>2.7</v>
      </c>
      <c r="P87">
        <v>3</v>
      </c>
    </row>
    <row r="88" spans="3:16">
      <c r="C88">
        <v>1994</v>
      </c>
      <c r="D88">
        <v>2.5</v>
      </c>
      <c r="E88">
        <v>2.5</v>
      </c>
      <c r="F88">
        <v>2.5</v>
      </c>
      <c r="G88">
        <v>2.4</v>
      </c>
      <c r="H88">
        <v>2.2999999999999998</v>
      </c>
      <c r="I88">
        <v>2.5</v>
      </c>
      <c r="J88">
        <v>2.8</v>
      </c>
      <c r="K88">
        <v>2.9</v>
      </c>
      <c r="L88">
        <v>3</v>
      </c>
      <c r="M88">
        <v>2.6</v>
      </c>
      <c r="N88">
        <v>2.7</v>
      </c>
      <c r="O88">
        <v>2.7</v>
      </c>
      <c r="P88">
        <v>2.6</v>
      </c>
    </row>
    <row r="89" spans="3:16">
      <c r="C89">
        <v>1995</v>
      </c>
      <c r="D89">
        <v>2.8</v>
      </c>
      <c r="E89">
        <v>2.9</v>
      </c>
      <c r="F89">
        <v>2.9</v>
      </c>
      <c r="G89">
        <v>3.1</v>
      </c>
      <c r="H89">
        <v>3.2</v>
      </c>
      <c r="I89">
        <v>3</v>
      </c>
      <c r="J89">
        <v>2.8</v>
      </c>
      <c r="K89">
        <v>2.6</v>
      </c>
      <c r="L89">
        <v>2.5</v>
      </c>
      <c r="M89">
        <v>2.8</v>
      </c>
      <c r="N89">
        <v>2.6</v>
      </c>
      <c r="O89">
        <v>2.5</v>
      </c>
      <c r="P89">
        <v>2.8</v>
      </c>
    </row>
    <row r="90" spans="3:16">
      <c r="C90">
        <v>1996</v>
      </c>
      <c r="D90">
        <v>2.7</v>
      </c>
      <c r="E90">
        <v>2.7</v>
      </c>
      <c r="F90">
        <v>2.8</v>
      </c>
      <c r="G90">
        <v>2.9</v>
      </c>
      <c r="H90">
        <v>2.9</v>
      </c>
      <c r="I90">
        <v>2.8</v>
      </c>
      <c r="J90">
        <v>3</v>
      </c>
      <c r="K90">
        <v>2.9</v>
      </c>
      <c r="L90">
        <v>3</v>
      </c>
      <c r="M90">
        <v>3</v>
      </c>
      <c r="N90">
        <v>3.3</v>
      </c>
      <c r="O90">
        <v>3.3</v>
      </c>
      <c r="P90">
        <v>3</v>
      </c>
    </row>
    <row r="91" spans="3:16">
      <c r="C91">
        <v>1997</v>
      </c>
      <c r="D91">
        <v>3</v>
      </c>
      <c r="E91">
        <v>3</v>
      </c>
      <c r="F91">
        <v>2.8</v>
      </c>
      <c r="G91">
        <v>2.5</v>
      </c>
      <c r="H91">
        <v>2.2000000000000002</v>
      </c>
      <c r="I91">
        <v>2.2999999999999998</v>
      </c>
      <c r="J91">
        <v>2.2000000000000002</v>
      </c>
      <c r="K91">
        <v>2.2000000000000002</v>
      </c>
      <c r="L91">
        <v>2.2000000000000002</v>
      </c>
      <c r="M91">
        <v>2.1</v>
      </c>
      <c r="N91">
        <v>1.8</v>
      </c>
      <c r="O91">
        <v>1.7</v>
      </c>
      <c r="P91">
        <v>2.2999999999999998</v>
      </c>
    </row>
    <row r="92" spans="3:16">
      <c r="C92">
        <v>1998</v>
      </c>
      <c r="D92">
        <v>1.6</v>
      </c>
      <c r="E92">
        <v>1.4</v>
      </c>
      <c r="F92">
        <v>1.4</v>
      </c>
      <c r="G92">
        <v>1.4</v>
      </c>
      <c r="H92">
        <v>1.7</v>
      </c>
      <c r="I92">
        <v>1.7</v>
      </c>
      <c r="J92">
        <v>1.7</v>
      </c>
      <c r="K92">
        <v>1.6</v>
      </c>
      <c r="L92">
        <v>1.5</v>
      </c>
      <c r="M92">
        <v>1.5</v>
      </c>
      <c r="N92">
        <v>1.5</v>
      </c>
      <c r="O92">
        <v>1.6</v>
      </c>
      <c r="P92">
        <v>1.6</v>
      </c>
    </row>
    <row r="93" spans="3:16">
      <c r="C93">
        <v>1999</v>
      </c>
      <c r="D93">
        <v>1.7</v>
      </c>
      <c r="E93">
        <v>1.6</v>
      </c>
      <c r="F93">
        <v>1.7</v>
      </c>
      <c r="G93">
        <v>2.2999999999999998</v>
      </c>
      <c r="H93">
        <v>2.1</v>
      </c>
      <c r="I93">
        <v>2</v>
      </c>
      <c r="J93">
        <v>2.1</v>
      </c>
      <c r="K93">
        <v>2.2999999999999998</v>
      </c>
      <c r="L93">
        <v>2.6</v>
      </c>
      <c r="M93">
        <v>2.6</v>
      </c>
      <c r="N93">
        <v>2.6</v>
      </c>
      <c r="O93">
        <v>2.7</v>
      </c>
      <c r="P93">
        <v>2.2000000000000002</v>
      </c>
    </row>
    <row r="94" spans="3:16">
      <c r="C94">
        <v>2000</v>
      </c>
      <c r="D94">
        <v>2.7</v>
      </c>
      <c r="E94">
        <v>3.2</v>
      </c>
      <c r="F94">
        <v>3.8</v>
      </c>
      <c r="G94">
        <v>3.1</v>
      </c>
      <c r="H94">
        <v>3.2</v>
      </c>
      <c r="I94">
        <v>3.7</v>
      </c>
      <c r="J94">
        <v>3.7</v>
      </c>
      <c r="K94">
        <v>3.4</v>
      </c>
      <c r="L94">
        <v>3.5</v>
      </c>
      <c r="M94">
        <v>3.4</v>
      </c>
      <c r="N94">
        <v>3.4</v>
      </c>
      <c r="O94">
        <v>3.4</v>
      </c>
      <c r="P94">
        <v>3.4</v>
      </c>
    </row>
    <row r="95" spans="3:16">
      <c r="C95">
        <v>2001</v>
      </c>
      <c r="D95">
        <v>3.7</v>
      </c>
      <c r="E95">
        <v>3.5</v>
      </c>
      <c r="F95">
        <v>2.9</v>
      </c>
      <c r="G95">
        <v>3.3</v>
      </c>
      <c r="H95">
        <v>3.6</v>
      </c>
      <c r="I95">
        <v>3.2</v>
      </c>
      <c r="J95">
        <v>2.7</v>
      </c>
      <c r="K95">
        <v>2.7</v>
      </c>
      <c r="L95">
        <v>2.6</v>
      </c>
      <c r="M95">
        <v>2.1</v>
      </c>
      <c r="N95">
        <v>1.9</v>
      </c>
      <c r="O95">
        <v>1.6</v>
      </c>
      <c r="P95">
        <v>2.8</v>
      </c>
    </row>
    <row r="96" spans="3:16">
      <c r="C96">
        <v>2002</v>
      </c>
      <c r="D96">
        <v>1.1000000000000001</v>
      </c>
      <c r="E96">
        <v>1.1000000000000001</v>
      </c>
      <c r="F96">
        <v>1.5</v>
      </c>
      <c r="G96">
        <v>1.6</v>
      </c>
      <c r="H96">
        <v>1.2</v>
      </c>
      <c r="I96">
        <v>1.1000000000000001</v>
      </c>
      <c r="J96">
        <v>1.5</v>
      </c>
      <c r="K96">
        <v>1.8</v>
      </c>
      <c r="L96">
        <v>1.5</v>
      </c>
      <c r="M96">
        <v>2</v>
      </c>
      <c r="N96">
        <v>2.2000000000000002</v>
      </c>
      <c r="O96">
        <v>2.4</v>
      </c>
      <c r="P96">
        <v>1.6</v>
      </c>
    </row>
    <row r="97" spans="3:16">
      <c r="C97">
        <v>2003</v>
      </c>
      <c r="D97">
        <v>2.6</v>
      </c>
      <c r="E97">
        <v>3</v>
      </c>
      <c r="F97">
        <v>3</v>
      </c>
      <c r="G97">
        <v>2.2000000000000002</v>
      </c>
      <c r="H97">
        <v>2.1</v>
      </c>
      <c r="I97">
        <v>2.1</v>
      </c>
      <c r="J97">
        <v>2.1</v>
      </c>
      <c r="K97">
        <v>2.2000000000000002</v>
      </c>
      <c r="L97">
        <v>2.2999999999999998</v>
      </c>
      <c r="M97">
        <v>2</v>
      </c>
      <c r="N97">
        <v>1.8</v>
      </c>
      <c r="O97">
        <v>1.9</v>
      </c>
      <c r="P97">
        <v>2.2999999999999998</v>
      </c>
    </row>
    <row r="98" spans="3:16">
      <c r="C98">
        <v>2004</v>
      </c>
      <c r="D98">
        <v>1.9</v>
      </c>
      <c r="E98">
        <v>1.7</v>
      </c>
      <c r="F98">
        <v>1.7</v>
      </c>
      <c r="G98">
        <v>2.2999999999999998</v>
      </c>
      <c r="H98">
        <v>3.1</v>
      </c>
      <c r="I98">
        <v>3.3</v>
      </c>
      <c r="J98">
        <v>3</v>
      </c>
      <c r="K98">
        <v>2.7</v>
      </c>
      <c r="L98">
        <v>2.5</v>
      </c>
      <c r="M98">
        <v>3.2</v>
      </c>
      <c r="N98">
        <v>3.5</v>
      </c>
      <c r="O98">
        <v>3.3</v>
      </c>
      <c r="P98">
        <v>2.7</v>
      </c>
    </row>
    <row r="99" spans="3:16">
      <c r="C99">
        <v>2005</v>
      </c>
      <c r="D99">
        <v>3</v>
      </c>
      <c r="E99">
        <v>3</v>
      </c>
      <c r="F99">
        <v>3.1</v>
      </c>
      <c r="G99">
        <v>3.5</v>
      </c>
      <c r="H99">
        <v>2.8</v>
      </c>
      <c r="I99">
        <v>2.5</v>
      </c>
      <c r="J99">
        <v>3.2</v>
      </c>
      <c r="K99">
        <v>3.6</v>
      </c>
      <c r="L99">
        <v>4.7</v>
      </c>
      <c r="M99">
        <v>4.3</v>
      </c>
      <c r="N99">
        <v>3.5</v>
      </c>
      <c r="O99">
        <v>3.4</v>
      </c>
      <c r="P99">
        <v>3.4</v>
      </c>
    </row>
    <row r="100" spans="3:16">
      <c r="C100">
        <v>2006</v>
      </c>
      <c r="D100">
        <v>4</v>
      </c>
      <c r="E100">
        <v>3.6</v>
      </c>
      <c r="F100">
        <v>3.4</v>
      </c>
      <c r="G100">
        <v>3.5</v>
      </c>
      <c r="H100">
        <v>4.2</v>
      </c>
      <c r="I100">
        <v>4.3</v>
      </c>
      <c r="J100">
        <v>4.0999999999999996</v>
      </c>
      <c r="K100">
        <v>3.8</v>
      </c>
      <c r="L100">
        <v>2.1</v>
      </c>
      <c r="M100">
        <v>1.3</v>
      </c>
      <c r="N100">
        <v>2</v>
      </c>
      <c r="O100">
        <v>2.5</v>
      </c>
      <c r="P100">
        <v>3.2</v>
      </c>
    </row>
    <row r="101" spans="3:16">
      <c r="C101">
        <v>2007</v>
      </c>
      <c r="D101">
        <v>2.1</v>
      </c>
      <c r="E101">
        <v>2.4</v>
      </c>
      <c r="F101">
        <v>2.8</v>
      </c>
      <c r="G101">
        <v>2.6</v>
      </c>
      <c r="H101">
        <v>2.7</v>
      </c>
      <c r="I101">
        <v>2.7</v>
      </c>
      <c r="J101">
        <v>2.4</v>
      </c>
      <c r="K101">
        <v>2</v>
      </c>
      <c r="L101">
        <v>2.8</v>
      </c>
      <c r="M101">
        <v>3.5</v>
      </c>
      <c r="N101">
        <v>4.3</v>
      </c>
      <c r="O101">
        <v>4.0999999999999996</v>
      </c>
      <c r="P101">
        <v>2.8</v>
      </c>
    </row>
    <row r="102" spans="3:16">
      <c r="C102">
        <v>2008</v>
      </c>
      <c r="D102">
        <v>4.3</v>
      </c>
      <c r="E102">
        <v>4</v>
      </c>
      <c r="F102">
        <v>4</v>
      </c>
      <c r="G102">
        <v>3.9</v>
      </c>
      <c r="H102">
        <v>4.2</v>
      </c>
      <c r="I102">
        <v>5</v>
      </c>
      <c r="J102">
        <v>5.6</v>
      </c>
      <c r="K102">
        <v>5.4</v>
      </c>
      <c r="L102">
        <v>4.9000000000000004</v>
      </c>
      <c r="M102">
        <v>3.7</v>
      </c>
      <c r="N102">
        <v>1.1000000000000001</v>
      </c>
      <c r="O102">
        <v>0.1</v>
      </c>
      <c r="P102">
        <v>3.8</v>
      </c>
    </row>
    <row r="103" spans="3:16">
      <c r="C103">
        <v>2009</v>
      </c>
      <c r="D103">
        <v>0</v>
      </c>
      <c r="E103">
        <v>0.2</v>
      </c>
      <c r="F103">
        <v>-0.4</v>
      </c>
      <c r="G103">
        <v>-0.7</v>
      </c>
      <c r="H103">
        <v>-1.3</v>
      </c>
      <c r="I103">
        <v>-1.4</v>
      </c>
      <c r="J103">
        <v>-2.1</v>
      </c>
      <c r="K103">
        <v>-1.5</v>
      </c>
      <c r="L103">
        <v>-1.3</v>
      </c>
      <c r="M103">
        <v>-0.2</v>
      </c>
      <c r="N103">
        <v>1.8</v>
      </c>
      <c r="O103">
        <v>2.7</v>
      </c>
      <c r="P103">
        <v>-0.4</v>
      </c>
    </row>
    <row r="104" spans="3:16">
      <c r="C104">
        <v>2010</v>
      </c>
      <c r="D104">
        <v>2.6</v>
      </c>
      <c r="E104">
        <v>2.1</v>
      </c>
      <c r="F104">
        <v>2.2999999999999998</v>
      </c>
      <c r="G104">
        <v>2.2000000000000002</v>
      </c>
      <c r="H104">
        <v>2</v>
      </c>
      <c r="I104">
        <v>1.1000000000000001</v>
      </c>
      <c r="J104">
        <v>1.2</v>
      </c>
      <c r="K104">
        <v>1.1000000000000001</v>
      </c>
      <c r="L104">
        <v>1.1000000000000001</v>
      </c>
      <c r="M104">
        <v>1.2</v>
      </c>
      <c r="N104">
        <v>1.1000000000000001</v>
      </c>
      <c r="O104">
        <v>1.5</v>
      </c>
      <c r="P104">
        <v>1.6</v>
      </c>
    </row>
    <row r="105" spans="3:16">
      <c r="C105">
        <v>2011</v>
      </c>
      <c r="D105">
        <v>1.6</v>
      </c>
      <c r="E105">
        <v>2.1</v>
      </c>
      <c r="F105">
        <v>2.7</v>
      </c>
      <c r="G105">
        <v>3.2</v>
      </c>
      <c r="H105">
        <v>3.6</v>
      </c>
      <c r="I105">
        <v>3.6</v>
      </c>
      <c r="J105">
        <v>3.6</v>
      </c>
      <c r="K105">
        <v>3.8</v>
      </c>
      <c r="L105">
        <v>3.9</v>
      </c>
      <c r="M105">
        <v>3.5</v>
      </c>
      <c r="N105">
        <v>3.4</v>
      </c>
      <c r="O105">
        <v>3</v>
      </c>
      <c r="P105">
        <v>3.2</v>
      </c>
    </row>
    <row r="106" spans="3:16">
      <c r="C106">
        <v>2012</v>
      </c>
      <c r="D106">
        <v>2.9</v>
      </c>
      <c r="E106">
        <v>2.9</v>
      </c>
      <c r="F106">
        <v>2.7</v>
      </c>
      <c r="G106">
        <v>2.2999999999999998</v>
      </c>
      <c r="H106">
        <v>1.7</v>
      </c>
      <c r="I106">
        <v>1.7</v>
      </c>
      <c r="J106">
        <v>1.4</v>
      </c>
      <c r="K106">
        <v>1.7</v>
      </c>
      <c r="L106">
        <v>2</v>
      </c>
      <c r="M106">
        <v>2.2000000000000002</v>
      </c>
      <c r="N106">
        <v>1.8</v>
      </c>
      <c r="O106">
        <v>1.7</v>
      </c>
      <c r="P106">
        <v>2.1</v>
      </c>
    </row>
    <row r="107" spans="3:16">
      <c r="C107">
        <v>2013</v>
      </c>
      <c r="D107">
        <v>1.6</v>
      </c>
      <c r="E107">
        <v>2</v>
      </c>
      <c r="F107">
        <v>1.5</v>
      </c>
      <c r="G107">
        <v>1.1000000000000001</v>
      </c>
      <c r="H107">
        <v>1.4</v>
      </c>
      <c r="I107">
        <v>1.8</v>
      </c>
      <c r="J107">
        <v>2</v>
      </c>
      <c r="K107">
        <v>1.5</v>
      </c>
      <c r="L107">
        <v>1.2</v>
      </c>
      <c r="M107">
        <v>1</v>
      </c>
      <c r="N107">
        <v>1.2</v>
      </c>
      <c r="O107">
        <v>1.5</v>
      </c>
      <c r="P107">
        <v>1.5</v>
      </c>
    </row>
    <row r="108" spans="3:16">
      <c r="C108">
        <v>2014</v>
      </c>
      <c r="D108">
        <v>1.6</v>
      </c>
      <c r="E108">
        <v>1.1000000000000001</v>
      </c>
      <c r="F108">
        <v>1.5</v>
      </c>
      <c r="G108">
        <v>2</v>
      </c>
      <c r="H108">
        <v>2.1</v>
      </c>
      <c r="I108">
        <v>2.1</v>
      </c>
      <c r="J108">
        <v>2</v>
      </c>
      <c r="K108">
        <v>1.7</v>
      </c>
      <c r="L108">
        <v>1.7</v>
      </c>
      <c r="M108">
        <v>1.7</v>
      </c>
      <c r="N108">
        <v>1.3</v>
      </c>
      <c r="O108">
        <v>0.8</v>
      </c>
      <c r="P108">
        <v>1.6</v>
      </c>
    </row>
    <row r="109" spans="3:16">
      <c r="C109">
        <v>2015</v>
      </c>
      <c r="D109">
        <v>-0.1</v>
      </c>
      <c r="E109">
        <v>0</v>
      </c>
      <c r="F109">
        <v>-0.1</v>
      </c>
      <c r="G109">
        <v>-0.2</v>
      </c>
      <c r="H109">
        <v>0</v>
      </c>
      <c r="I109">
        <v>0.1</v>
      </c>
      <c r="J109">
        <v>0.2</v>
      </c>
      <c r="K109">
        <v>0.2</v>
      </c>
      <c r="L109">
        <v>0</v>
      </c>
      <c r="M109">
        <v>0.2</v>
      </c>
      <c r="N109">
        <v>0.5</v>
      </c>
      <c r="O109">
        <v>0.7</v>
      </c>
      <c r="P109">
        <v>0.1</v>
      </c>
    </row>
    <row r="110" spans="3:16">
      <c r="C110">
        <v>2016</v>
      </c>
      <c r="D110">
        <v>1.4</v>
      </c>
      <c r="E110">
        <v>1</v>
      </c>
      <c r="F110">
        <v>0.9</v>
      </c>
      <c r="G110">
        <v>1.1000000000000001</v>
      </c>
      <c r="H110">
        <v>1</v>
      </c>
      <c r="I110">
        <v>1</v>
      </c>
      <c r="J110">
        <v>0.8</v>
      </c>
      <c r="K110">
        <v>1.1000000000000001</v>
      </c>
      <c r="L110">
        <v>1.5</v>
      </c>
      <c r="M110">
        <v>1.6</v>
      </c>
      <c r="N110">
        <v>1.7</v>
      </c>
      <c r="O110">
        <v>2.1</v>
      </c>
      <c r="P110">
        <v>1.3</v>
      </c>
    </row>
    <row r="111" spans="3:16">
      <c r="C111">
        <v>2017</v>
      </c>
      <c r="D111">
        <v>2.5</v>
      </c>
      <c r="E111">
        <v>2.7</v>
      </c>
      <c r="F111">
        <v>2.4</v>
      </c>
      <c r="G111">
        <v>2.2000000000000002</v>
      </c>
      <c r="H111">
        <v>1.9</v>
      </c>
      <c r="I111">
        <v>1.6</v>
      </c>
      <c r="J111">
        <v>1.7</v>
      </c>
      <c r="K111">
        <v>1.9</v>
      </c>
      <c r="L111">
        <v>2.2000000000000002</v>
      </c>
      <c r="M111">
        <v>2</v>
      </c>
      <c r="N111">
        <v>2.2000000000000002</v>
      </c>
      <c r="O111">
        <v>2.1</v>
      </c>
      <c r="P111">
        <v>2.1</v>
      </c>
    </row>
    <row r="112" spans="3:16">
      <c r="C112">
        <v>2018</v>
      </c>
      <c r="D112">
        <v>2.1</v>
      </c>
      <c r="E112">
        <v>2.2000000000000002</v>
      </c>
      <c r="F112">
        <v>2.4</v>
      </c>
      <c r="G112">
        <v>2.5</v>
      </c>
      <c r="H112">
        <v>2.8</v>
      </c>
      <c r="I112">
        <v>2.9</v>
      </c>
      <c r="J112">
        <v>2.9</v>
      </c>
      <c r="K112">
        <v>2.7</v>
      </c>
      <c r="L112">
        <v>2.2999999999999998</v>
      </c>
      <c r="M112">
        <v>2.5</v>
      </c>
      <c r="N112">
        <v>2.2000000000000002</v>
      </c>
      <c r="O112">
        <v>1.9</v>
      </c>
      <c r="P112">
        <v>2.4</v>
      </c>
    </row>
    <row r="113" spans="3:16">
      <c r="C113">
        <v>2019</v>
      </c>
      <c r="D113">
        <v>1.6</v>
      </c>
      <c r="E113">
        <v>1.5</v>
      </c>
      <c r="F113">
        <v>1.9</v>
      </c>
      <c r="G113">
        <v>2</v>
      </c>
      <c r="H113">
        <v>1.8</v>
      </c>
      <c r="I113">
        <v>1.6</v>
      </c>
      <c r="J113">
        <v>1.8</v>
      </c>
      <c r="K113">
        <v>1.7</v>
      </c>
      <c r="L113">
        <v>1.7</v>
      </c>
      <c r="M113">
        <v>1.8</v>
      </c>
      <c r="N113">
        <v>2.1</v>
      </c>
      <c r="O113">
        <v>2.2999999999999998</v>
      </c>
      <c r="P113">
        <v>1.8</v>
      </c>
    </row>
    <row r="114" spans="3:16">
      <c r="C114">
        <v>2020</v>
      </c>
      <c r="D114">
        <v>2.5</v>
      </c>
      <c r="E114">
        <v>2.2999999999999998</v>
      </c>
      <c r="F114">
        <v>1.5</v>
      </c>
      <c r="G114">
        <v>0.3</v>
      </c>
      <c r="H114">
        <v>0.1</v>
      </c>
      <c r="I114">
        <v>0.6</v>
      </c>
      <c r="J114">
        <v>1</v>
      </c>
      <c r="K114">
        <v>1.3</v>
      </c>
      <c r="L114">
        <v>1.4</v>
      </c>
      <c r="M114">
        <v>1.2</v>
      </c>
      <c r="N114">
        <v>1.2</v>
      </c>
      <c r="O114">
        <v>1.4</v>
      </c>
      <c r="P114">
        <v>1.2</v>
      </c>
    </row>
    <row r="115" spans="3:16">
      <c r="C115">
        <v>2021</v>
      </c>
      <c r="D115">
        <v>1.4</v>
      </c>
      <c r="E115">
        <v>1.7</v>
      </c>
      <c r="F115">
        <v>2.6</v>
      </c>
      <c r="G115">
        <v>4.2</v>
      </c>
      <c r="H115">
        <v>5</v>
      </c>
      <c r="I115">
        <v>5.4</v>
      </c>
      <c r="J115">
        <v>5.4</v>
      </c>
      <c r="K115">
        <v>5.3</v>
      </c>
      <c r="L115">
        <v>5.4</v>
      </c>
      <c r="M115">
        <v>6.2</v>
      </c>
      <c r="N115">
        <v>6.8</v>
      </c>
      <c r="O115">
        <v>7</v>
      </c>
      <c r="P115">
        <v>4.7</v>
      </c>
    </row>
    <row r="116" spans="3:16">
      <c r="C116">
        <v>2022</v>
      </c>
      <c r="D116">
        <v>7.5</v>
      </c>
      <c r="E116">
        <v>7.9</v>
      </c>
      <c r="F116">
        <v>8.5</v>
      </c>
      <c r="G116">
        <v>8.3000000000000007</v>
      </c>
      <c r="H116">
        <v>8.6</v>
      </c>
      <c r="I116">
        <v>9.1</v>
      </c>
      <c r="J116">
        <v>8.5</v>
      </c>
      <c r="K116">
        <v>8.3000000000000007</v>
      </c>
      <c r="L116">
        <v>8.1999999999999993</v>
      </c>
      <c r="M116">
        <v>7.7</v>
      </c>
      <c r="N116">
        <v>7.1</v>
      </c>
      <c r="O116">
        <v>6.5</v>
      </c>
      <c r="P116">
        <v>8</v>
      </c>
    </row>
    <row r="117" spans="3:16">
      <c r="C117">
        <v>2023</v>
      </c>
      <c r="D117">
        <v>6.4</v>
      </c>
      <c r="E117">
        <v>6</v>
      </c>
      <c r="F117">
        <v>5</v>
      </c>
      <c r="G117">
        <v>4.9000000000000004</v>
      </c>
      <c r="H117">
        <v>4</v>
      </c>
      <c r="I117">
        <v>3</v>
      </c>
      <c r="J117">
        <v>3.2</v>
      </c>
      <c r="K117">
        <v>3.7</v>
      </c>
      <c r="L117">
        <v>3.7</v>
      </c>
      <c r="M117">
        <v>3.2</v>
      </c>
      <c r="N117">
        <v>3.1</v>
      </c>
      <c r="O117">
        <v>3.4</v>
      </c>
      <c r="P117">
        <v>4.0999999999999996</v>
      </c>
    </row>
    <row r="118" spans="3:16">
      <c r="C118">
        <v>2024</v>
      </c>
      <c r="D118">
        <v>3.1</v>
      </c>
      <c r="E118">
        <v>3.2</v>
      </c>
      <c r="F118">
        <v>3.5</v>
      </c>
      <c r="G118">
        <v>3.4</v>
      </c>
      <c r="H118">
        <v>3.3</v>
      </c>
      <c r="I118">
        <v>3</v>
      </c>
      <c r="J118">
        <v>2.9</v>
      </c>
      <c r="K118">
        <v>2.5</v>
      </c>
      <c r="L118">
        <v>2.4</v>
      </c>
      <c r="M118">
        <v>2.6</v>
      </c>
      <c r="N118">
        <v>2.7</v>
      </c>
      <c r="O118">
        <v>2.9</v>
      </c>
      <c r="P118">
        <v>2.9</v>
      </c>
    </row>
    <row r="119" spans="3:16">
      <c r="C119">
        <v>2025</v>
      </c>
      <c r="D119">
        <v>3</v>
      </c>
      <c r="E119">
        <v>2.8</v>
      </c>
      <c r="F119">
        <v>2.4</v>
      </c>
      <c r="G119">
        <v>2.2999999999999998</v>
      </c>
      <c r="H119">
        <v>2.4</v>
      </c>
      <c r="I119">
        <v>2.7</v>
      </c>
      <c r="J119">
        <v>2.7</v>
      </c>
      <c r="K119">
        <v>2.9</v>
      </c>
      <c r="L119">
        <v>3</v>
      </c>
      <c r="M119" t="s">
        <v>187</v>
      </c>
      <c r="N119">
        <v>2.7</v>
      </c>
      <c r="O119" t="s">
        <v>188</v>
      </c>
    </row>
    <row r="120" spans="3:16">
      <c r="O120" t="s">
        <v>189</v>
      </c>
    </row>
    <row r="121" spans="3:16">
      <c r="O121">
        <v>13</v>
      </c>
    </row>
    <row r="123" spans="3:16">
      <c r="P123" s="1">
        <f>(SUM(P8:P118)/111)/100</f>
        <v>3.2639639639639652E-2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DF26-3759-4CF6-9CAD-1A9069873235}">
  <dimension ref="B3:E9"/>
  <sheetViews>
    <sheetView workbookViewId="0">
      <selection activeCell="D7" sqref="D7"/>
    </sheetView>
  </sheetViews>
  <sheetFormatPr defaultRowHeight="15"/>
  <cols>
    <col min="2" max="2" width="12.140625" customWidth="1"/>
  </cols>
  <sheetData>
    <row r="3" spans="2:5">
      <c r="B3" t="s">
        <v>208</v>
      </c>
    </row>
    <row r="5" spans="2:5" ht="30">
      <c r="B5" t="s">
        <v>209</v>
      </c>
      <c r="C5" t="s">
        <v>210</v>
      </c>
      <c r="D5" s="144" t="s">
        <v>211</v>
      </c>
      <c r="E5" t="s">
        <v>212</v>
      </c>
    </row>
    <row r="6" spans="2:5">
      <c r="B6">
        <v>1000</v>
      </c>
      <c r="C6">
        <v>5</v>
      </c>
      <c r="D6" s="1">
        <v>3.2599999999999997E-2</v>
      </c>
      <c r="E6" s="2">
        <f>PV(D6,C6,B6,B6)</f>
        <v>-5397.7097921857458</v>
      </c>
    </row>
    <row r="9" spans="2:5">
      <c r="C9">
        <f>B6/(1+D6)^C6</f>
        <v>851.80345335408799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8DC1-A959-4ED5-ADA9-B2629135E3B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B089-4BC7-4BB8-99F9-931B8C639A33}">
  <dimension ref="A1:I4"/>
  <sheetViews>
    <sheetView workbookViewId="0">
      <selection activeCell="C4" sqref="C4"/>
    </sheetView>
  </sheetViews>
  <sheetFormatPr defaultRowHeight="15"/>
  <cols>
    <col min="8" max="8" width="13.7109375" customWidth="1"/>
  </cols>
  <sheetData>
    <row r="1" spans="1:9">
      <c r="A1" t="s">
        <v>5</v>
      </c>
    </row>
    <row r="3" spans="1:9">
      <c r="B3" t="s">
        <v>25</v>
      </c>
      <c r="C3" t="s">
        <v>26</v>
      </c>
      <c r="D3" t="s">
        <v>27</v>
      </c>
      <c r="E3" t="s">
        <v>28</v>
      </c>
      <c r="H3" t="s">
        <v>29</v>
      </c>
    </row>
    <row r="4" spans="1:9">
      <c r="B4">
        <f>Cpi_index_inflation_montly_1925!E1154</f>
        <v>261.58199999999999</v>
      </c>
      <c r="C4">
        <f>Cpi_index_inflation_montly_1925!E1166</f>
        <v>281.14800000000002</v>
      </c>
      <c r="D4">
        <f>B4/C4</f>
        <v>0.93040676085193552</v>
      </c>
      <c r="E4">
        <v>1000</v>
      </c>
      <c r="F4">
        <f>E4*D4</f>
        <v>930.40676085193547</v>
      </c>
      <c r="H4">
        <f>C4/B4</f>
        <v>1.0747987246828912</v>
      </c>
      <c r="I4">
        <f>E4*H4</f>
        <v>1074.7987246828911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B5C3-ECE4-4F26-B485-C8D49E265BCF}">
  <dimension ref="C2:F54"/>
  <sheetViews>
    <sheetView workbookViewId="0">
      <selection activeCell="H53" sqref="H53"/>
    </sheetView>
  </sheetViews>
  <sheetFormatPr defaultRowHeight="15"/>
  <cols>
    <col min="3" max="3" width="16" customWidth="1"/>
    <col min="4" max="4" width="13.28515625" customWidth="1"/>
    <col min="5" max="5" width="22.140625" customWidth="1"/>
    <col min="6" max="6" width="12.140625" customWidth="1"/>
    <col min="8" max="8" width="8.85546875" customWidth="1"/>
  </cols>
  <sheetData>
    <row r="2" spans="3:6" ht="25.5">
      <c r="C2" s="6" t="s">
        <v>30</v>
      </c>
      <c r="D2" s="6" t="s">
        <v>31</v>
      </c>
      <c r="E2" s="6" t="s">
        <v>32</v>
      </c>
      <c r="F2" s="6" t="s">
        <v>140</v>
      </c>
    </row>
    <row r="3" spans="3:6">
      <c r="C3" s="7" t="s">
        <v>33</v>
      </c>
      <c r="D3" s="8">
        <v>53400</v>
      </c>
      <c r="E3" s="8">
        <v>41350</v>
      </c>
      <c r="F3" s="78" t="s">
        <v>141</v>
      </c>
    </row>
    <row r="4" spans="3:6">
      <c r="C4" s="9" t="s">
        <v>34</v>
      </c>
      <c r="D4" s="10">
        <v>69880</v>
      </c>
      <c r="E4" s="10">
        <v>56140</v>
      </c>
      <c r="F4" s="78" t="s">
        <v>141</v>
      </c>
    </row>
    <row r="5" spans="3:6">
      <c r="C5" s="7" t="s">
        <v>35</v>
      </c>
      <c r="D5" s="8">
        <v>63040</v>
      </c>
      <c r="E5" s="8">
        <v>47680</v>
      </c>
      <c r="F5" s="78" t="s">
        <v>141</v>
      </c>
    </row>
    <row r="6" spans="3:6">
      <c r="C6" s="9" t="s">
        <v>36</v>
      </c>
      <c r="D6" s="10">
        <v>51250</v>
      </c>
      <c r="E6" s="10">
        <v>39060</v>
      </c>
      <c r="F6" s="78" t="s">
        <v>141</v>
      </c>
    </row>
    <row r="7" spans="3:6">
      <c r="C7" s="7" t="s">
        <v>37</v>
      </c>
      <c r="D7" s="8">
        <v>76960</v>
      </c>
      <c r="E7" s="8">
        <v>54030</v>
      </c>
      <c r="F7" s="80" t="s">
        <v>142</v>
      </c>
    </row>
    <row r="8" spans="3:6">
      <c r="C8" s="9" t="s">
        <v>38</v>
      </c>
      <c r="D8" s="10">
        <v>71960</v>
      </c>
      <c r="E8" s="10">
        <v>54050</v>
      </c>
      <c r="F8" s="80" t="s">
        <v>142</v>
      </c>
    </row>
    <row r="9" spans="3:6">
      <c r="C9" s="7" t="s">
        <v>39</v>
      </c>
      <c r="D9" s="8">
        <v>73740</v>
      </c>
      <c r="E9" s="8">
        <v>56130</v>
      </c>
      <c r="F9" s="80" t="s">
        <v>142</v>
      </c>
    </row>
    <row r="10" spans="3:6">
      <c r="C10" s="9" t="s">
        <v>40</v>
      </c>
      <c r="D10" s="10">
        <v>65990</v>
      </c>
      <c r="E10" s="10">
        <v>49280</v>
      </c>
      <c r="F10" s="80" t="s">
        <v>142</v>
      </c>
    </row>
    <row r="11" spans="3:6">
      <c r="C11" s="7" t="s">
        <v>41</v>
      </c>
      <c r="D11" s="8">
        <v>60210</v>
      </c>
      <c r="E11" s="8">
        <v>45070</v>
      </c>
      <c r="F11" s="79" t="s">
        <v>141</v>
      </c>
    </row>
    <row r="12" spans="3:6">
      <c r="C12" s="9" t="s">
        <v>42</v>
      </c>
      <c r="D12" s="10">
        <v>61250</v>
      </c>
      <c r="E12" s="10">
        <v>45480</v>
      </c>
      <c r="F12" s="79" t="s">
        <v>141</v>
      </c>
    </row>
    <row r="13" spans="3:6">
      <c r="C13" s="7" t="s">
        <v>43</v>
      </c>
      <c r="D13" s="8">
        <v>65030</v>
      </c>
      <c r="E13" s="8">
        <v>50510</v>
      </c>
      <c r="F13" s="80" t="s">
        <v>142</v>
      </c>
    </row>
    <row r="14" spans="3:6">
      <c r="C14" s="9" t="s">
        <v>44</v>
      </c>
      <c r="D14" s="10">
        <v>55640</v>
      </c>
      <c r="E14" s="10">
        <v>44240</v>
      </c>
      <c r="F14" s="79" t="s">
        <v>141</v>
      </c>
    </row>
    <row r="15" spans="3:6">
      <c r="C15" s="7" t="s">
        <v>45</v>
      </c>
      <c r="D15" s="8">
        <v>67130</v>
      </c>
      <c r="E15" s="8">
        <v>48730</v>
      </c>
      <c r="F15" s="80" t="s">
        <v>142</v>
      </c>
    </row>
    <row r="16" spans="3:6">
      <c r="C16" s="9" t="s">
        <v>46</v>
      </c>
      <c r="D16" s="10">
        <v>56420</v>
      </c>
      <c r="E16" s="10">
        <v>45470</v>
      </c>
      <c r="F16" s="79" t="s">
        <v>141</v>
      </c>
    </row>
    <row r="17" spans="3:6">
      <c r="C17" s="7" t="s">
        <v>47</v>
      </c>
      <c r="D17" s="8">
        <v>56400</v>
      </c>
      <c r="E17" s="8">
        <v>46460</v>
      </c>
      <c r="F17" s="79" t="s">
        <v>141</v>
      </c>
    </row>
    <row r="18" spans="3:6">
      <c r="C18" s="9" t="s">
        <v>48</v>
      </c>
      <c r="D18" s="10">
        <v>56270</v>
      </c>
      <c r="E18" s="10">
        <v>45250</v>
      </c>
      <c r="F18" s="79" t="s">
        <v>141</v>
      </c>
    </row>
    <row r="19" spans="3:6">
      <c r="C19" s="7" t="s">
        <v>49</v>
      </c>
      <c r="D19" s="8">
        <v>54030</v>
      </c>
      <c r="E19" s="8">
        <v>43730</v>
      </c>
      <c r="F19" s="79" t="s">
        <v>141</v>
      </c>
    </row>
    <row r="20" spans="3:6">
      <c r="C20" s="9" t="s">
        <v>50</v>
      </c>
      <c r="D20" s="10">
        <v>53440</v>
      </c>
      <c r="E20" s="10">
        <v>41320</v>
      </c>
      <c r="F20" s="79" t="s">
        <v>141</v>
      </c>
    </row>
    <row r="21" spans="3:6">
      <c r="C21" s="7" t="s">
        <v>51</v>
      </c>
      <c r="D21" s="8">
        <v>60000</v>
      </c>
      <c r="E21" s="8">
        <v>47590</v>
      </c>
    </row>
    <row r="22" spans="3:6">
      <c r="C22" s="9" t="s">
        <v>52</v>
      </c>
      <c r="D22" s="10">
        <v>73620</v>
      </c>
      <c r="E22" s="10">
        <v>55810</v>
      </c>
    </row>
    <row r="23" spans="3:6">
      <c r="C23" s="7" t="s">
        <v>53</v>
      </c>
      <c r="D23" s="8">
        <v>80330</v>
      </c>
      <c r="E23" s="8">
        <v>60690</v>
      </c>
    </row>
    <row r="24" spans="3:6">
      <c r="C24" s="9" t="s">
        <v>54</v>
      </c>
      <c r="D24" s="10">
        <v>60600</v>
      </c>
      <c r="E24" s="10">
        <v>46940</v>
      </c>
      <c r="F24" s="79" t="s">
        <v>141</v>
      </c>
    </row>
    <row r="25" spans="3:6">
      <c r="C25" s="7" t="s">
        <v>55</v>
      </c>
      <c r="D25" s="8">
        <v>66700</v>
      </c>
      <c r="E25" s="8">
        <v>50880</v>
      </c>
    </row>
    <row r="26" spans="3:6">
      <c r="C26" s="9" t="s">
        <v>56</v>
      </c>
      <c r="D26" s="10">
        <v>47570</v>
      </c>
      <c r="E26" s="10">
        <v>37500</v>
      </c>
      <c r="F26" s="79" t="s">
        <v>141</v>
      </c>
    </row>
    <row r="27" spans="3:6">
      <c r="C27" s="7" t="s">
        <v>57</v>
      </c>
      <c r="D27" s="8">
        <v>57580</v>
      </c>
      <c r="E27" s="8">
        <v>45080</v>
      </c>
      <c r="F27" s="79" t="s">
        <v>141</v>
      </c>
    </row>
    <row r="28" spans="3:6">
      <c r="C28" s="9" t="s">
        <v>58</v>
      </c>
      <c r="D28" s="10">
        <v>55920</v>
      </c>
      <c r="E28" s="10">
        <v>45690</v>
      </c>
      <c r="F28" s="79" t="s">
        <v>141</v>
      </c>
    </row>
    <row r="29" spans="3:6">
      <c r="C29" s="7" t="s">
        <v>59</v>
      </c>
      <c r="D29" s="8">
        <v>58080</v>
      </c>
      <c r="E29" s="8">
        <v>46440</v>
      </c>
      <c r="F29" s="79" t="s">
        <v>141</v>
      </c>
    </row>
    <row r="30" spans="3:6">
      <c r="C30" s="9" t="s">
        <v>60</v>
      </c>
      <c r="D30" s="10">
        <v>58900</v>
      </c>
      <c r="E30" s="10">
        <v>44810</v>
      </c>
      <c r="F30" s="79" t="s">
        <v>141</v>
      </c>
    </row>
    <row r="31" spans="3:6">
      <c r="C31" s="7" t="s">
        <v>61</v>
      </c>
      <c r="D31" s="8">
        <v>66110</v>
      </c>
      <c r="E31" s="8">
        <v>49980</v>
      </c>
    </row>
    <row r="32" spans="3:6">
      <c r="C32" s="9" t="s">
        <v>62</v>
      </c>
      <c r="D32" s="10">
        <v>73980</v>
      </c>
      <c r="E32" s="10">
        <v>54860</v>
      </c>
    </row>
    <row r="33" spans="3:6">
      <c r="C33" s="7" t="s">
        <v>63</v>
      </c>
      <c r="D33" s="8">
        <v>57520</v>
      </c>
      <c r="E33" s="8">
        <v>43620</v>
      </c>
    </row>
    <row r="34" spans="3:6">
      <c r="C34" s="9" t="s">
        <v>64</v>
      </c>
      <c r="D34" s="10">
        <v>78620</v>
      </c>
      <c r="E34" s="10">
        <v>56840</v>
      </c>
    </row>
    <row r="35" spans="3:6">
      <c r="C35" s="7" t="s">
        <v>65</v>
      </c>
      <c r="D35" s="8">
        <v>59730</v>
      </c>
      <c r="E35" s="8">
        <v>45440</v>
      </c>
      <c r="F35" s="79" t="s">
        <v>141</v>
      </c>
    </row>
    <row r="36" spans="3:6">
      <c r="C36" s="9" t="s">
        <v>66</v>
      </c>
      <c r="D36" s="10">
        <v>59050</v>
      </c>
      <c r="E36" s="10">
        <v>48830</v>
      </c>
      <c r="F36" s="79" t="s">
        <v>141</v>
      </c>
    </row>
    <row r="37" spans="3:6">
      <c r="C37" s="7" t="s">
        <v>67</v>
      </c>
      <c r="D37" s="8">
        <v>59890</v>
      </c>
      <c r="E37" s="8">
        <v>46690</v>
      </c>
      <c r="F37" s="79" t="s">
        <v>141</v>
      </c>
    </row>
    <row r="38" spans="3:6">
      <c r="C38" s="9" t="s">
        <v>68</v>
      </c>
      <c r="D38" s="10">
        <v>53450</v>
      </c>
      <c r="E38" s="10">
        <v>41480</v>
      </c>
      <c r="F38" s="79" t="s">
        <v>141</v>
      </c>
    </row>
    <row r="39" spans="3:6">
      <c r="C39" s="7" t="s">
        <v>69</v>
      </c>
      <c r="D39" s="8">
        <v>66710</v>
      </c>
      <c r="E39" s="8">
        <v>50010</v>
      </c>
    </row>
    <row r="40" spans="3:6">
      <c r="C40" s="9" t="s">
        <v>70</v>
      </c>
      <c r="D40" s="10">
        <v>61920</v>
      </c>
      <c r="E40" s="10">
        <v>47430</v>
      </c>
      <c r="F40" s="79" t="s">
        <v>141</v>
      </c>
    </row>
    <row r="41" spans="3:6">
      <c r="C41" s="7" t="s">
        <v>71</v>
      </c>
      <c r="D41" s="8">
        <v>66610</v>
      </c>
      <c r="E41" s="8">
        <v>50970</v>
      </c>
    </row>
    <row r="42" spans="3:6">
      <c r="C42" s="9" t="s">
        <v>72</v>
      </c>
      <c r="D42" s="10">
        <v>54250</v>
      </c>
      <c r="E42" s="10">
        <v>42220</v>
      </c>
      <c r="F42" s="79" t="s">
        <v>141</v>
      </c>
    </row>
    <row r="43" spans="3:6">
      <c r="C43" s="7" t="s">
        <v>73</v>
      </c>
      <c r="D43" s="8">
        <v>53230</v>
      </c>
      <c r="E43" s="8">
        <v>43680</v>
      </c>
      <c r="F43" s="79" t="s">
        <v>141</v>
      </c>
    </row>
    <row r="44" spans="3:6">
      <c r="C44" s="9" t="s">
        <v>74</v>
      </c>
      <c r="D44" s="10">
        <v>56030</v>
      </c>
      <c r="E44" s="10">
        <v>43820</v>
      </c>
      <c r="F44" s="79" t="s">
        <v>141</v>
      </c>
    </row>
    <row r="45" spans="3:6">
      <c r="C45" s="7" t="s">
        <v>75</v>
      </c>
      <c r="D45" s="8">
        <v>61240</v>
      </c>
      <c r="E45" s="8">
        <v>45970</v>
      </c>
      <c r="F45" s="79" t="s">
        <v>141</v>
      </c>
    </row>
    <row r="46" spans="3:6">
      <c r="C46" s="9" t="s">
        <v>76</v>
      </c>
      <c r="D46" s="10">
        <v>61070</v>
      </c>
      <c r="E46" s="10">
        <v>47020</v>
      </c>
      <c r="F46" s="79" t="s">
        <v>141</v>
      </c>
    </row>
    <row r="47" spans="3:6">
      <c r="C47" s="7" t="s">
        <v>77</v>
      </c>
      <c r="D47" s="8">
        <v>62780</v>
      </c>
      <c r="E47" s="8">
        <v>49630</v>
      </c>
    </row>
    <row r="48" spans="3:6">
      <c r="C48" s="9" t="s">
        <v>78</v>
      </c>
      <c r="D48" s="10">
        <v>70050</v>
      </c>
      <c r="E48" s="10">
        <v>49920</v>
      </c>
    </row>
    <row r="49" spans="3:6">
      <c r="C49" s="7" t="s">
        <v>79</v>
      </c>
      <c r="D49" s="8">
        <v>78130</v>
      </c>
      <c r="E49" s="8">
        <v>59920</v>
      </c>
    </row>
    <row r="50" spans="3:6">
      <c r="C50" s="9" t="s">
        <v>80</v>
      </c>
      <c r="D50" s="10">
        <v>52200</v>
      </c>
      <c r="E50" s="10">
        <v>39770</v>
      </c>
      <c r="F50" s="79" t="s">
        <v>141</v>
      </c>
    </row>
    <row r="51" spans="3:6">
      <c r="C51" s="7" t="s">
        <v>81</v>
      </c>
      <c r="D51" s="8">
        <v>59500</v>
      </c>
      <c r="E51" s="8">
        <v>47590</v>
      </c>
      <c r="F51" s="79" t="s">
        <v>141</v>
      </c>
    </row>
    <row r="52" spans="3:6">
      <c r="C52" s="9" t="s">
        <v>82</v>
      </c>
      <c r="D52" s="10">
        <v>57930</v>
      </c>
      <c r="E52" s="10">
        <v>47250</v>
      </c>
      <c r="F52" s="79" t="s">
        <v>141</v>
      </c>
    </row>
    <row r="54" spans="3:6" ht="105">
      <c r="C54" s="11" t="s">
        <v>83</v>
      </c>
    </row>
  </sheetData>
  <sortState xmlns:xlrd2="http://schemas.microsoft.com/office/spreadsheetml/2017/richdata2" ref="C3:E52">
    <sortCondition ref="C3:C52"/>
  </sortState>
  <hyperlinks>
    <hyperlink ref="C54" r:id="rId1" display="https://www.bls.gov/oes/" xr:uid="{B0335E20-76A7-47C7-9DDA-1F7FB752EA5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BB25-DEA2-4279-916C-005BD0AB7705}">
  <dimension ref="B1:C101"/>
  <sheetViews>
    <sheetView workbookViewId="0">
      <selection activeCell="C2" sqref="C2"/>
    </sheetView>
  </sheetViews>
  <sheetFormatPr defaultRowHeight="15"/>
  <cols>
    <col min="2" max="3" width="10.7109375" bestFit="1" customWidth="1"/>
  </cols>
  <sheetData>
    <row r="1" spans="2:3">
      <c r="B1" t="s">
        <v>7</v>
      </c>
      <c r="C1" t="s">
        <v>86</v>
      </c>
    </row>
    <row r="2" spans="2:3">
      <c r="B2" t="s">
        <v>84</v>
      </c>
      <c r="C2" t="s">
        <v>85</v>
      </c>
    </row>
    <row r="3" spans="2:3">
      <c r="B3">
        <v>2024</v>
      </c>
      <c r="C3">
        <v>25.02</v>
      </c>
    </row>
    <row r="4" spans="2:3">
      <c r="B4">
        <v>2023</v>
      </c>
      <c r="C4">
        <v>26.29</v>
      </c>
    </row>
    <row r="5" spans="2:3">
      <c r="B5">
        <v>2022</v>
      </c>
      <c r="C5">
        <v>-18.11</v>
      </c>
    </row>
    <row r="6" spans="2:3">
      <c r="B6">
        <v>2021</v>
      </c>
      <c r="C6">
        <v>28.71</v>
      </c>
    </row>
    <row r="7" spans="2:3">
      <c r="B7">
        <v>2020</v>
      </c>
      <c r="C7">
        <v>18.399999999999999</v>
      </c>
    </row>
    <row r="8" spans="2:3">
      <c r="B8">
        <v>2019</v>
      </c>
      <c r="C8">
        <v>31.49</v>
      </c>
    </row>
    <row r="9" spans="2:3">
      <c r="B9">
        <v>2018</v>
      </c>
      <c r="C9">
        <v>-4.38</v>
      </c>
    </row>
    <row r="10" spans="2:3">
      <c r="B10">
        <v>2017</v>
      </c>
      <c r="C10">
        <v>21.83</v>
      </c>
    </row>
    <row r="11" spans="2:3">
      <c r="B11">
        <v>2016</v>
      </c>
      <c r="C11">
        <v>11.96</v>
      </c>
    </row>
    <row r="12" spans="2:3">
      <c r="B12">
        <v>2015</v>
      </c>
      <c r="C12">
        <v>1.38</v>
      </c>
    </row>
    <row r="13" spans="2:3">
      <c r="B13">
        <v>2014</v>
      </c>
      <c r="C13">
        <v>13.69</v>
      </c>
    </row>
    <row r="14" spans="2:3">
      <c r="B14">
        <v>2013</v>
      </c>
      <c r="C14">
        <v>32.39</v>
      </c>
    </row>
    <row r="15" spans="2:3">
      <c r="B15">
        <v>2012</v>
      </c>
      <c r="C15">
        <v>16</v>
      </c>
    </row>
    <row r="16" spans="2:3">
      <c r="B16">
        <v>2011</v>
      </c>
      <c r="C16">
        <v>2.11</v>
      </c>
    </row>
    <row r="17" spans="2:3">
      <c r="B17">
        <v>2010</v>
      </c>
      <c r="C17">
        <v>15.06</v>
      </c>
    </row>
    <row r="18" spans="2:3">
      <c r="B18">
        <v>2009</v>
      </c>
      <c r="C18">
        <v>26.46</v>
      </c>
    </row>
    <row r="19" spans="2:3">
      <c r="B19">
        <v>2008</v>
      </c>
      <c r="C19">
        <v>-37</v>
      </c>
    </row>
    <row r="20" spans="2:3">
      <c r="B20">
        <v>2007</v>
      </c>
      <c r="C20">
        <v>5.49</v>
      </c>
    </row>
    <row r="21" spans="2:3">
      <c r="B21">
        <v>2006</v>
      </c>
      <c r="C21">
        <v>15.79</v>
      </c>
    </row>
    <row r="22" spans="2:3">
      <c r="B22">
        <v>2005</v>
      </c>
      <c r="C22">
        <v>4.91</v>
      </c>
    </row>
    <row r="23" spans="2:3">
      <c r="B23">
        <v>2004</v>
      </c>
      <c r="C23">
        <v>10.88</v>
      </c>
    </row>
    <row r="24" spans="2:3">
      <c r="B24">
        <v>2003</v>
      </c>
      <c r="C24">
        <v>28.68</v>
      </c>
    </row>
    <row r="25" spans="2:3">
      <c r="B25">
        <v>2002</v>
      </c>
      <c r="C25">
        <v>-22.1</v>
      </c>
    </row>
    <row r="26" spans="2:3">
      <c r="B26">
        <v>2001</v>
      </c>
      <c r="C26">
        <v>-11.89</v>
      </c>
    </row>
    <row r="27" spans="2:3">
      <c r="B27">
        <v>2000</v>
      </c>
      <c r="C27">
        <v>-9.1</v>
      </c>
    </row>
    <row r="28" spans="2:3">
      <c r="B28">
        <v>1999</v>
      </c>
      <c r="C28">
        <v>21.04</v>
      </c>
    </row>
    <row r="29" spans="2:3">
      <c r="B29">
        <v>1998</v>
      </c>
      <c r="C29">
        <v>28.58</v>
      </c>
    </row>
    <row r="30" spans="2:3">
      <c r="B30">
        <v>1997</v>
      </c>
      <c r="C30">
        <v>33.36</v>
      </c>
    </row>
    <row r="31" spans="2:3">
      <c r="B31">
        <v>1996</v>
      </c>
      <c r="C31">
        <v>22.96</v>
      </c>
    </row>
    <row r="32" spans="2:3">
      <c r="B32">
        <v>1995</v>
      </c>
      <c r="C32">
        <v>37.58</v>
      </c>
    </row>
    <row r="33" spans="2:3">
      <c r="B33">
        <v>1994</v>
      </c>
      <c r="C33">
        <v>1.32</v>
      </c>
    </row>
    <row r="34" spans="2:3">
      <c r="B34">
        <v>1993</v>
      </c>
      <c r="C34">
        <v>10.08</v>
      </c>
    </row>
    <row r="35" spans="2:3">
      <c r="B35">
        <v>1992</v>
      </c>
      <c r="C35">
        <v>7.62</v>
      </c>
    </row>
    <row r="36" spans="2:3">
      <c r="B36">
        <v>1991</v>
      </c>
      <c r="C36">
        <v>30.47</v>
      </c>
    </row>
    <row r="37" spans="2:3">
      <c r="B37">
        <v>1990</v>
      </c>
      <c r="C37">
        <v>-3.1</v>
      </c>
    </row>
    <row r="38" spans="2:3">
      <c r="B38">
        <v>1989</v>
      </c>
      <c r="C38">
        <v>31.69</v>
      </c>
    </row>
    <row r="39" spans="2:3">
      <c r="B39">
        <v>1988</v>
      </c>
      <c r="C39">
        <v>16.61</v>
      </c>
    </row>
    <row r="40" spans="2:3">
      <c r="B40">
        <v>1987</v>
      </c>
      <c r="C40">
        <v>5.25</v>
      </c>
    </row>
    <row r="41" spans="2:3">
      <c r="B41">
        <v>1986</v>
      </c>
      <c r="C41">
        <v>18.670000000000002</v>
      </c>
    </row>
    <row r="42" spans="2:3">
      <c r="B42">
        <v>1985</v>
      </c>
      <c r="C42">
        <v>31.73</v>
      </c>
    </row>
    <row r="43" spans="2:3">
      <c r="B43">
        <v>1984</v>
      </c>
      <c r="C43">
        <v>6.27</v>
      </c>
    </row>
    <row r="44" spans="2:3">
      <c r="B44">
        <v>1983</v>
      </c>
      <c r="C44">
        <v>22.56</v>
      </c>
    </row>
    <row r="45" spans="2:3">
      <c r="B45">
        <v>1982</v>
      </c>
      <c r="C45">
        <v>21.55</v>
      </c>
    </row>
    <row r="46" spans="2:3">
      <c r="B46">
        <v>1981</v>
      </c>
      <c r="C46">
        <v>-4.91</v>
      </c>
    </row>
    <row r="47" spans="2:3">
      <c r="B47">
        <v>1980</v>
      </c>
      <c r="C47">
        <v>32.42</v>
      </c>
    </row>
    <row r="48" spans="2:3">
      <c r="B48">
        <v>1979</v>
      </c>
      <c r="C48">
        <v>18.440000000000001</v>
      </c>
    </row>
    <row r="49" spans="2:3">
      <c r="B49">
        <v>1978</v>
      </c>
      <c r="C49">
        <v>6.56</v>
      </c>
    </row>
    <row r="50" spans="2:3">
      <c r="B50">
        <v>1977</v>
      </c>
      <c r="C50">
        <v>-7.18</v>
      </c>
    </row>
    <row r="51" spans="2:3">
      <c r="B51">
        <v>1976</v>
      </c>
      <c r="C51">
        <v>23.84</v>
      </c>
    </row>
    <row r="52" spans="2:3">
      <c r="B52">
        <v>1975</v>
      </c>
      <c r="C52">
        <v>37.200000000000003</v>
      </c>
    </row>
    <row r="53" spans="2:3">
      <c r="B53">
        <v>1974</v>
      </c>
      <c r="C53">
        <v>-26.47</v>
      </c>
    </row>
    <row r="54" spans="2:3">
      <c r="B54">
        <v>1973</v>
      </c>
      <c r="C54">
        <v>-14.66</v>
      </c>
    </row>
    <row r="55" spans="2:3">
      <c r="B55">
        <v>1972</v>
      </c>
      <c r="C55">
        <v>18.98</v>
      </c>
    </row>
    <row r="56" spans="2:3">
      <c r="B56">
        <v>1971</v>
      </c>
      <c r="C56">
        <v>14.31</v>
      </c>
    </row>
    <row r="57" spans="2:3">
      <c r="B57">
        <v>1970</v>
      </c>
      <c r="C57">
        <v>4.01</v>
      </c>
    </row>
    <row r="58" spans="2:3">
      <c r="B58">
        <v>1969</v>
      </c>
      <c r="C58">
        <v>-8.5</v>
      </c>
    </row>
    <row r="59" spans="2:3">
      <c r="B59">
        <v>1968</v>
      </c>
      <c r="C59">
        <v>11.06</v>
      </c>
    </row>
    <row r="60" spans="2:3">
      <c r="B60">
        <v>1967</v>
      </c>
      <c r="C60">
        <v>23.98</v>
      </c>
    </row>
    <row r="61" spans="2:3">
      <c r="B61">
        <v>1966</v>
      </c>
      <c r="C61">
        <v>-10.06</v>
      </c>
    </row>
    <row r="62" spans="2:3">
      <c r="B62">
        <v>1965</v>
      </c>
      <c r="C62">
        <v>12.45</v>
      </c>
    </row>
    <row r="63" spans="2:3">
      <c r="B63">
        <v>1964</v>
      </c>
      <c r="C63">
        <v>16.48</v>
      </c>
    </row>
    <row r="64" spans="2:3">
      <c r="B64">
        <v>1963</v>
      </c>
      <c r="C64">
        <v>22.8</v>
      </c>
    </row>
    <row r="65" spans="2:3">
      <c r="B65">
        <v>1962</v>
      </c>
      <c r="C65">
        <v>-8.73</v>
      </c>
    </row>
    <row r="66" spans="2:3">
      <c r="B66">
        <v>1961</v>
      </c>
      <c r="C66">
        <v>26.89</v>
      </c>
    </row>
    <row r="67" spans="2:3">
      <c r="B67">
        <v>1960</v>
      </c>
      <c r="C67">
        <v>0.47</v>
      </c>
    </row>
    <row r="68" spans="2:3">
      <c r="B68">
        <v>1959</v>
      </c>
      <c r="C68">
        <v>11.96</v>
      </c>
    </row>
    <row r="69" spans="2:3">
      <c r="B69">
        <v>1958</v>
      </c>
      <c r="C69">
        <v>43.36</v>
      </c>
    </row>
    <row r="70" spans="2:3">
      <c r="B70">
        <v>1957</v>
      </c>
      <c r="C70">
        <v>-10.78</v>
      </c>
    </row>
    <row r="71" spans="2:3">
      <c r="B71">
        <v>1956</v>
      </c>
      <c r="C71">
        <v>6.56</v>
      </c>
    </row>
    <row r="72" spans="2:3">
      <c r="B72">
        <v>1955</v>
      </c>
      <c r="C72">
        <v>31.56</v>
      </c>
    </row>
    <row r="73" spans="2:3">
      <c r="B73">
        <v>1954</v>
      </c>
      <c r="C73">
        <v>52.62</v>
      </c>
    </row>
    <row r="74" spans="2:3">
      <c r="B74">
        <v>1953</v>
      </c>
      <c r="C74">
        <v>-0.99</v>
      </c>
    </row>
    <row r="75" spans="2:3">
      <c r="B75">
        <v>1952</v>
      </c>
      <c r="C75">
        <v>18.37</v>
      </c>
    </row>
    <row r="76" spans="2:3">
      <c r="B76">
        <v>1951</v>
      </c>
      <c r="C76">
        <v>24.02</v>
      </c>
    </row>
    <row r="77" spans="2:3">
      <c r="B77">
        <v>1950</v>
      </c>
      <c r="C77">
        <v>31.71</v>
      </c>
    </row>
    <row r="78" spans="2:3">
      <c r="B78">
        <v>1949</v>
      </c>
      <c r="C78">
        <v>18.79</v>
      </c>
    </row>
    <row r="79" spans="2:3">
      <c r="B79">
        <v>1948</v>
      </c>
      <c r="C79">
        <v>5.5</v>
      </c>
    </row>
    <row r="80" spans="2:3">
      <c r="B80">
        <v>1947</v>
      </c>
      <c r="C80">
        <v>5.71</v>
      </c>
    </row>
    <row r="81" spans="2:3">
      <c r="B81">
        <v>1946</v>
      </c>
      <c r="C81">
        <v>-8.07</v>
      </c>
    </row>
    <row r="82" spans="2:3">
      <c r="B82">
        <v>1945</v>
      </c>
      <c r="C82">
        <v>36.44</v>
      </c>
    </row>
    <row r="83" spans="2:3">
      <c r="B83">
        <v>1944</v>
      </c>
      <c r="C83">
        <v>19.75</v>
      </c>
    </row>
    <row r="84" spans="2:3">
      <c r="B84">
        <v>1943</v>
      </c>
      <c r="C84">
        <v>25.9</v>
      </c>
    </row>
    <row r="85" spans="2:3">
      <c r="B85">
        <v>1942</v>
      </c>
      <c r="C85">
        <v>20.34</v>
      </c>
    </row>
    <row r="86" spans="2:3">
      <c r="B86">
        <v>1941</v>
      </c>
      <c r="C86">
        <v>-11.59</v>
      </c>
    </row>
    <row r="87" spans="2:3">
      <c r="B87">
        <v>1940</v>
      </c>
      <c r="C87">
        <v>-9.7799999999999994</v>
      </c>
    </row>
    <row r="88" spans="2:3">
      <c r="B88">
        <v>1939</v>
      </c>
      <c r="C88">
        <v>-0.41</v>
      </c>
    </row>
    <row r="89" spans="2:3">
      <c r="B89">
        <v>1938</v>
      </c>
      <c r="C89">
        <v>31.12</v>
      </c>
    </row>
    <row r="90" spans="2:3">
      <c r="B90">
        <v>1937</v>
      </c>
      <c r="C90">
        <v>-35.03</v>
      </c>
    </row>
    <row r="91" spans="2:3">
      <c r="B91">
        <v>1936</v>
      </c>
      <c r="C91">
        <v>33.92</v>
      </c>
    </row>
    <row r="92" spans="2:3">
      <c r="B92">
        <v>1935</v>
      </c>
      <c r="C92">
        <v>47.67</v>
      </c>
    </row>
    <row r="93" spans="2:3">
      <c r="B93">
        <v>1934</v>
      </c>
      <c r="C93">
        <v>-1.44</v>
      </c>
    </row>
    <row r="94" spans="2:3">
      <c r="B94">
        <v>1933</v>
      </c>
      <c r="C94">
        <v>53.99</v>
      </c>
    </row>
    <row r="95" spans="2:3">
      <c r="B95">
        <v>1932</v>
      </c>
      <c r="C95">
        <v>-8.19</v>
      </c>
    </row>
    <row r="96" spans="2:3">
      <c r="B96">
        <v>1931</v>
      </c>
      <c r="C96">
        <v>-43.34</v>
      </c>
    </row>
    <row r="97" spans="2:3">
      <c r="B97">
        <v>1930</v>
      </c>
      <c r="C97">
        <v>-24.9</v>
      </c>
    </row>
    <row r="98" spans="2:3">
      <c r="B98">
        <v>1929</v>
      </c>
      <c r="C98">
        <v>-8.42</v>
      </c>
    </row>
    <row r="99" spans="2:3">
      <c r="B99">
        <v>1928</v>
      </c>
      <c r="C99">
        <v>43.61</v>
      </c>
    </row>
    <row r="100" spans="2:3">
      <c r="B100">
        <v>1927</v>
      </c>
      <c r="C100">
        <v>37.49</v>
      </c>
    </row>
    <row r="101" spans="2:3">
      <c r="B101">
        <v>1926</v>
      </c>
      <c r="C101">
        <v>11.62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9EFC-AB10-4589-81AF-8E9DA6F3BFC1}">
  <dimension ref="B3:G55"/>
  <sheetViews>
    <sheetView workbookViewId="0">
      <selection activeCell="R12" sqref="R12"/>
    </sheetView>
  </sheetViews>
  <sheetFormatPr defaultRowHeight="15"/>
  <cols>
    <col min="6" max="6" width="18.42578125" customWidth="1"/>
  </cols>
  <sheetData>
    <row r="3" spans="2:7" ht="15.75" thickBot="1">
      <c r="B3" s="163" t="s">
        <v>109</v>
      </c>
      <c r="C3" s="164"/>
      <c r="D3" s="164"/>
      <c r="E3" s="164"/>
      <c r="F3" s="164"/>
      <c r="G3" s="164"/>
    </row>
    <row r="4" spans="2:7">
      <c r="B4" s="15" t="s">
        <v>7</v>
      </c>
      <c r="C4" s="16" t="s">
        <v>110</v>
      </c>
      <c r="D4" s="15"/>
      <c r="E4" s="16"/>
      <c r="F4" s="15"/>
      <c r="G4" s="16"/>
    </row>
    <row r="5" spans="2:7">
      <c r="B5" s="17">
        <v>1975</v>
      </c>
      <c r="C5" s="18">
        <v>8</v>
      </c>
      <c r="E5" s="14" t="s">
        <v>112</v>
      </c>
      <c r="F5" s="12">
        <f>SUM(C5:C55)/((B55-B5)+1)</f>
        <v>3.7294117647058829</v>
      </c>
    </row>
    <row r="6" spans="2:7">
      <c r="B6" s="17">
        <v>1976</v>
      </c>
      <c r="C6" s="18">
        <v>6.4</v>
      </c>
    </row>
    <row r="7" spans="2:7">
      <c r="B7" s="17">
        <v>1977</v>
      </c>
      <c r="C7" s="18">
        <v>5.9</v>
      </c>
    </row>
    <row r="8" spans="2:7">
      <c r="B8" s="17">
        <v>1978</v>
      </c>
      <c r="C8" s="18">
        <v>6.5</v>
      </c>
    </row>
    <row r="9" spans="2:7">
      <c r="B9" s="17">
        <v>1979</v>
      </c>
      <c r="C9" s="18">
        <v>9.9</v>
      </c>
    </row>
    <row r="10" spans="2:7">
      <c r="B10" s="17">
        <v>1980</v>
      </c>
      <c r="C10" s="18">
        <v>14.3</v>
      </c>
    </row>
    <row r="11" spans="2:7">
      <c r="B11" s="17">
        <v>1981</v>
      </c>
      <c r="C11" s="18">
        <v>11.2</v>
      </c>
    </row>
    <row r="12" spans="2:7">
      <c r="B12" s="17">
        <v>1982</v>
      </c>
      <c r="C12" s="18">
        <v>7.4</v>
      </c>
    </row>
    <row r="13" spans="2:7">
      <c r="B13" s="17">
        <v>1983</v>
      </c>
      <c r="C13" s="18">
        <v>3.5</v>
      </c>
    </row>
    <row r="14" spans="2:7">
      <c r="B14" s="17">
        <v>1984</v>
      </c>
      <c r="C14" s="18">
        <v>3.5</v>
      </c>
    </row>
    <row r="15" spans="2:7">
      <c r="B15" s="17">
        <v>1985</v>
      </c>
      <c r="C15" s="18">
        <v>3.1</v>
      </c>
    </row>
    <row r="16" spans="2:7">
      <c r="B16" s="17">
        <v>1986</v>
      </c>
      <c r="C16" s="18">
        <v>1.3</v>
      </c>
      <c r="F16" s="165"/>
      <c r="G16" s="166"/>
    </row>
    <row r="17" spans="2:7">
      <c r="B17" s="17">
        <v>1987</v>
      </c>
      <c r="C17" s="18">
        <v>4.2</v>
      </c>
      <c r="F17" s="165"/>
      <c r="G17" s="166"/>
    </row>
    <row r="18" spans="2:7" ht="15.75" thickBot="1">
      <c r="B18" s="17">
        <v>1988</v>
      </c>
      <c r="C18" s="18">
        <v>4</v>
      </c>
      <c r="F18" s="167"/>
      <c r="G18" s="168"/>
    </row>
    <row r="19" spans="2:7" ht="15.75" thickBot="1">
      <c r="B19" s="17">
        <v>1989</v>
      </c>
      <c r="C19" s="18">
        <v>4.7</v>
      </c>
      <c r="F19" s="167"/>
      <c r="G19" s="168"/>
    </row>
    <row r="20" spans="2:7" ht="15.75" thickBot="1">
      <c r="B20" s="17">
        <v>1990</v>
      </c>
      <c r="C20" s="18">
        <v>5.4</v>
      </c>
      <c r="F20" s="167"/>
      <c r="G20" s="168"/>
    </row>
    <row r="21" spans="2:7" ht="15.75" thickBot="1">
      <c r="B21" s="17">
        <v>1991</v>
      </c>
      <c r="C21" s="18">
        <v>3.7</v>
      </c>
      <c r="F21" s="167"/>
      <c r="G21" s="168"/>
    </row>
    <row r="22" spans="2:7" ht="15.75" thickBot="1">
      <c r="B22" s="17">
        <v>1992</v>
      </c>
      <c r="C22" s="18">
        <v>3</v>
      </c>
      <c r="F22" s="167"/>
      <c r="G22" s="168"/>
    </row>
    <row r="23" spans="2:7" ht="15.75" thickBot="1">
      <c r="B23" s="17">
        <v>1993</v>
      </c>
      <c r="C23" s="18">
        <v>2.6</v>
      </c>
      <c r="F23" s="167"/>
      <c r="G23" s="168"/>
    </row>
    <row r="24" spans="2:7" ht="15.75" thickBot="1">
      <c r="B24" s="19">
        <v>1994</v>
      </c>
      <c r="C24" s="20">
        <v>2.8</v>
      </c>
      <c r="F24" s="167"/>
      <c r="G24" s="168"/>
    </row>
    <row r="25" spans="2:7">
      <c r="B25" s="17">
        <v>1995</v>
      </c>
      <c r="C25" s="18">
        <v>2.6</v>
      </c>
    </row>
    <row r="26" spans="2:7">
      <c r="B26" s="17">
        <v>1996</v>
      </c>
      <c r="C26" s="18">
        <v>2.9</v>
      </c>
    </row>
    <row r="27" spans="2:7">
      <c r="B27" s="17">
        <v>1997</v>
      </c>
      <c r="C27" s="18">
        <v>2.1</v>
      </c>
    </row>
    <row r="28" spans="2:7">
      <c r="B28" s="17">
        <v>1998</v>
      </c>
      <c r="C28" s="18">
        <v>1.3</v>
      </c>
    </row>
    <row r="29" spans="2:7">
      <c r="B29" s="17" t="s">
        <v>111</v>
      </c>
      <c r="C29" s="18">
        <v>2.5</v>
      </c>
    </row>
    <row r="30" spans="2:7">
      <c r="B30" s="17">
        <v>2000</v>
      </c>
      <c r="C30" s="18">
        <v>3.5</v>
      </c>
    </row>
    <row r="31" spans="2:7">
      <c r="B31" s="17">
        <v>2001</v>
      </c>
      <c r="C31" s="18">
        <v>2.6</v>
      </c>
    </row>
    <row r="32" spans="2:7">
      <c r="B32" s="17">
        <v>2002</v>
      </c>
      <c r="C32" s="18">
        <v>1.4</v>
      </c>
    </row>
    <row r="33" spans="2:3">
      <c r="B33" s="17">
        <v>2003</v>
      </c>
      <c r="C33" s="18">
        <v>2.1</v>
      </c>
    </row>
    <row r="34" spans="2:3">
      <c r="B34" s="17">
        <v>2004</v>
      </c>
      <c r="C34" s="18">
        <v>2.7</v>
      </c>
    </row>
    <row r="35" spans="2:3">
      <c r="B35" s="17">
        <v>2005</v>
      </c>
      <c r="C35" s="18">
        <v>4.0999999999999996</v>
      </c>
    </row>
    <row r="36" spans="2:3">
      <c r="B36" s="17">
        <v>2006</v>
      </c>
      <c r="C36" s="18">
        <v>3.3</v>
      </c>
    </row>
    <row r="37" spans="2:3">
      <c r="B37" s="17">
        <v>2007</v>
      </c>
      <c r="C37" s="18">
        <v>2.2999999999999998</v>
      </c>
    </row>
    <row r="38" spans="2:3">
      <c r="B38" s="17">
        <v>2008</v>
      </c>
      <c r="C38" s="18">
        <v>5.8</v>
      </c>
    </row>
    <row r="39" spans="2:3">
      <c r="B39" s="17">
        <v>2009</v>
      </c>
      <c r="C39" s="18">
        <v>0</v>
      </c>
    </row>
    <row r="40" spans="2:3">
      <c r="B40" s="17">
        <v>2010</v>
      </c>
      <c r="C40" s="18">
        <v>0</v>
      </c>
    </row>
    <row r="41" spans="2:3">
      <c r="B41" s="17">
        <v>2011</v>
      </c>
      <c r="C41" s="18">
        <v>3.6</v>
      </c>
    </row>
    <row r="42" spans="2:3">
      <c r="B42" s="17">
        <v>2012</v>
      </c>
      <c r="C42" s="18">
        <v>1.7</v>
      </c>
    </row>
    <row r="43" spans="2:3">
      <c r="B43" s="17">
        <v>2013</v>
      </c>
      <c r="C43" s="18">
        <v>1.5</v>
      </c>
    </row>
    <row r="44" spans="2:3" ht="15.75" thickBot="1">
      <c r="B44" s="19">
        <v>2014</v>
      </c>
      <c r="C44" s="20">
        <v>1.7</v>
      </c>
    </row>
    <row r="45" spans="2:3">
      <c r="B45" s="17">
        <v>2015</v>
      </c>
      <c r="C45" s="18">
        <v>0</v>
      </c>
    </row>
    <row r="46" spans="2:3">
      <c r="B46" s="17">
        <v>2016</v>
      </c>
      <c r="C46" s="18">
        <v>0.3</v>
      </c>
    </row>
    <row r="47" spans="2:3">
      <c r="B47" s="17">
        <v>2017</v>
      </c>
      <c r="C47" s="18">
        <v>2</v>
      </c>
    </row>
    <row r="48" spans="2:3">
      <c r="B48" s="17">
        <v>2018</v>
      </c>
      <c r="C48" s="18">
        <v>2.8</v>
      </c>
    </row>
    <row r="49" spans="2:3">
      <c r="B49" s="17">
        <v>2019</v>
      </c>
      <c r="C49" s="18">
        <v>1.6</v>
      </c>
    </row>
    <row r="50" spans="2:3">
      <c r="B50" s="17">
        <v>2020</v>
      </c>
      <c r="C50" s="18">
        <v>1.3</v>
      </c>
    </row>
    <row r="51" spans="2:3">
      <c r="B51" s="17">
        <v>2021</v>
      </c>
      <c r="C51" s="18">
        <v>5.9</v>
      </c>
    </row>
    <row r="52" spans="2:3">
      <c r="B52" s="17">
        <v>2022</v>
      </c>
      <c r="C52" s="18">
        <v>8.6999999999999993</v>
      </c>
    </row>
    <row r="53" spans="2:3">
      <c r="B53" s="17">
        <v>2023</v>
      </c>
      <c r="C53" s="18">
        <v>3.2</v>
      </c>
    </row>
    <row r="54" spans="2:3">
      <c r="B54" s="17">
        <v>2024</v>
      </c>
      <c r="C54" s="18">
        <v>2.5</v>
      </c>
    </row>
    <row r="55" spans="2:3">
      <c r="B55" s="17">
        <v>2025</v>
      </c>
      <c r="C55" s="18">
        <v>2.8</v>
      </c>
    </row>
  </sheetData>
  <mergeCells count="10">
    <mergeCell ref="F20:G20"/>
    <mergeCell ref="F21:G21"/>
    <mergeCell ref="F22:G22"/>
    <mergeCell ref="F23:G23"/>
    <mergeCell ref="F24:G24"/>
    <mergeCell ref="B3:G3"/>
    <mergeCell ref="F16:G16"/>
    <mergeCell ref="F17:G17"/>
    <mergeCell ref="F18:G18"/>
    <mergeCell ref="F19:G1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2B6CF2-EA93-4133-893A-CA0A02454E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Main</vt:lpstr>
      <vt:lpstr>SS Benefit Cal</vt:lpstr>
      <vt:lpstr>Frank and Bill</vt:lpstr>
      <vt:lpstr>RMD Tables 2025</vt:lpstr>
      <vt:lpstr>Cpi_index_inflation_montly_1925</vt:lpstr>
      <vt:lpstr>Inflation</vt:lpstr>
      <vt:lpstr>Sheet1</vt:lpstr>
      <vt:lpstr>Sheet2</vt:lpstr>
      <vt:lpstr>index test</vt:lpstr>
      <vt:lpstr>Salarys 2024</vt:lpstr>
      <vt:lpstr>s&amp;p_returns</vt:lpstr>
      <vt:lpstr>SSI cola for the year</vt:lpstr>
      <vt:lpstr>'SSI cola for the year'!TimeSeries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Gindlesperger</dc:creator>
  <cp:lastModifiedBy>Matt Gindlesperger</cp:lastModifiedBy>
  <cp:lastPrinted>2026-01-06T00:38:43Z</cp:lastPrinted>
  <dcterms:created xsi:type="dcterms:W3CDTF">2025-11-13T03:47:37Z</dcterms:created>
  <dcterms:modified xsi:type="dcterms:W3CDTF">2026-01-07T15:59:16Z</dcterms:modified>
</cp:coreProperties>
</file>